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utit\Downloads\Music\"/>
    </mc:Choice>
  </mc:AlternateContent>
  <xr:revisionPtr revIDLastSave="0" documentId="8_{DAE23B9A-FABA-4557-81B1-BE78BD044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ซื้อสินค้า" sheetId="1" r:id="rId1"/>
    <sheet name="ขายสินค้า" sheetId="2" r:id="rId2"/>
    <sheet name="ชื่อสินค้า" sheetId="3" r:id="rId3"/>
    <sheet name="รายงานสินค้าคงเหลือ" sheetId="4" r:id="rId4"/>
    <sheet name="รายงานเคลื่อนไหวสินค้า" sheetId="5" r:id="rId5"/>
    <sheet name="รายงานสรุปยอดขายและกำไรขั้นต้น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K5" i="5"/>
  <c r="C5" i="5"/>
  <c r="F5" i="5"/>
  <c r="E23" i="6"/>
  <c r="F23" i="6"/>
  <c r="E19" i="6"/>
  <c r="G19" i="6"/>
  <c r="C55" i="1"/>
  <c r="D55" i="1"/>
  <c r="G55" i="1"/>
  <c r="I55" i="1" s="1"/>
  <c r="H55" i="1"/>
  <c r="K55" i="1"/>
  <c r="L55" i="1"/>
  <c r="C56" i="1"/>
  <c r="D56" i="1"/>
  <c r="G56" i="1"/>
  <c r="H56" i="1"/>
  <c r="C47" i="2"/>
  <c r="D47" i="2"/>
  <c r="F47" i="2"/>
  <c r="J47" i="2" s="1"/>
  <c r="L47" i="2" s="1"/>
  <c r="K47" i="2"/>
  <c r="N20" i="6"/>
  <c r="M20" i="6"/>
  <c r="K20" i="6"/>
  <c r="H20" i="6"/>
  <c r="N19" i="6"/>
  <c r="M19" i="6"/>
  <c r="J19" i="6"/>
  <c r="I19" i="6"/>
  <c r="H19" i="6"/>
  <c r="F19" i="6"/>
  <c r="N18" i="6"/>
  <c r="M18" i="6"/>
  <c r="L18" i="6"/>
  <c r="K18" i="6"/>
  <c r="K19" i="6" s="1"/>
  <c r="J18" i="6"/>
  <c r="J20" i="6" s="1"/>
  <c r="I18" i="6"/>
  <c r="I20" i="6" s="1"/>
  <c r="H18" i="6"/>
  <c r="G18" i="6"/>
  <c r="G20" i="6" s="1"/>
  <c r="F18" i="6"/>
  <c r="F20" i="6" s="1"/>
  <c r="E18" i="6"/>
  <c r="E20" i="6" s="1"/>
  <c r="D18" i="6"/>
  <c r="C18" i="6"/>
  <c r="E1000" i="4"/>
  <c r="D1000" i="4"/>
  <c r="C1000" i="4"/>
  <c r="B1000" i="4"/>
  <c r="E999" i="4"/>
  <c r="D999" i="4"/>
  <c r="C999" i="4"/>
  <c r="B999" i="4"/>
  <c r="E998" i="4"/>
  <c r="D998" i="4"/>
  <c r="C998" i="4"/>
  <c r="B998" i="4"/>
  <c r="E997" i="4"/>
  <c r="D997" i="4"/>
  <c r="C997" i="4"/>
  <c r="B997" i="4"/>
  <c r="E996" i="4"/>
  <c r="D996" i="4"/>
  <c r="C996" i="4"/>
  <c r="B996" i="4"/>
  <c r="E995" i="4"/>
  <c r="D995" i="4"/>
  <c r="C995" i="4"/>
  <c r="B995" i="4"/>
  <c r="E994" i="4"/>
  <c r="D994" i="4"/>
  <c r="C994" i="4"/>
  <c r="B994" i="4"/>
  <c r="E993" i="4"/>
  <c r="D993" i="4"/>
  <c r="C993" i="4"/>
  <c r="B993" i="4"/>
  <c r="E992" i="4"/>
  <c r="D992" i="4"/>
  <c r="C992" i="4"/>
  <c r="B992" i="4"/>
  <c r="E991" i="4"/>
  <c r="D991" i="4"/>
  <c r="C991" i="4"/>
  <c r="B991" i="4"/>
  <c r="E990" i="4"/>
  <c r="D990" i="4"/>
  <c r="C990" i="4"/>
  <c r="B990" i="4"/>
  <c r="E989" i="4"/>
  <c r="D989" i="4"/>
  <c r="C989" i="4"/>
  <c r="B989" i="4"/>
  <c r="E988" i="4"/>
  <c r="D988" i="4"/>
  <c r="C988" i="4"/>
  <c r="B988" i="4"/>
  <c r="E987" i="4"/>
  <c r="D987" i="4"/>
  <c r="C987" i="4"/>
  <c r="B987" i="4"/>
  <c r="E986" i="4"/>
  <c r="D986" i="4"/>
  <c r="C986" i="4"/>
  <c r="B986" i="4"/>
  <c r="E985" i="4"/>
  <c r="D985" i="4"/>
  <c r="C985" i="4"/>
  <c r="B985" i="4"/>
  <c r="E984" i="4"/>
  <c r="D984" i="4"/>
  <c r="C984" i="4"/>
  <c r="B984" i="4"/>
  <c r="E983" i="4"/>
  <c r="D983" i="4"/>
  <c r="C983" i="4"/>
  <c r="B983" i="4"/>
  <c r="E982" i="4"/>
  <c r="D982" i="4"/>
  <c r="C982" i="4"/>
  <c r="B982" i="4"/>
  <c r="E981" i="4"/>
  <c r="D981" i="4"/>
  <c r="C981" i="4"/>
  <c r="B981" i="4"/>
  <c r="E980" i="4"/>
  <c r="D980" i="4"/>
  <c r="C980" i="4"/>
  <c r="B980" i="4"/>
  <c r="E979" i="4"/>
  <c r="D979" i="4"/>
  <c r="C979" i="4"/>
  <c r="B979" i="4"/>
  <c r="E978" i="4"/>
  <c r="D978" i="4"/>
  <c r="C978" i="4"/>
  <c r="B978" i="4"/>
  <c r="E977" i="4"/>
  <c r="D977" i="4"/>
  <c r="C977" i="4"/>
  <c r="B977" i="4"/>
  <c r="E976" i="4"/>
  <c r="D976" i="4"/>
  <c r="C976" i="4"/>
  <c r="B976" i="4"/>
  <c r="E975" i="4"/>
  <c r="D975" i="4"/>
  <c r="C975" i="4"/>
  <c r="B975" i="4"/>
  <c r="E974" i="4"/>
  <c r="D974" i="4"/>
  <c r="C974" i="4"/>
  <c r="B974" i="4"/>
  <c r="E973" i="4"/>
  <c r="D973" i="4"/>
  <c r="C973" i="4"/>
  <c r="B973" i="4"/>
  <c r="E972" i="4"/>
  <c r="D972" i="4"/>
  <c r="C972" i="4"/>
  <c r="B972" i="4"/>
  <c r="E971" i="4"/>
  <c r="D971" i="4"/>
  <c r="C971" i="4"/>
  <c r="B971" i="4"/>
  <c r="E970" i="4"/>
  <c r="D970" i="4"/>
  <c r="C970" i="4"/>
  <c r="B970" i="4"/>
  <c r="E969" i="4"/>
  <c r="D969" i="4"/>
  <c r="C969" i="4"/>
  <c r="B969" i="4"/>
  <c r="E968" i="4"/>
  <c r="D968" i="4"/>
  <c r="C968" i="4"/>
  <c r="B968" i="4"/>
  <c r="E967" i="4"/>
  <c r="D967" i="4"/>
  <c r="C967" i="4"/>
  <c r="B967" i="4"/>
  <c r="E966" i="4"/>
  <c r="D966" i="4"/>
  <c r="C966" i="4"/>
  <c r="B966" i="4"/>
  <c r="E965" i="4"/>
  <c r="D965" i="4"/>
  <c r="C965" i="4"/>
  <c r="B965" i="4"/>
  <c r="E964" i="4"/>
  <c r="D964" i="4"/>
  <c r="C964" i="4"/>
  <c r="B964" i="4"/>
  <c r="E963" i="4"/>
  <c r="D963" i="4"/>
  <c r="C963" i="4"/>
  <c r="B963" i="4"/>
  <c r="E962" i="4"/>
  <c r="D962" i="4"/>
  <c r="C962" i="4"/>
  <c r="B962" i="4"/>
  <c r="E961" i="4"/>
  <c r="D961" i="4"/>
  <c r="C961" i="4"/>
  <c r="B961" i="4"/>
  <c r="E960" i="4"/>
  <c r="D960" i="4"/>
  <c r="C960" i="4"/>
  <c r="B960" i="4"/>
  <c r="E959" i="4"/>
  <c r="D959" i="4"/>
  <c r="C959" i="4"/>
  <c r="B959" i="4"/>
  <c r="E958" i="4"/>
  <c r="D958" i="4"/>
  <c r="C958" i="4"/>
  <c r="B958" i="4"/>
  <c r="E957" i="4"/>
  <c r="D957" i="4"/>
  <c r="C957" i="4"/>
  <c r="B957" i="4"/>
  <c r="E956" i="4"/>
  <c r="D956" i="4"/>
  <c r="C956" i="4"/>
  <c r="B956" i="4"/>
  <c r="E955" i="4"/>
  <c r="D955" i="4"/>
  <c r="C955" i="4"/>
  <c r="B955" i="4"/>
  <c r="E954" i="4"/>
  <c r="D954" i="4"/>
  <c r="C954" i="4"/>
  <c r="B954" i="4"/>
  <c r="E953" i="4"/>
  <c r="D953" i="4"/>
  <c r="C953" i="4"/>
  <c r="B953" i="4"/>
  <c r="E952" i="4"/>
  <c r="D952" i="4"/>
  <c r="C952" i="4"/>
  <c r="B952" i="4"/>
  <c r="E951" i="4"/>
  <c r="D951" i="4"/>
  <c r="C951" i="4"/>
  <c r="B951" i="4"/>
  <c r="E950" i="4"/>
  <c r="D950" i="4"/>
  <c r="C950" i="4"/>
  <c r="B950" i="4"/>
  <c r="E949" i="4"/>
  <c r="D949" i="4"/>
  <c r="C949" i="4"/>
  <c r="B949" i="4"/>
  <c r="E948" i="4"/>
  <c r="D948" i="4"/>
  <c r="C948" i="4"/>
  <c r="B948" i="4"/>
  <c r="E947" i="4"/>
  <c r="D947" i="4"/>
  <c r="C947" i="4"/>
  <c r="B947" i="4"/>
  <c r="E946" i="4"/>
  <c r="D946" i="4"/>
  <c r="C946" i="4"/>
  <c r="B946" i="4"/>
  <c r="E945" i="4"/>
  <c r="D945" i="4"/>
  <c r="C945" i="4"/>
  <c r="B945" i="4"/>
  <c r="E944" i="4"/>
  <c r="D944" i="4"/>
  <c r="C944" i="4"/>
  <c r="B944" i="4"/>
  <c r="E943" i="4"/>
  <c r="D943" i="4"/>
  <c r="C943" i="4"/>
  <c r="B943" i="4"/>
  <c r="E942" i="4"/>
  <c r="D942" i="4"/>
  <c r="C942" i="4"/>
  <c r="B942" i="4"/>
  <c r="E941" i="4"/>
  <c r="D941" i="4"/>
  <c r="C941" i="4"/>
  <c r="B941" i="4"/>
  <c r="E940" i="4"/>
  <c r="D940" i="4"/>
  <c r="C940" i="4"/>
  <c r="B940" i="4"/>
  <c r="E939" i="4"/>
  <c r="D939" i="4"/>
  <c r="C939" i="4"/>
  <c r="B939" i="4"/>
  <c r="E938" i="4"/>
  <c r="D938" i="4"/>
  <c r="C938" i="4"/>
  <c r="B938" i="4"/>
  <c r="E937" i="4"/>
  <c r="D937" i="4"/>
  <c r="C937" i="4"/>
  <c r="B937" i="4"/>
  <c r="E936" i="4"/>
  <c r="D936" i="4"/>
  <c r="C936" i="4"/>
  <c r="B936" i="4"/>
  <c r="E935" i="4"/>
  <c r="D935" i="4"/>
  <c r="C935" i="4"/>
  <c r="B935" i="4"/>
  <c r="E934" i="4"/>
  <c r="D934" i="4"/>
  <c r="C934" i="4"/>
  <c r="B934" i="4"/>
  <c r="E933" i="4"/>
  <c r="D933" i="4"/>
  <c r="C933" i="4"/>
  <c r="B933" i="4"/>
  <c r="E932" i="4"/>
  <c r="D932" i="4"/>
  <c r="C932" i="4"/>
  <c r="B932" i="4"/>
  <c r="E931" i="4"/>
  <c r="D931" i="4"/>
  <c r="C931" i="4"/>
  <c r="B931" i="4"/>
  <c r="E930" i="4"/>
  <c r="D930" i="4"/>
  <c r="C930" i="4"/>
  <c r="B930" i="4"/>
  <c r="E929" i="4"/>
  <c r="D929" i="4"/>
  <c r="C929" i="4"/>
  <c r="B929" i="4"/>
  <c r="E928" i="4"/>
  <c r="D928" i="4"/>
  <c r="C928" i="4"/>
  <c r="B928" i="4"/>
  <c r="E927" i="4"/>
  <c r="D927" i="4"/>
  <c r="C927" i="4"/>
  <c r="B927" i="4"/>
  <c r="E926" i="4"/>
  <c r="D926" i="4"/>
  <c r="C926" i="4"/>
  <c r="B926" i="4"/>
  <c r="E925" i="4"/>
  <c r="D925" i="4"/>
  <c r="C925" i="4"/>
  <c r="B925" i="4"/>
  <c r="E924" i="4"/>
  <c r="D924" i="4"/>
  <c r="C924" i="4"/>
  <c r="B924" i="4"/>
  <c r="E923" i="4"/>
  <c r="D923" i="4"/>
  <c r="C923" i="4"/>
  <c r="B923" i="4"/>
  <c r="E922" i="4"/>
  <c r="D922" i="4"/>
  <c r="C922" i="4"/>
  <c r="B922" i="4"/>
  <c r="E921" i="4"/>
  <c r="D921" i="4"/>
  <c r="C921" i="4"/>
  <c r="B921" i="4"/>
  <c r="E920" i="4"/>
  <c r="D920" i="4"/>
  <c r="C920" i="4"/>
  <c r="B920" i="4"/>
  <c r="E919" i="4"/>
  <c r="D919" i="4"/>
  <c r="C919" i="4"/>
  <c r="B919" i="4"/>
  <c r="E918" i="4"/>
  <c r="D918" i="4"/>
  <c r="C918" i="4"/>
  <c r="B918" i="4"/>
  <c r="E917" i="4"/>
  <c r="D917" i="4"/>
  <c r="C917" i="4"/>
  <c r="B917" i="4"/>
  <c r="E916" i="4"/>
  <c r="D916" i="4"/>
  <c r="C916" i="4"/>
  <c r="B916" i="4"/>
  <c r="E915" i="4"/>
  <c r="D915" i="4"/>
  <c r="C915" i="4"/>
  <c r="B915" i="4"/>
  <c r="E914" i="4"/>
  <c r="D914" i="4"/>
  <c r="C914" i="4"/>
  <c r="B914" i="4"/>
  <c r="E913" i="4"/>
  <c r="D913" i="4"/>
  <c r="C913" i="4"/>
  <c r="B913" i="4"/>
  <c r="E912" i="4"/>
  <c r="D912" i="4"/>
  <c r="C912" i="4"/>
  <c r="B912" i="4"/>
  <c r="E911" i="4"/>
  <c r="D911" i="4"/>
  <c r="C911" i="4"/>
  <c r="B911" i="4"/>
  <c r="E910" i="4"/>
  <c r="D910" i="4"/>
  <c r="C910" i="4"/>
  <c r="B910" i="4"/>
  <c r="E909" i="4"/>
  <c r="D909" i="4"/>
  <c r="C909" i="4"/>
  <c r="B909" i="4"/>
  <c r="E908" i="4"/>
  <c r="D908" i="4"/>
  <c r="C908" i="4"/>
  <c r="B908" i="4"/>
  <c r="E907" i="4"/>
  <c r="D907" i="4"/>
  <c r="C907" i="4"/>
  <c r="B907" i="4"/>
  <c r="E906" i="4"/>
  <c r="D906" i="4"/>
  <c r="C906" i="4"/>
  <c r="B906" i="4"/>
  <c r="E905" i="4"/>
  <c r="D905" i="4"/>
  <c r="C905" i="4"/>
  <c r="B905" i="4"/>
  <c r="E904" i="4"/>
  <c r="D904" i="4"/>
  <c r="C904" i="4"/>
  <c r="B904" i="4"/>
  <c r="E903" i="4"/>
  <c r="D903" i="4"/>
  <c r="C903" i="4"/>
  <c r="B903" i="4"/>
  <c r="E902" i="4"/>
  <c r="D902" i="4"/>
  <c r="C902" i="4"/>
  <c r="B902" i="4"/>
  <c r="E901" i="4"/>
  <c r="D901" i="4"/>
  <c r="C901" i="4"/>
  <c r="B901" i="4"/>
  <c r="E900" i="4"/>
  <c r="D900" i="4"/>
  <c r="C900" i="4"/>
  <c r="B900" i="4"/>
  <c r="E899" i="4"/>
  <c r="D899" i="4"/>
  <c r="C899" i="4"/>
  <c r="B899" i="4"/>
  <c r="E898" i="4"/>
  <c r="D898" i="4"/>
  <c r="C898" i="4"/>
  <c r="B898" i="4"/>
  <c r="E897" i="4"/>
  <c r="D897" i="4"/>
  <c r="C897" i="4"/>
  <c r="B897" i="4"/>
  <c r="E896" i="4"/>
  <c r="D896" i="4"/>
  <c r="C896" i="4"/>
  <c r="B896" i="4"/>
  <c r="E895" i="4"/>
  <c r="D895" i="4"/>
  <c r="C895" i="4"/>
  <c r="B895" i="4"/>
  <c r="E894" i="4"/>
  <c r="D894" i="4"/>
  <c r="C894" i="4"/>
  <c r="B894" i="4"/>
  <c r="E893" i="4"/>
  <c r="D893" i="4"/>
  <c r="C893" i="4"/>
  <c r="B893" i="4"/>
  <c r="E892" i="4"/>
  <c r="D892" i="4"/>
  <c r="C892" i="4"/>
  <c r="B892" i="4"/>
  <c r="E891" i="4"/>
  <c r="D891" i="4"/>
  <c r="C891" i="4"/>
  <c r="B891" i="4"/>
  <c r="E890" i="4"/>
  <c r="D890" i="4"/>
  <c r="C890" i="4"/>
  <c r="B890" i="4"/>
  <c r="E889" i="4"/>
  <c r="D889" i="4"/>
  <c r="C889" i="4"/>
  <c r="B889" i="4"/>
  <c r="E888" i="4"/>
  <c r="D888" i="4"/>
  <c r="C888" i="4"/>
  <c r="B888" i="4"/>
  <c r="E887" i="4"/>
  <c r="D887" i="4"/>
  <c r="C887" i="4"/>
  <c r="B887" i="4"/>
  <c r="E886" i="4"/>
  <c r="D886" i="4"/>
  <c r="C886" i="4"/>
  <c r="B886" i="4"/>
  <c r="E885" i="4"/>
  <c r="D885" i="4"/>
  <c r="C885" i="4"/>
  <c r="B885" i="4"/>
  <c r="E884" i="4"/>
  <c r="D884" i="4"/>
  <c r="C884" i="4"/>
  <c r="B884" i="4"/>
  <c r="E883" i="4"/>
  <c r="D883" i="4"/>
  <c r="C883" i="4"/>
  <c r="B883" i="4"/>
  <c r="E882" i="4"/>
  <c r="D882" i="4"/>
  <c r="C882" i="4"/>
  <c r="B882" i="4"/>
  <c r="E881" i="4"/>
  <c r="D881" i="4"/>
  <c r="C881" i="4"/>
  <c r="B881" i="4"/>
  <c r="E880" i="4"/>
  <c r="D880" i="4"/>
  <c r="C880" i="4"/>
  <c r="B880" i="4"/>
  <c r="E879" i="4"/>
  <c r="D879" i="4"/>
  <c r="C879" i="4"/>
  <c r="B879" i="4"/>
  <c r="E878" i="4"/>
  <c r="D878" i="4"/>
  <c r="C878" i="4"/>
  <c r="B878" i="4"/>
  <c r="E877" i="4"/>
  <c r="D877" i="4"/>
  <c r="C877" i="4"/>
  <c r="B877" i="4"/>
  <c r="E876" i="4"/>
  <c r="D876" i="4"/>
  <c r="C876" i="4"/>
  <c r="B876" i="4"/>
  <c r="E875" i="4"/>
  <c r="D875" i="4"/>
  <c r="C875" i="4"/>
  <c r="B875" i="4"/>
  <c r="E874" i="4"/>
  <c r="D874" i="4"/>
  <c r="C874" i="4"/>
  <c r="B874" i="4"/>
  <c r="E873" i="4"/>
  <c r="D873" i="4"/>
  <c r="C873" i="4"/>
  <c r="B873" i="4"/>
  <c r="E872" i="4"/>
  <c r="D872" i="4"/>
  <c r="C872" i="4"/>
  <c r="B872" i="4"/>
  <c r="E871" i="4"/>
  <c r="D871" i="4"/>
  <c r="C871" i="4"/>
  <c r="B871" i="4"/>
  <c r="E870" i="4"/>
  <c r="D870" i="4"/>
  <c r="C870" i="4"/>
  <c r="B870" i="4"/>
  <c r="E869" i="4"/>
  <c r="D869" i="4"/>
  <c r="C869" i="4"/>
  <c r="B869" i="4"/>
  <c r="E868" i="4"/>
  <c r="D868" i="4"/>
  <c r="C868" i="4"/>
  <c r="B868" i="4"/>
  <c r="E867" i="4"/>
  <c r="D867" i="4"/>
  <c r="C867" i="4"/>
  <c r="B867" i="4"/>
  <c r="E866" i="4"/>
  <c r="D866" i="4"/>
  <c r="C866" i="4"/>
  <c r="B866" i="4"/>
  <c r="E865" i="4"/>
  <c r="D865" i="4"/>
  <c r="C865" i="4"/>
  <c r="B865" i="4"/>
  <c r="E864" i="4"/>
  <c r="D864" i="4"/>
  <c r="C864" i="4"/>
  <c r="B864" i="4"/>
  <c r="E863" i="4"/>
  <c r="D863" i="4"/>
  <c r="C863" i="4"/>
  <c r="B863" i="4"/>
  <c r="E862" i="4"/>
  <c r="D862" i="4"/>
  <c r="C862" i="4"/>
  <c r="B862" i="4"/>
  <c r="E861" i="4"/>
  <c r="D861" i="4"/>
  <c r="C861" i="4"/>
  <c r="B861" i="4"/>
  <c r="E860" i="4"/>
  <c r="D860" i="4"/>
  <c r="C860" i="4"/>
  <c r="B860" i="4"/>
  <c r="E859" i="4"/>
  <c r="D859" i="4"/>
  <c r="C859" i="4"/>
  <c r="B859" i="4"/>
  <c r="E858" i="4"/>
  <c r="D858" i="4"/>
  <c r="C858" i="4"/>
  <c r="B858" i="4"/>
  <c r="E857" i="4"/>
  <c r="D857" i="4"/>
  <c r="C857" i="4"/>
  <c r="B857" i="4"/>
  <c r="E856" i="4"/>
  <c r="D856" i="4"/>
  <c r="C856" i="4"/>
  <c r="B856" i="4"/>
  <c r="E855" i="4"/>
  <c r="D855" i="4"/>
  <c r="C855" i="4"/>
  <c r="B855" i="4"/>
  <c r="E854" i="4"/>
  <c r="D854" i="4"/>
  <c r="C854" i="4"/>
  <c r="B854" i="4"/>
  <c r="E853" i="4"/>
  <c r="D853" i="4"/>
  <c r="C853" i="4"/>
  <c r="B853" i="4"/>
  <c r="E852" i="4"/>
  <c r="D852" i="4"/>
  <c r="C852" i="4"/>
  <c r="B852" i="4"/>
  <c r="E851" i="4"/>
  <c r="D851" i="4"/>
  <c r="C851" i="4"/>
  <c r="B851" i="4"/>
  <c r="E850" i="4"/>
  <c r="D850" i="4"/>
  <c r="C850" i="4"/>
  <c r="B850" i="4"/>
  <c r="E849" i="4"/>
  <c r="D849" i="4"/>
  <c r="C849" i="4"/>
  <c r="B849" i="4"/>
  <c r="E848" i="4"/>
  <c r="D848" i="4"/>
  <c r="C848" i="4"/>
  <c r="B848" i="4"/>
  <c r="E847" i="4"/>
  <c r="D847" i="4"/>
  <c r="C847" i="4"/>
  <c r="B847" i="4"/>
  <c r="E846" i="4"/>
  <c r="D846" i="4"/>
  <c r="C846" i="4"/>
  <c r="B846" i="4"/>
  <c r="E845" i="4"/>
  <c r="D845" i="4"/>
  <c r="C845" i="4"/>
  <c r="B845" i="4"/>
  <c r="E844" i="4"/>
  <c r="D844" i="4"/>
  <c r="C844" i="4"/>
  <c r="B844" i="4"/>
  <c r="E843" i="4"/>
  <c r="D843" i="4"/>
  <c r="C843" i="4"/>
  <c r="B843" i="4"/>
  <c r="E842" i="4"/>
  <c r="D842" i="4"/>
  <c r="C842" i="4"/>
  <c r="B842" i="4"/>
  <c r="E841" i="4"/>
  <c r="D841" i="4"/>
  <c r="C841" i="4"/>
  <c r="B841" i="4"/>
  <c r="E840" i="4"/>
  <c r="D840" i="4"/>
  <c r="C840" i="4"/>
  <c r="B840" i="4"/>
  <c r="E839" i="4"/>
  <c r="D839" i="4"/>
  <c r="C839" i="4"/>
  <c r="B839" i="4"/>
  <c r="E838" i="4"/>
  <c r="D838" i="4"/>
  <c r="C838" i="4"/>
  <c r="B838" i="4"/>
  <c r="E837" i="4"/>
  <c r="D837" i="4"/>
  <c r="C837" i="4"/>
  <c r="B837" i="4"/>
  <c r="E836" i="4"/>
  <c r="D836" i="4"/>
  <c r="C836" i="4"/>
  <c r="B836" i="4"/>
  <c r="E835" i="4"/>
  <c r="D835" i="4"/>
  <c r="C835" i="4"/>
  <c r="B835" i="4"/>
  <c r="E834" i="4"/>
  <c r="D834" i="4"/>
  <c r="C834" i="4"/>
  <c r="B834" i="4"/>
  <c r="E833" i="4"/>
  <c r="D833" i="4"/>
  <c r="C833" i="4"/>
  <c r="B833" i="4"/>
  <c r="E832" i="4"/>
  <c r="D832" i="4"/>
  <c r="C832" i="4"/>
  <c r="B832" i="4"/>
  <c r="E831" i="4"/>
  <c r="D831" i="4"/>
  <c r="C831" i="4"/>
  <c r="B831" i="4"/>
  <c r="E830" i="4"/>
  <c r="D830" i="4"/>
  <c r="C830" i="4"/>
  <c r="B830" i="4"/>
  <c r="E829" i="4"/>
  <c r="D829" i="4"/>
  <c r="C829" i="4"/>
  <c r="B829" i="4"/>
  <c r="E828" i="4"/>
  <c r="D828" i="4"/>
  <c r="C828" i="4"/>
  <c r="B828" i="4"/>
  <c r="E827" i="4"/>
  <c r="D827" i="4"/>
  <c r="C827" i="4"/>
  <c r="B827" i="4"/>
  <c r="E826" i="4"/>
  <c r="D826" i="4"/>
  <c r="C826" i="4"/>
  <c r="B826" i="4"/>
  <c r="E825" i="4"/>
  <c r="D825" i="4"/>
  <c r="C825" i="4"/>
  <c r="B825" i="4"/>
  <c r="E824" i="4"/>
  <c r="D824" i="4"/>
  <c r="C824" i="4"/>
  <c r="B824" i="4"/>
  <c r="E823" i="4"/>
  <c r="D823" i="4"/>
  <c r="C823" i="4"/>
  <c r="B823" i="4"/>
  <c r="E822" i="4"/>
  <c r="D822" i="4"/>
  <c r="C822" i="4"/>
  <c r="B822" i="4"/>
  <c r="E821" i="4"/>
  <c r="D821" i="4"/>
  <c r="C821" i="4"/>
  <c r="B821" i="4"/>
  <c r="E820" i="4"/>
  <c r="D820" i="4"/>
  <c r="C820" i="4"/>
  <c r="B820" i="4"/>
  <c r="E819" i="4"/>
  <c r="D819" i="4"/>
  <c r="C819" i="4"/>
  <c r="B819" i="4"/>
  <c r="E818" i="4"/>
  <c r="D818" i="4"/>
  <c r="C818" i="4"/>
  <c r="B818" i="4"/>
  <c r="E817" i="4"/>
  <c r="D817" i="4"/>
  <c r="C817" i="4"/>
  <c r="B817" i="4"/>
  <c r="E816" i="4"/>
  <c r="D816" i="4"/>
  <c r="C816" i="4"/>
  <c r="B816" i="4"/>
  <c r="E815" i="4"/>
  <c r="D815" i="4"/>
  <c r="C815" i="4"/>
  <c r="B815" i="4"/>
  <c r="E814" i="4"/>
  <c r="D814" i="4"/>
  <c r="C814" i="4"/>
  <c r="B814" i="4"/>
  <c r="E813" i="4"/>
  <c r="D813" i="4"/>
  <c r="C813" i="4"/>
  <c r="B813" i="4"/>
  <c r="E812" i="4"/>
  <c r="D812" i="4"/>
  <c r="C812" i="4"/>
  <c r="B812" i="4"/>
  <c r="E811" i="4"/>
  <c r="D811" i="4"/>
  <c r="C811" i="4"/>
  <c r="B811" i="4"/>
  <c r="E810" i="4"/>
  <c r="D810" i="4"/>
  <c r="C810" i="4"/>
  <c r="B810" i="4"/>
  <c r="E809" i="4"/>
  <c r="D809" i="4"/>
  <c r="C809" i="4"/>
  <c r="B809" i="4"/>
  <c r="E808" i="4"/>
  <c r="D808" i="4"/>
  <c r="C808" i="4"/>
  <c r="B808" i="4"/>
  <c r="E807" i="4"/>
  <c r="D807" i="4"/>
  <c r="C807" i="4"/>
  <c r="B807" i="4"/>
  <c r="E806" i="4"/>
  <c r="D806" i="4"/>
  <c r="C806" i="4"/>
  <c r="B806" i="4"/>
  <c r="E805" i="4"/>
  <c r="D805" i="4"/>
  <c r="C805" i="4"/>
  <c r="B805" i="4"/>
  <c r="E804" i="4"/>
  <c r="D804" i="4"/>
  <c r="C804" i="4"/>
  <c r="B804" i="4"/>
  <c r="E803" i="4"/>
  <c r="D803" i="4"/>
  <c r="C803" i="4"/>
  <c r="B803" i="4"/>
  <c r="E802" i="4"/>
  <c r="D802" i="4"/>
  <c r="C802" i="4"/>
  <c r="B802" i="4"/>
  <c r="E801" i="4"/>
  <c r="D801" i="4"/>
  <c r="C801" i="4"/>
  <c r="B801" i="4"/>
  <c r="E800" i="4"/>
  <c r="D800" i="4"/>
  <c r="C800" i="4"/>
  <c r="B800" i="4"/>
  <c r="E799" i="4"/>
  <c r="D799" i="4"/>
  <c r="C799" i="4"/>
  <c r="B799" i="4"/>
  <c r="E798" i="4"/>
  <c r="D798" i="4"/>
  <c r="C798" i="4"/>
  <c r="B798" i="4"/>
  <c r="E797" i="4"/>
  <c r="D797" i="4"/>
  <c r="C797" i="4"/>
  <c r="B797" i="4"/>
  <c r="E796" i="4"/>
  <c r="D796" i="4"/>
  <c r="C796" i="4"/>
  <c r="B796" i="4"/>
  <c r="E795" i="4"/>
  <c r="D795" i="4"/>
  <c r="C795" i="4"/>
  <c r="B795" i="4"/>
  <c r="E794" i="4"/>
  <c r="D794" i="4"/>
  <c r="C794" i="4"/>
  <c r="B794" i="4"/>
  <c r="E793" i="4"/>
  <c r="D793" i="4"/>
  <c r="C793" i="4"/>
  <c r="B793" i="4"/>
  <c r="E792" i="4"/>
  <c r="D792" i="4"/>
  <c r="C792" i="4"/>
  <c r="B792" i="4"/>
  <c r="E791" i="4"/>
  <c r="D791" i="4"/>
  <c r="C791" i="4"/>
  <c r="B791" i="4"/>
  <c r="E790" i="4"/>
  <c r="D790" i="4"/>
  <c r="C790" i="4"/>
  <c r="B790" i="4"/>
  <c r="E789" i="4"/>
  <c r="D789" i="4"/>
  <c r="C789" i="4"/>
  <c r="B789" i="4"/>
  <c r="E788" i="4"/>
  <c r="D788" i="4"/>
  <c r="C788" i="4"/>
  <c r="B788" i="4"/>
  <c r="E787" i="4"/>
  <c r="D787" i="4"/>
  <c r="C787" i="4"/>
  <c r="B787" i="4"/>
  <c r="E786" i="4"/>
  <c r="D786" i="4"/>
  <c r="C786" i="4"/>
  <c r="B786" i="4"/>
  <c r="E785" i="4"/>
  <c r="D785" i="4"/>
  <c r="C785" i="4"/>
  <c r="B785" i="4"/>
  <c r="E784" i="4"/>
  <c r="D784" i="4"/>
  <c r="C784" i="4"/>
  <c r="B784" i="4"/>
  <c r="E783" i="4"/>
  <c r="D783" i="4"/>
  <c r="C783" i="4"/>
  <c r="B783" i="4"/>
  <c r="E782" i="4"/>
  <c r="D782" i="4"/>
  <c r="C782" i="4"/>
  <c r="B782" i="4"/>
  <c r="E781" i="4"/>
  <c r="D781" i="4"/>
  <c r="C781" i="4"/>
  <c r="B781" i="4"/>
  <c r="E780" i="4"/>
  <c r="D780" i="4"/>
  <c r="C780" i="4"/>
  <c r="B780" i="4"/>
  <c r="E779" i="4"/>
  <c r="D779" i="4"/>
  <c r="C779" i="4"/>
  <c r="B779" i="4"/>
  <c r="E778" i="4"/>
  <c r="D778" i="4"/>
  <c r="C778" i="4"/>
  <c r="B778" i="4"/>
  <c r="E777" i="4"/>
  <c r="D777" i="4"/>
  <c r="C777" i="4"/>
  <c r="B777" i="4"/>
  <c r="E776" i="4"/>
  <c r="D776" i="4"/>
  <c r="C776" i="4"/>
  <c r="B776" i="4"/>
  <c r="E775" i="4"/>
  <c r="D775" i="4"/>
  <c r="C775" i="4"/>
  <c r="B775" i="4"/>
  <c r="E774" i="4"/>
  <c r="D774" i="4"/>
  <c r="C774" i="4"/>
  <c r="B774" i="4"/>
  <c r="E773" i="4"/>
  <c r="D773" i="4"/>
  <c r="C773" i="4"/>
  <c r="B773" i="4"/>
  <c r="E772" i="4"/>
  <c r="D772" i="4"/>
  <c r="C772" i="4"/>
  <c r="B772" i="4"/>
  <c r="E771" i="4"/>
  <c r="D771" i="4"/>
  <c r="C771" i="4"/>
  <c r="B771" i="4"/>
  <c r="E770" i="4"/>
  <c r="D770" i="4"/>
  <c r="C770" i="4"/>
  <c r="B770" i="4"/>
  <c r="E769" i="4"/>
  <c r="D769" i="4"/>
  <c r="C769" i="4"/>
  <c r="B769" i="4"/>
  <c r="E768" i="4"/>
  <c r="D768" i="4"/>
  <c r="C768" i="4"/>
  <c r="B768" i="4"/>
  <c r="E767" i="4"/>
  <c r="D767" i="4"/>
  <c r="C767" i="4"/>
  <c r="B767" i="4"/>
  <c r="E766" i="4"/>
  <c r="D766" i="4"/>
  <c r="C766" i="4"/>
  <c r="B766" i="4"/>
  <c r="E765" i="4"/>
  <c r="D765" i="4"/>
  <c r="C765" i="4"/>
  <c r="B765" i="4"/>
  <c r="E764" i="4"/>
  <c r="D764" i="4"/>
  <c r="C764" i="4"/>
  <c r="B764" i="4"/>
  <c r="E763" i="4"/>
  <c r="D763" i="4"/>
  <c r="C763" i="4"/>
  <c r="B763" i="4"/>
  <c r="E762" i="4"/>
  <c r="D762" i="4"/>
  <c r="C762" i="4"/>
  <c r="B762" i="4"/>
  <c r="E761" i="4"/>
  <c r="D761" i="4"/>
  <c r="C761" i="4"/>
  <c r="B761" i="4"/>
  <c r="E760" i="4"/>
  <c r="D760" i="4"/>
  <c r="C760" i="4"/>
  <c r="B760" i="4"/>
  <c r="E759" i="4"/>
  <c r="D759" i="4"/>
  <c r="C759" i="4"/>
  <c r="B759" i="4"/>
  <c r="E758" i="4"/>
  <c r="D758" i="4"/>
  <c r="C758" i="4"/>
  <c r="B758" i="4"/>
  <c r="E757" i="4"/>
  <c r="D757" i="4"/>
  <c r="C757" i="4"/>
  <c r="B757" i="4"/>
  <c r="E756" i="4"/>
  <c r="D756" i="4"/>
  <c r="C756" i="4"/>
  <c r="B756" i="4"/>
  <c r="E755" i="4"/>
  <c r="D755" i="4"/>
  <c r="C755" i="4"/>
  <c r="B755" i="4"/>
  <c r="E754" i="4"/>
  <c r="D754" i="4"/>
  <c r="C754" i="4"/>
  <c r="B754" i="4"/>
  <c r="E753" i="4"/>
  <c r="D753" i="4"/>
  <c r="C753" i="4"/>
  <c r="B753" i="4"/>
  <c r="E752" i="4"/>
  <c r="D752" i="4"/>
  <c r="C752" i="4"/>
  <c r="B752" i="4"/>
  <c r="E751" i="4"/>
  <c r="D751" i="4"/>
  <c r="C751" i="4"/>
  <c r="B751" i="4"/>
  <c r="E750" i="4"/>
  <c r="D750" i="4"/>
  <c r="C750" i="4"/>
  <c r="B750" i="4"/>
  <c r="E749" i="4"/>
  <c r="D749" i="4"/>
  <c r="C749" i="4"/>
  <c r="B749" i="4"/>
  <c r="E748" i="4"/>
  <c r="D748" i="4"/>
  <c r="C748" i="4"/>
  <c r="B748" i="4"/>
  <c r="E747" i="4"/>
  <c r="D747" i="4"/>
  <c r="C747" i="4"/>
  <c r="B747" i="4"/>
  <c r="E746" i="4"/>
  <c r="D746" i="4"/>
  <c r="C746" i="4"/>
  <c r="B746" i="4"/>
  <c r="E745" i="4"/>
  <c r="D745" i="4"/>
  <c r="C745" i="4"/>
  <c r="B745" i="4"/>
  <c r="E744" i="4"/>
  <c r="D744" i="4"/>
  <c r="C744" i="4"/>
  <c r="B744" i="4"/>
  <c r="E743" i="4"/>
  <c r="D743" i="4"/>
  <c r="C743" i="4"/>
  <c r="B743" i="4"/>
  <c r="E742" i="4"/>
  <c r="D742" i="4"/>
  <c r="C742" i="4"/>
  <c r="B742" i="4"/>
  <c r="E741" i="4"/>
  <c r="D741" i="4"/>
  <c r="C741" i="4"/>
  <c r="B741" i="4"/>
  <c r="E740" i="4"/>
  <c r="D740" i="4"/>
  <c r="C740" i="4"/>
  <c r="B740" i="4"/>
  <c r="E739" i="4"/>
  <c r="D739" i="4"/>
  <c r="C739" i="4"/>
  <c r="B739" i="4"/>
  <c r="E738" i="4"/>
  <c r="D738" i="4"/>
  <c r="C738" i="4"/>
  <c r="B738" i="4"/>
  <c r="E737" i="4"/>
  <c r="D737" i="4"/>
  <c r="C737" i="4"/>
  <c r="B737" i="4"/>
  <c r="E736" i="4"/>
  <c r="D736" i="4"/>
  <c r="C736" i="4"/>
  <c r="B736" i="4"/>
  <c r="E735" i="4"/>
  <c r="D735" i="4"/>
  <c r="C735" i="4"/>
  <c r="B735" i="4"/>
  <c r="E734" i="4"/>
  <c r="D734" i="4"/>
  <c r="C734" i="4"/>
  <c r="B734" i="4"/>
  <c r="E733" i="4"/>
  <c r="D733" i="4"/>
  <c r="C733" i="4"/>
  <c r="B733" i="4"/>
  <c r="E732" i="4"/>
  <c r="D732" i="4"/>
  <c r="C732" i="4"/>
  <c r="B732" i="4"/>
  <c r="E731" i="4"/>
  <c r="D731" i="4"/>
  <c r="C731" i="4"/>
  <c r="B731" i="4"/>
  <c r="E730" i="4"/>
  <c r="D730" i="4"/>
  <c r="C730" i="4"/>
  <c r="B730" i="4"/>
  <c r="E729" i="4"/>
  <c r="D729" i="4"/>
  <c r="C729" i="4"/>
  <c r="B729" i="4"/>
  <c r="E728" i="4"/>
  <c r="D728" i="4"/>
  <c r="C728" i="4"/>
  <c r="B728" i="4"/>
  <c r="E727" i="4"/>
  <c r="D727" i="4"/>
  <c r="C727" i="4"/>
  <c r="B727" i="4"/>
  <c r="E726" i="4"/>
  <c r="D726" i="4"/>
  <c r="C726" i="4"/>
  <c r="B726" i="4"/>
  <c r="E725" i="4"/>
  <c r="D725" i="4"/>
  <c r="C725" i="4"/>
  <c r="B725" i="4"/>
  <c r="E724" i="4"/>
  <c r="D724" i="4"/>
  <c r="C724" i="4"/>
  <c r="B724" i="4"/>
  <c r="E723" i="4"/>
  <c r="D723" i="4"/>
  <c r="C723" i="4"/>
  <c r="B723" i="4"/>
  <c r="E722" i="4"/>
  <c r="D722" i="4"/>
  <c r="C722" i="4"/>
  <c r="B722" i="4"/>
  <c r="E721" i="4"/>
  <c r="D721" i="4"/>
  <c r="C721" i="4"/>
  <c r="B721" i="4"/>
  <c r="E720" i="4"/>
  <c r="D720" i="4"/>
  <c r="C720" i="4"/>
  <c r="B720" i="4"/>
  <c r="E719" i="4"/>
  <c r="D719" i="4"/>
  <c r="C719" i="4"/>
  <c r="B719" i="4"/>
  <c r="E718" i="4"/>
  <c r="D718" i="4"/>
  <c r="C718" i="4"/>
  <c r="B718" i="4"/>
  <c r="E717" i="4"/>
  <c r="D717" i="4"/>
  <c r="C717" i="4"/>
  <c r="B717" i="4"/>
  <c r="E716" i="4"/>
  <c r="D716" i="4"/>
  <c r="C716" i="4"/>
  <c r="B716" i="4"/>
  <c r="E715" i="4"/>
  <c r="D715" i="4"/>
  <c r="C715" i="4"/>
  <c r="B715" i="4"/>
  <c r="E714" i="4"/>
  <c r="D714" i="4"/>
  <c r="C714" i="4"/>
  <c r="B714" i="4"/>
  <c r="E713" i="4"/>
  <c r="D713" i="4"/>
  <c r="C713" i="4"/>
  <c r="B713" i="4"/>
  <c r="E712" i="4"/>
  <c r="D712" i="4"/>
  <c r="C712" i="4"/>
  <c r="B712" i="4"/>
  <c r="E711" i="4"/>
  <c r="D711" i="4"/>
  <c r="C711" i="4"/>
  <c r="B711" i="4"/>
  <c r="E710" i="4"/>
  <c r="D710" i="4"/>
  <c r="C710" i="4"/>
  <c r="B710" i="4"/>
  <c r="E709" i="4"/>
  <c r="D709" i="4"/>
  <c r="C709" i="4"/>
  <c r="B709" i="4"/>
  <c r="E708" i="4"/>
  <c r="D708" i="4"/>
  <c r="C708" i="4"/>
  <c r="B708" i="4"/>
  <c r="E707" i="4"/>
  <c r="D707" i="4"/>
  <c r="C707" i="4"/>
  <c r="B707" i="4"/>
  <c r="E706" i="4"/>
  <c r="D706" i="4"/>
  <c r="C706" i="4"/>
  <c r="B706" i="4"/>
  <c r="E705" i="4"/>
  <c r="D705" i="4"/>
  <c r="C705" i="4"/>
  <c r="B705" i="4"/>
  <c r="E704" i="4"/>
  <c r="D704" i="4"/>
  <c r="C704" i="4"/>
  <c r="B704" i="4"/>
  <c r="E703" i="4"/>
  <c r="D703" i="4"/>
  <c r="C703" i="4"/>
  <c r="B703" i="4"/>
  <c r="E702" i="4"/>
  <c r="D702" i="4"/>
  <c r="C702" i="4"/>
  <c r="B702" i="4"/>
  <c r="E701" i="4"/>
  <c r="D701" i="4"/>
  <c r="C701" i="4"/>
  <c r="B701" i="4"/>
  <c r="E700" i="4"/>
  <c r="D700" i="4"/>
  <c r="C700" i="4"/>
  <c r="B700" i="4"/>
  <c r="E699" i="4"/>
  <c r="D699" i="4"/>
  <c r="C699" i="4"/>
  <c r="B699" i="4"/>
  <c r="E698" i="4"/>
  <c r="D698" i="4"/>
  <c r="C698" i="4"/>
  <c r="B698" i="4"/>
  <c r="E697" i="4"/>
  <c r="D697" i="4"/>
  <c r="C697" i="4"/>
  <c r="B697" i="4"/>
  <c r="E696" i="4"/>
  <c r="D696" i="4"/>
  <c r="C696" i="4"/>
  <c r="B696" i="4"/>
  <c r="E695" i="4"/>
  <c r="D695" i="4"/>
  <c r="C695" i="4"/>
  <c r="B695" i="4"/>
  <c r="E694" i="4"/>
  <c r="D694" i="4"/>
  <c r="C694" i="4"/>
  <c r="B694" i="4"/>
  <c r="E693" i="4"/>
  <c r="D693" i="4"/>
  <c r="C693" i="4"/>
  <c r="B693" i="4"/>
  <c r="E692" i="4"/>
  <c r="D692" i="4"/>
  <c r="C692" i="4"/>
  <c r="B692" i="4"/>
  <c r="E691" i="4"/>
  <c r="D691" i="4"/>
  <c r="C691" i="4"/>
  <c r="B691" i="4"/>
  <c r="E690" i="4"/>
  <c r="D690" i="4"/>
  <c r="C690" i="4"/>
  <c r="B690" i="4"/>
  <c r="E689" i="4"/>
  <c r="D689" i="4"/>
  <c r="C689" i="4"/>
  <c r="B689" i="4"/>
  <c r="E688" i="4"/>
  <c r="D688" i="4"/>
  <c r="C688" i="4"/>
  <c r="B688" i="4"/>
  <c r="E687" i="4"/>
  <c r="D687" i="4"/>
  <c r="C687" i="4"/>
  <c r="B687" i="4"/>
  <c r="E686" i="4"/>
  <c r="D686" i="4"/>
  <c r="C686" i="4"/>
  <c r="B686" i="4"/>
  <c r="E685" i="4"/>
  <c r="D685" i="4"/>
  <c r="C685" i="4"/>
  <c r="B685" i="4"/>
  <c r="E684" i="4"/>
  <c r="D684" i="4"/>
  <c r="C684" i="4"/>
  <c r="B684" i="4"/>
  <c r="E683" i="4"/>
  <c r="D683" i="4"/>
  <c r="C683" i="4"/>
  <c r="B683" i="4"/>
  <c r="E682" i="4"/>
  <c r="D682" i="4"/>
  <c r="C682" i="4"/>
  <c r="B682" i="4"/>
  <c r="E681" i="4"/>
  <c r="D681" i="4"/>
  <c r="C681" i="4"/>
  <c r="B681" i="4"/>
  <c r="E680" i="4"/>
  <c r="D680" i="4"/>
  <c r="C680" i="4"/>
  <c r="B680" i="4"/>
  <c r="E679" i="4"/>
  <c r="D679" i="4"/>
  <c r="C679" i="4"/>
  <c r="B679" i="4"/>
  <c r="E678" i="4"/>
  <c r="D678" i="4"/>
  <c r="C678" i="4"/>
  <c r="B678" i="4"/>
  <c r="E677" i="4"/>
  <c r="D677" i="4"/>
  <c r="C677" i="4"/>
  <c r="B677" i="4"/>
  <c r="E676" i="4"/>
  <c r="D676" i="4"/>
  <c r="C676" i="4"/>
  <c r="B676" i="4"/>
  <c r="E675" i="4"/>
  <c r="D675" i="4"/>
  <c r="C675" i="4"/>
  <c r="B675" i="4"/>
  <c r="E674" i="4"/>
  <c r="D674" i="4"/>
  <c r="C674" i="4"/>
  <c r="B674" i="4"/>
  <c r="E673" i="4"/>
  <c r="D673" i="4"/>
  <c r="C673" i="4"/>
  <c r="B673" i="4"/>
  <c r="E672" i="4"/>
  <c r="D672" i="4"/>
  <c r="C672" i="4"/>
  <c r="B672" i="4"/>
  <c r="E671" i="4"/>
  <c r="D671" i="4"/>
  <c r="C671" i="4"/>
  <c r="B671" i="4"/>
  <c r="E670" i="4"/>
  <c r="D670" i="4"/>
  <c r="C670" i="4"/>
  <c r="B670" i="4"/>
  <c r="E669" i="4"/>
  <c r="D669" i="4"/>
  <c r="C669" i="4"/>
  <c r="B669" i="4"/>
  <c r="E668" i="4"/>
  <c r="D668" i="4"/>
  <c r="C668" i="4"/>
  <c r="B668" i="4"/>
  <c r="E667" i="4"/>
  <c r="D667" i="4"/>
  <c r="C667" i="4"/>
  <c r="B667" i="4"/>
  <c r="E666" i="4"/>
  <c r="D666" i="4"/>
  <c r="C666" i="4"/>
  <c r="B666" i="4"/>
  <c r="E665" i="4"/>
  <c r="D665" i="4"/>
  <c r="C665" i="4"/>
  <c r="B665" i="4"/>
  <c r="E664" i="4"/>
  <c r="D664" i="4"/>
  <c r="C664" i="4"/>
  <c r="B664" i="4"/>
  <c r="E663" i="4"/>
  <c r="D663" i="4"/>
  <c r="C663" i="4"/>
  <c r="B663" i="4"/>
  <c r="E662" i="4"/>
  <c r="D662" i="4"/>
  <c r="C662" i="4"/>
  <c r="B662" i="4"/>
  <c r="E661" i="4"/>
  <c r="D661" i="4"/>
  <c r="C661" i="4"/>
  <c r="B661" i="4"/>
  <c r="E660" i="4"/>
  <c r="D660" i="4"/>
  <c r="C660" i="4"/>
  <c r="B660" i="4"/>
  <c r="E659" i="4"/>
  <c r="D659" i="4"/>
  <c r="C659" i="4"/>
  <c r="B659" i="4"/>
  <c r="E658" i="4"/>
  <c r="D658" i="4"/>
  <c r="C658" i="4"/>
  <c r="B658" i="4"/>
  <c r="E657" i="4"/>
  <c r="D657" i="4"/>
  <c r="C657" i="4"/>
  <c r="B657" i="4"/>
  <c r="E656" i="4"/>
  <c r="D656" i="4"/>
  <c r="C656" i="4"/>
  <c r="B656" i="4"/>
  <c r="E655" i="4"/>
  <c r="D655" i="4"/>
  <c r="C655" i="4"/>
  <c r="B655" i="4"/>
  <c r="E654" i="4"/>
  <c r="D654" i="4"/>
  <c r="C654" i="4"/>
  <c r="B654" i="4"/>
  <c r="E653" i="4"/>
  <c r="D653" i="4"/>
  <c r="C653" i="4"/>
  <c r="B653" i="4"/>
  <c r="E652" i="4"/>
  <c r="D652" i="4"/>
  <c r="C652" i="4"/>
  <c r="B652" i="4"/>
  <c r="E651" i="4"/>
  <c r="D651" i="4"/>
  <c r="C651" i="4"/>
  <c r="B651" i="4"/>
  <c r="E650" i="4"/>
  <c r="D650" i="4"/>
  <c r="C650" i="4"/>
  <c r="B650" i="4"/>
  <c r="E649" i="4"/>
  <c r="D649" i="4"/>
  <c r="C649" i="4"/>
  <c r="B649" i="4"/>
  <c r="E648" i="4"/>
  <c r="D648" i="4"/>
  <c r="C648" i="4"/>
  <c r="B648" i="4"/>
  <c r="E647" i="4"/>
  <c r="D647" i="4"/>
  <c r="C647" i="4"/>
  <c r="B647" i="4"/>
  <c r="E646" i="4"/>
  <c r="D646" i="4"/>
  <c r="C646" i="4"/>
  <c r="B646" i="4"/>
  <c r="E645" i="4"/>
  <c r="D645" i="4"/>
  <c r="C645" i="4"/>
  <c r="B645" i="4"/>
  <c r="E644" i="4"/>
  <c r="D644" i="4"/>
  <c r="C644" i="4"/>
  <c r="B644" i="4"/>
  <c r="E643" i="4"/>
  <c r="D643" i="4"/>
  <c r="C643" i="4"/>
  <c r="B643" i="4"/>
  <c r="E642" i="4"/>
  <c r="D642" i="4"/>
  <c r="C642" i="4"/>
  <c r="B642" i="4"/>
  <c r="E641" i="4"/>
  <c r="D641" i="4"/>
  <c r="C641" i="4"/>
  <c r="B641" i="4"/>
  <c r="E640" i="4"/>
  <c r="D640" i="4"/>
  <c r="C640" i="4"/>
  <c r="B640" i="4"/>
  <c r="E639" i="4"/>
  <c r="D639" i="4"/>
  <c r="C639" i="4"/>
  <c r="B639" i="4"/>
  <c r="E638" i="4"/>
  <c r="D638" i="4"/>
  <c r="C638" i="4"/>
  <c r="B638" i="4"/>
  <c r="E637" i="4"/>
  <c r="D637" i="4"/>
  <c r="C637" i="4"/>
  <c r="B637" i="4"/>
  <c r="E636" i="4"/>
  <c r="D636" i="4"/>
  <c r="C636" i="4"/>
  <c r="B636" i="4"/>
  <c r="E635" i="4"/>
  <c r="D635" i="4"/>
  <c r="C635" i="4"/>
  <c r="B635" i="4"/>
  <c r="E634" i="4"/>
  <c r="D634" i="4"/>
  <c r="C634" i="4"/>
  <c r="B634" i="4"/>
  <c r="E633" i="4"/>
  <c r="D633" i="4"/>
  <c r="C633" i="4"/>
  <c r="B633" i="4"/>
  <c r="E632" i="4"/>
  <c r="D632" i="4"/>
  <c r="C632" i="4"/>
  <c r="B632" i="4"/>
  <c r="E631" i="4"/>
  <c r="D631" i="4"/>
  <c r="C631" i="4"/>
  <c r="B631" i="4"/>
  <c r="E630" i="4"/>
  <c r="D630" i="4"/>
  <c r="C630" i="4"/>
  <c r="B630" i="4"/>
  <c r="E629" i="4"/>
  <c r="D629" i="4"/>
  <c r="C629" i="4"/>
  <c r="B629" i="4"/>
  <c r="E628" i="4"/>
  <c r="D628" i="4"/>
  <c r="C628" i="4"/>
  <c r="B628" i="4"/>
  <c r="E627" i="4"/>
  <c r="D627" i="4"/>
  <c r="C627" i="4"/>
  <c r="B627" i="4"/>
  <c r="E626" i="4"/>
  <c r="D626" i="4"/>
  <c r="C626" i="4"/>
  <c r="B626" i="4"/>
  <c r="E625" i="4"/>
  <c r="D625" i="4"/>
  <c r="C625" i="4"/>
  <c r="B625" i="4"/>
  <c r="E624" i="4"/>
  <c r="D624" i="4"/>
  <c r="C624" i="4"/>
  <c r="B624" i="4"/>
  <c r="E623" i="4"/>
  <c r="D623" i="4"/>
  <c r="C623" i="4"/>
  <c r="B623" i="4"/>
  <c r="E622" i="4"/>
  <c r="D622" i="4"/>
  <c r="C622" i="4"/>
  <c r="B622" i="4"/>
  <c r="E621" i="4"/>
  <c r="D621" i="4"/>
  <c r="C621" i="4"/>
  <c r="B621" i="4"/>
  <c r="E620" i="4"/>
  <c r="D620" i="4"/>
  <c r="C620" i="4"/>
  <c r="B620" i="4"/>
  <c r="E619" i="4"/>
  <c r="D619" i="4"/>
  <c r="C619" i="4"/>
  <c r="B619" i="4"/>
  <c r="E618" i="4"/>
  <c r="D618" i="4"/>
  <c r="C618" i="4"/>
  <c r="B618" i="4"/>
  <c r="E617" i="4"/>
  <c r="D617" i="4"/>
  <c r="C617" i="4"/>
  <c r="B617" i="4"/>
  <c r="E616" i="4"/>
  <c r="D616" i="4"/>
  <c r="C616" i="4"/>
  <c r="B616" i="4"/>
  <c r="E615" i="4"/>
  <c r="D615" i="4"/>
  <c r="C615" i="4"/>
  <c r="B615" i="4"/>
  <c r="E614" i="4"/>
  <c r="D614" i="4"/>
  <c r="C614" i="4"/>
  <c r="B614" i="4"/>
  <c r="E613" i="4"/>
  <c r="D613" i="4"/>
  <c r="C613" i="4"/>
  <c r="B613" i="4"/>
  <c r="E612" i="4"/>
  <c r="D612" i="4"/>
  <c r="C612" i="4"/>
  <c r="B612" i="4"/>
  <c r="E611" i="4"/>
  <c r="D611" i="4"/>
  <c r="C611" i="4"/>
  <c r="B611" i="4"/>
  <c r="E610" i="4"/>
  <c r="D610" i="4"/>
  <c r="C610" i="4"/>
  <c r="B610" i="4"/>
  <c r="E609" i="4"/>
  <c r="D609" i="4"/>
  <c r="C609" i="4"/>
  <c r="B609" i="4"/>
  <c r="E608" i="4"/>
  <c r="D608" i="4"/>
  <c r="C608" i="4"/>
  <c r="B608" i="4"/>
  <c r="E607" i="4"/>
  <c r="D607" i="4"/>
  <c r="C607" i="4"/>
  <c r="B607" i="4"/>
  <c r="E606" i="4"/>
  <c r="D606" i="4"/>
  <c r="C606" i="4"/>
  <c r="B606" i="4"/>
  <c r="E605" i="4"/>
  <c r="D605" i="4"/>
  <c r="C605" i="4"/>
  <c r="B605" i="4"/>
  <c r="E604" i="4"/>
  <c r="D604" i="4"/>
  <c r="C604" i="4"/>
  <c r="B604" i="4"/>
  <c r="E603" i="4"/>
  <c r="D603" i="4"/>
  <c r="C603" i="4"/>
  <c r="B603" i="4"/>
  <c r="E602" i="4"/>
  <c r="D602" i="4"/>
  <c r="C602" i="4"/>
  <c r="B602" i="4"/>
  <c r="E601" i="4"/>
  <c r="D601" i="4"/>
  <c r="C601" i="4"/>
  <c r="B601" i="4"/>
  <c r="E600" i="4"/>
  <c r="D600" i="4"/>
  <c r="C600" i="4"/>
  <c r="B600" i="4"/>
  <c r="E599" i="4"/>
  <c r="D599" i="4"/>
  <c r="C599" i="4"/>
  <c r="B599" i="4"/>
  <c r="E598" i="4"/>
  <c r="D598" i="4"/>
  <c r="C598" i="4"/>
  <c r="B598" i="4"/>
  <c r="E597" i="4"/>
  <c r="D597" i="4"/>
  <c r="C597" i="4"/>
  <c r="B597" i="4"/>
  <c r="E596" i="4"/>
  <c r="D596" i="4"/>
  <c r="C596" i="4"/>
  <c r="B596" i="4"/>
  <c r="E595" i="4"/>
  <c r="D595" i="4"/>
  <c r="C595" i="4"/>
  <c r="B595" i="4"/>
  <c r="E594" i="4"/>
  <c r="D594" i="4"/>
  <c r="C594" i="4"/>
  <c r="B594" i="4"/>
  <c r="E593" i="4"/>
  <c r="D593" i="4"/>
  <c r="C593" i="4"/>
  <c r="B593" i="4"/>
  <c r="E592" i="4"/>
  <c r="D592" i="4"/>
  <c r="C592" i="4"/>
  <c r="B592" i="4"/>
  <c r="E591" i="4"/>
  <c r="D591" i="4"/>
  <c r="C591" i="4"/>
  <c r="B591" i="4"/>
  <c r="E590" i="4"/>
  <c r="D590" i="4"/>
  <c r="C590" i="4"/>
  <c r="B590" i="4"/>
  <c r="E589" i="4"/>
  <c r="D589" i="4"/>
  <c r="C589" i="4"/>
  <c r="B589" i="4"/>
  <c r="E588" i="4"/>
  <c r="D588" i="4"/>
  <c r="C588" i="4"/>
  <c r="B588" i="4"/>
  <c r="E587" i="4"/>
  <c r="D587" i="4"/>
  <c r="C587" i="4"/>
  <c r="B587" i="4"/>
  <c r="E586" i="4"/>
  <c r="D586" i="4"/>
  <c r="C586" i="4"/>
  <c r="B586" i="4"/>
  <c r="E585" i="4"/>
  <c r="D585" i="4"/>
  <c r="C585" i="4"/>
  <c r="B585" i="4"/>
  <c r="E584" i="4"/>
  <c r="D584" i="4"/>
  <c r="C584" i="4"/>
  <c r="B584" i="4"/>
  <c r="E583" i="4"/>
  <c r="D583" i="4"/>
  <c r="C583" i="4"/>
  <c r="B583" i="4"/>
  <c r="E582" i="4"/>
  <c r="D582" i="4"/>
  <c r="C582" i="4"/>
  <c r="B582" i="4"/>
  <c r="E581" i="4"/>
  <c r="D581" i="4"/>
  <c r="C581" i="4"/>
  <c r="B581" i="4"/>
  <c r="E580" i="4"/>
  <c r="D580" i="4"/>
  <c r="C580" i="4"/>
  <c r="B580" i="4"/>
  <c r="E579" i="4"/>
  <c r="D579" i="4"/>
  <c r="C579" i="4"/>
  <c r="B579" i="4"/>
  <c r="E578" i="4"/>
  <c r="D578" i="4"/>
  <c r="C578" i="4"/>
  <c r="B578" i="4"/>
  <c r="E577" i="4"/>
  <c r="D577" i="4"/>
  <c r="C577" i="4"/>
  <c r="B577" i="4"/>
  <c r="E576" i="4"/>
  <c r="D576" i="4"/>
  <c r="C576" i="4"/>
  <c r="B576" i="4"/>
  <c r="E575" i="4"/>
  <c r="D575" i="4"/>
  <c r="C575" i="4"/>
  <c r="B575" i="4"/>
  <c r="E574" i="4"/>
  <c r="D574" i="4"/>
  <c r="C574" i="4"/>
  <c r="B574" i="4"/>
  <c r="E573" i="4"/>
  <c r="D573" i="4"/>
  <c r="C573" i="4"/>
  <c r="B573" i="4"/>
  <c r="E572" i="4"/>
  <c r="D572" i="4"/>
  <c r="C572" i="4"/>
  <c r="B572" i="4"/>
  <c r="E571" i="4"/>
  <c r="D571" i="4"/>
  <c r="C571" i="4"/>
  <c r="B571" i="4"/>
  <c r="E570" i="4"/>
  <c r="D570" i="4"/>
  <c r="C570" i="4"/>
  <c r="B570" i="4"/>
  <c r="E569" i="4"/>
  <c r="D569" i="4"/>
  <c r="C569" i="4"/>
  <c r="B569" i="4"/>
  <c r="E568" i="4"/>
  <c r="D568" i="4"/>
  <c r="C568" i="4"/>
  <c r="B568" i="4"/>
  <c r="E567" i="4"/>
  <c r="D567" i="4"/>
  <c r="C567" i="4"/>
  <c r="B567" i="4"/>
  <c r="E566" i="4"/>
  <c r="D566" i="4"/>
  <c r="C566" i="4"/>
  <c r="B566" i="4"/>
  <c r="E565" i="4"/>
  <c r="D565" i="4"/>
  <c r="C565" i="4"/>
  <c r="B565" i="4"/>
  <c r="E564" i="4"/>
  <c r="D564" i="4"/>
  <c r="C564" i="4"/>
  <c r="B564" i="4"/>
  <c r="E563" i="4"/>
  <c r="D563" i="4"/>
  <c r="C563" i="4"/>
  <c r="B563" i="4"/>
  <c r="E562" i="4"/>
  <c r="D562" i="4"/>
  <c r="C562" i="4"/>
  <c r="B562" i="4"/>
  <c r="E561" i="4"/>
  <c r="D561" i="4"/>
  <c r="C561" i="4"/>
  <c r="B561" i="4"/>
  <c r="E560" i="4"/>
  <c r="D560" i="4"/>
  <c r="C560" i="4"/>
  <c r="B560" i="4"/>
  <c r="E559" i="4"/>
  <c r="D559" i="4"/>
  <c r="C559" i="4"/>
  <c r="B559" i="4"/>
  <c r="E558" i="4"/>
  <c r="D558" i="4"/>
  <c r="C558" i="4"/>
  <c r="B558" i="4"/>
  <c r="E557" i="4"/>
  <c r="D557" i="4"/>
  <c r="C557" i="4"/>
  <c r="B557" i="4"/>
  <c r="E556" i="4"/>
  <c r="D556" i="4"/>
  <c r="C556" i="4"/>
  <c r="B556" i="4"/>
  <c r="E555" i="4"/>
  <c r="D555" i="4"/>
  <c r="C555" i="4"/>
  <c r="B555" i="4"/>
  <c r="E554" i="4"/>
  <c r="D554" i="4"/>
  <c r="C554" i="4"/>
  <c r="B554" i="4"/>
  <c r="E553" i="4"/>
  <c r="D553" i="4"/>
  <c r="C553" i="4"/>
  <c r="B553" i="4"/>
  <c r="E552" i="4"/>
  <c r="D552" i="4"/>
  <c r="C552" i="4"/>
  <c r="B552" i="4"/>
  <c r="E551" i="4"/>
  <c r="D551" i="4"/>
  <c r="C551" i="4"/>
  <c r="B551" i="4"/>
  <c r="E550" i="4"/>
  <c r="D550" i="4"/>
  <c r="C550" i="4"/>
  <c r="B550" i="4"/>
  <c r="E549" i="4"/>
  <c r="D549" i="4"/>
  <c r="C549" i="4"/>
  <c r="B549" i="4"/>
  <c r="E548" i="4"/>
  <c r="D548" i="4"/>
  <c r="C548" i="4"/>
  <c r="B548" i="4"/>
  <c r="E547" i="4"/>
  <c r="D547" i="4"/>
  <c r="C547" i="4"/>
  <c r="B547" i="4"/>
  <c r="E546" i="4"/>
  <c r="D546" i="4"/>
  <c r="C546" i="4"/>
  <c r="B546" i="4"/>
  <c r="E545" i="4"/>
  <c r="D545" i="4"/>
  <c r="C545" i="4"/>
  <c r="B545" i="4"/>
  <c r="E544" i="4"/>
  <c r="D544" i="4"/>
  <c r="C544" i="4"/>
  <c r="B544" i="4"/>
  <c r="E543" i="4"/>
  <c r="D543" i="4"/>
  <c r="C543" i="4"/>
  <c r="B543" i="4"/>
  <c r="E542" i="4"/>
  <c r="D542" i="4"/>
  <c r="C542" i="4"/>
  <c r="B542" i="4"/>
  <c r="E541" i="4"/>
  <c r="D541" i="4"/>
  <c r="C541" i="4"/>
  <c r="B541" i="4"/>
  <c r="E540" i="4"/>
  <c r="D540" i="4"/>
  <c r="C540" i="4"/>
  <c r="B540" i="4"/>
  <c r="E539" i="4"/>
  <c r="D539" i="4"/>
  <c r="C539" i="4"/>
  <c r="B539" i="4"/>
  <c r="E538" i="4"/>
  <c r="D538" i="4"/>
  <c r="C538" i="4"/>
  <c r="B538" i="4"/>
  <c r="E537" i="4"/>
  <c r="D537" i="4"/>
  <c r="C537" i="4"/>
  <c r="B537" i="4"/>
  <c r="E536" i="4"/>
  <c r="D536" i="4"/>
  <c r="C536" i="4"/>
  <c r="B536" i="4"/>
  <c r="E535" i="4"/>
  <c r="D535" i="4"/>
  <c r="C535" i="4"/>
  <c r="B535" i="4"/>
  <c r="E534" i="4"/>
  <c r="D534" i="4"/>
  <c r="C534" i="4"/>
  <c r="B534" i="4"/>
  <c r="E533" i="4"/>
  <c r="D533" i="4"/>
  <c r="C533" i="4"/>
  <c r="B533" i="4"/>
  <c r="E532" i="4"/>
  <c r="D532" i="4"/>
  <c r="C532" i="4"/>
  <c r="B532" i="4"/>
  <c r="E531" i="4"/>
  <c r="D531" i="4"/>
  <c r="C531" i="4"/>
  <c r="B531" i="4"/>
  <c r="E530" i="4"/>
  <c r="D530" i="4"/>
  <c r="C530" i="4"/>
  <c r="B530" i="4"/>
  <c r="E529" i="4"/>
  <c r="D529" i="4"/>
  <c r="C529" i="4"/>
  <c r="B529" i="4"/>
  <c r="E528" i="4"/>
  <c r="D528" i="4"/>
  <c r="C528" i="4"/>
  <c r="B528" i="4"/>
  <c r="E527" i="4"/>
  <c r="D527" i="4"/>
  <c r="C527" i="4"/>
  <c r="B527" i="4"/>
  <c r="E526" i="4"/>
  <c r="D526" i="4"/>
  <c r="C526" i="4"/>
  <c r="B526" i="4"/>
  <c r="E525" i="4"/>
  <c r="D525" i="4"/>
  <c r="C525" i="4"/>
  <c r="B525" i="4"/>
  <c r="E524" i="4"/>
  <c r="D524" i="4"/>
  <c r="C524" i="4"/>
  <c r="B524" i="4"/>
  <c r="E523" i="4"/>
  <c r="D523" i="4"/>
  <c r="C523" i="4"/>
  <c r="B523" i="4"/>
  <c r="E522" i="4"/>
  <c r="D522" i="4"/>
  <c r="C522" i="4"/>
  <c r="B522" i="4"/>
  <c r="E521" i="4"/>
  <c r="D521" i="4"/>
  <c r="C521" i="4"/>
  <c r="B521" i="4"/>
  <c r="E520" i="4"/>
  <c r="D520" i="4"/>
  <c r="C520" i="4"/>
  <c r="B520" i="4"/>
  <c r="E519" i="4"/>
  <c r="D519" i="4"/>
  <c r="C519" i="4"/>
  <c r="B519" i="4"/>
  <c r="E518" i="4"/>
  <c r="D518" i="4"/>
  <c r="C518" i="4"/>
  <c r="B518" i="4"/>
  <c r="E517" i="4"/>
  <c r="D517" i="4"/>
  <c r="C517" i="4"/>
  <c r="B517" i="4"/>
  <c r="E516" i="4"/>
  <c r="D516" i="4"/>
  <c r="C516" i="4"/>
  <c r="B516" i="4"/>
  <c r="E515" i="4"/>
  <c r="D515" i="4"/>
  <c r="C515" i="4"/>
  <c r="B515" i="4"/>
  <c r="E514" i="4"/>
  <c r="D514" i="4"/>
  <c r="C514" i="4"/>
  <c r="B514" i="4"/>
  <c r="E513" i="4"/>
  <c r="D513" i="4"/>
  <c r="C513" i="4"/>
  <c r="B513" i="4"/>
  <c r="E512" i="4"/>
  <c r="D512" i="4"/>
  <c r="C512" i="4"/>
  <c r="B512" i="4"/>
  <c r="E511" i="4"/>
  <c r="D511" i="4"/>
  <c r="C511" i="4"/>
  <c r="B511" i="4"/>
  <c r="E510" i="4"/>
  <c r="D510" i="4"/>
  <c r="C510" i="4"/>
  <c r="B510" i="4"/>
  <c r="E509" i="4"/>
  <c r="D509" i="4"/>
  <c r="C509" i="4"/>
  <c r="B509" i="4"/>
  <c r="E508" i="4"/>
  <c r="D508" i="4"/>
  <c r="C508" i="4"/>
  <c r="B508" i="4"/>
  <c r="E507" i="4"/>
  <c r="D507" i="4"/>
  <c r="C507" i="4"/>
  <c r="B507" i="4"/>
  <c r="E506" i="4"/>
  <c r="D506" i="4"/>
  <c r="C506" i="4"/>
  <c r="B506" i="4"/>
  <c r="E505" i="4"/>
  <c r="D505" i="4"/>
  <c r="C505" i="4"/>
  <c r="B505" i="4"/>
  <c r="E504" i="4"/>
  <c r="D504" i="4"/>
  <c r="C504" i="4"/>
  <c r="B504" i="4"/>
  <c r="E503" i="4"/>
  <c r="D503" i="4"/>
  <c r="C503" i="4"/>
  <c r="B503" i="4"/>
  <c r="E502" i="4"/>
  <c r="D502" i="4"/>
  <c r="C502" i="4"/>
  <c r="B502" i="4"/>
  <c r="E501" i="4"/>
  <c r="D501" i="4"/>
  <c r="C501" i="4"/>
  <c r="B501" i="4"/>
  <c r="E500" i="4"/>
  <c r="D500" i="4"/>
  <c r="C500" i="4"/>
  <c r="B500" i="4"/>
  <c r="E499" i="4"/>
  <c r="D499" i="4"/>
  <c r="C499" i="4"/>
  <c r="B499" i="4"/>
  <c r="E498" i="4"/>
  <c r="D498" i="4"/>
  <c r="C498" i="4"/>
  <c r="B498" i="4"/>
  <c r="E497" i="4"/>
  <c r="D497" i="4"/>
  <c r="C497" i="4"/>
  <c r="B497" i="4"/>
  <c r="E496" i="4"/>
  <c r="D496" i="4"/>
  <c r="C496" i="4"/>
  <c r="B496" i="4"/>
  <c r="E495" i="4"/>
  <c r="D495" i="4"/>
  <c r="C495" i="4"/>
  <c r="B495" i="4"/>
  <c r="E494" i="4"/>
  <c r="D494" i="4"/>
  <c r="C494" i="4"/>
  <c r="B494" i="4"/>
  <c r="E493" i="4"/>
  <c r="D493" i="4"/>
  <c r="C493" i="4"/>
  <c r="B493" i="4"/>
  <c r="E492" i="4"/>
  <c r="D492" i="4"/>
  <c r="C492" i="4"/>
  <c r="B492" i="4"/>
  <c r="E491" i="4"/>
  <c r="D491" i="4"/>
  <c r="C491" i="4"/>
  <c r="B491" i="4"/>
  <c r="E490" i="4"/>
  <c r="D490" i="4"/>
  <c r="C490" i="4"/>
  <c r="B490" i="4"/>
  <c r="E489" i="4"/>
  <c r="D489" i="4"/>
  <c r="C489" i="4"/>
  <c r="B489" i="4"/>
  <c r="E488" i="4"/>
  <c r="D488" i="4"/>
  <c r="C488" i="4"/>
  <c r="B488" i="4"/>
  <c r="E487" i="4"/>
  <c r="D487" i="4"/>
  <c r="C487" i="4"/>
  <c r="B487" i="4"/>
  <c r="E486" i="4"/>
  <c r="D486" i="4"/>
  <c r="C486" i="4"/>
  <c r="B486" i="4"/>
  <c r="E485" i="4"/>
  <c r="D485" i="4"/>
  <c r="C485" i="4"/>
  <c r="B485" i="4"/>
  <c r="E484" i="4"/>
  <c r="D484" i="4"/>
  <c r="C484" i="4"/>
  <c r="B484" i="4"/>
  <c r="E483" i="4"/>
  <c r="D483" i="4"/>
  <c r="C483" i="4"/>
  <c r="B483" i="4"/>
  <c r="E482" i="4"/>
  <c r="D482" i="4"/>
  <c r="C482" i="4"/>
  <c r="B482" i="4"/>
  <c r="E481" i="4"/>
  <c r="D481" i="4"/>
  <c r="C481" i="4"/>
  <c r="B481" i="4"/>
  <c r="E480" i="4"/>
  <c r="D480" i="4"/>
  <c r="C480" i="4"/>
  <c r="B480" i="4"/>
  <c r="E479" i="4"/>
  <c r="D479" i="4"/>
  <c r="C479" i="4"/>
  <c r="B479" i="4"/>
  <c r="E478" i="4"/>
  <c r="D478" i="4"/>
  <c r="C478" i="4"/>
  <c r="B478" i="4"/>
  <c r="E477" i="4"/>
  <c r="D477" i="4"/>
  <c r="C477" i="4"/>
  <c r="B477" i="4"/>
  <c r="E476" i="4"/>
  <c r="D476" i="4"/>
  <c r="C476" i="4"/>
  <c r="B476" i="4"/>
  <c r="E475" i="4"/>
  <c r="D475" i="4"/>
  <c r="C475" i="4"/>
  <c r="B475" i="4"/>
  <c r="E474" i="4"/>
  <c r="D474" i="4"/>
  <c r="C474" i="4"/>
  <c r="B474" i="4"/>
  <c r="E473" i="4"/>
  <c r="D473" i="4"/>
  <c r="C473" i="4"/>
  <c r="B473" i="4"/>
  <c r="E472" i="4"/>
  <c r="D472" i="4"/>
  <c r="C472" i="4"/>
  <c r="B472" i="4"/>
  <c r="E471" i="4"/>
  <c r="D471" i="4"/>
  <c r="C471" i="4"/>
  <c r="B471" i="4"/>
  <c r="E470" i="4"/>
  <c r="D470" i="4"/>
  <c r="C470" i="4"/>
  <c r="B470" i="4"/>
  <c r="E469" i="4"/>
  <c r="D469" i="4"/>
  <c r="C469" i="4"/>
  <c r="B469" i="4"/>
  <c r="E468" i="4"/>
  <c r="D468" i="4"/>
  <c r="C468" i="4"/>
  <c r="B468" i="4"/>
  <c r="E467" i="4"/>
  <c r="D467" i="4"/>
  <c r="C467" i="4"/>
  <c r="B467" i="4"/>
  <c r="E466" i="4"/>
  <c r="D466" i="4"/>
  <c r="C466" i="4"/>
  <c r="B466" i="4"/>
  <c r="E465" i="4"/>
  <c r="D465" i="4"/>
  <c r="C465" i="4"/>
  <c r="B465" i="4"/>
  <c r="E464" i="4"/>
  <c r="D464" i="4"/>
  <c r="C464" i="4"/>
  <c r="B464" i="4"/>
  <c r="E463" i="4"/>
  <c r="D463" i="4"/>
  <c r="C463" i="4"/>
  <c r="B463" i="4"/>
  <c r="E462" i="4"/>
  <c r="D462" i="4"/>
  <c r="C462" i="4"/>
  <c r="B462" i="4"/>
  <c r="E461" i="4"/>
  <c r="D461" i="4"/>
  <c r="C461" i="4"/>
  <c r="B461" i="4"/>
  <c r="E460" i="4"/>
  <c r="D460" i="4"/>
  <c r="C460" i="4"/>
  <c r="B460" i="4"/>
  <c r="E459" i="4"/>
  <c r="D459" i="4"/>
  <c r="C459" i="4"/>
  <c r="B459" i="4"/>
  <c r="E458" i="4"/>
  <c r="D458" i="4"/>
  <c r="C458" i="4"/>
  <c r="B458" i="4"/>
  <c r="E457" i="4"/>
  <c r="D457" i="4"/>
  <c r="C457" i="4"/>
  <c r="B457" i="4"/>
  <c r="E456" i="4"/>
  <c r="D456" i="4"/>
  <c r="C456" i="4"/>
  <c r="B456" i="4"/>
  <c r="E455" i="4"/>
  <c r="D455" i="4"/>
  <c r="C455" i="4"/>
  <c r="B455" i="4"/>
  <c r="E454" i="4"/>
  <c r="D454" i="4"/>
  <c r="C454" i="4"/>
  <c r="B454" i="4"/>
  <c r="E453" i="4"/>
  <c r="D453" i="4"/>
  <c r="C453" i="4"/>
  <c r="B453" i="4"/>
  <c r="E452" i="4"/>
  <c r="D452" i="4"/>
  <c r="C452" i="4"/>
  <c r="B452" i="4"/>
  <c r="E451" i="4"/>
  <c r="D451" i="4"/>
  <c r="C451" i="4"/>
  <c r="B451" i="4"/>
  <c r="E450" i="4"/>
  <c r="D450" i="4"/>
  <c r="C450" i="4"/>
  <c r="B450" i="4"/>
  <c r="E449" i="4"/>
  <c r="D449" i="4"/>
  <c r="C449" i="4"/>
  <c r="B449" i="4"/>
  <c r="E448" i="4"/>
  <c r="D448" i="4"/>
  <c r="C448" i="4"/>
  <c r="B448" i="4"/>
  <c r="E447" i="4"/>
  <c r="D447" i="4"/>
  <c r="C447" i="4"/>
  <c r="B447" i="4"/>
  <c r="E446" i="4"/>
  <c r="D446" i="4"/>
  <c r="C446" i="4"/>
  <c r="B446" i="4"/>
  <c r="E445" i="4"/>
  <c r="D445" i="4"/>
  <c r="C445" i="4"/>
  <c r="B445" i="4"/>
  <c r="E444" i="4"/>
  <c r="D444" i="4"/>
  <c r="C444" i="4"/>
  <c r="B444" i="4"/>
  <c r="E443" i="4"/>
  <c r="D443" i="4"/>
  <c r="C443" i="4"/>
  <c r="B443" i="4"/>
  <c r="E442" i="4"/>
  <c r="D442" i="4"/>
  <c r="C442" i="4"/>
  <c r="B442" i="4"/>
  <c r="E441" i="4"/>
  <c r="D441" i="4"/>
  <c r="C441" i="4"/>
  <c r="B441" i="4"/>
  <c r="E440" i="4"/>
  <c r="D440" i="4"/>
  <c r="C440" i="4"/>
  <c r="B440" i="4"/>
  <c r="E439" i="4"/>
  <c r="D439" i="4"/>
  <c r="C439" i="4"/>
  <c r="B439" i="4"/>
  <c r="E438" i="4"/>
  <c r="D438" i="4"/>
  <c r="C438" i="4"/>
  <c r="B438" i="4"/>
  <c r="E437" i="4"/>
  <c r="D437" i="4"/>
  <c r="C437" i="4"/>
  <c r="B437" i="4"/>
  <c r="E436" i="4"/>
  <c r="D436" i="4"/>
  <c r="C436" i="4"/>
  <c r="B436" i="4"/>
  <c r="E435" i="4"/>
  <c r="D435" i="4"/>
  <c r="C435" i="4"/>
  <c r="B435" i="4"/>
  <c r="E434" i="4"/>
  <c r="D434" i="4"/>
  <c r="C434" i="4"/>
  <c r="B434" i="4"/>
  <c r="E433" i="4"/>
  <c r="D433" i="4"/>
  <c r="C433" i="4"/>
  <c r="B433" i="4"/>
  <c r="E432" i="4"/>
  <c r="D432" i="4"/>
  <c r="C432" i="4"/>
  <c r="B432" i="4"/>
  <c r="E431" i="4"/>
  <c r="D431" i="4"/>
  <c r="C431" i="4"/>
  <c r="B431" i="4"/>
  <c r="E430" i="4"/>
  <c r="D430" i="4"/>
  <c r="C430" i="4"/>
  <c r="B430" i="4"/>
  <c r="E429" i="4"/>
  <c r="D429" i="4"/>
  <c r="C429" i="4"/>
  <c r="B429" i="4"/>
  <c r="E428" i="4"/>
  <c r="D428" i="4"/>
  <c r="C428" i="4"/>
  <c r="B428" i="4"/>
  <c r="E427" i="4"/>
  <c r="D427" i="4"/>
  <c r="C427" i="4"/>
  <c r="B427" i="4"/>
  <c r="E426" i="4"/>
  <c r="D426" i="4"/>
  <c r="C426" i="4"/>
  <c r="B426" i="4"/>
  <c r="E425" i="4"/>
  <c r="D425" i="4"/>
  <c r="C425" i="4"/>
  <c r="B425" i="4"/>
  <c r="E424" i="4"/>
  <c r="D424" i="4"/>
  <c r="C424" i="4"/>
  <c r="B424" i="4"/>
  <c r="E423" i="4"/>
  <c r="D423" i="4"/>
  <c r="C423" i="4"/>
  <c r="B423" i="4"/>
  <c r="E422" i="4"/>
  <c r="D422" i="4"/>
  <c r="C422" i="4"/>
  <c r="B422" i="4"/>
  <c r="E421" i="4"/>
  <c r="D421" i="4"/>
  <c r="C421" i="4"/>
  <c r="B421" i="4"/>
  <c r="E420" i="4"/>
  <c r="D420" i="4"/>
  <c r="C420" i="4"/>
  <c r="B420" i="4"/>
  <c r="E419" i="4"/>
  <c r="D419" i="4"/>
  <c r="C419" i="4"/>
  <c r="B419" i="4"/>
  <c r="E418" i="4"/>
  <c r="D418" i="4"/>
  <c r="C418" i="4"/>
  <c r="B418" i="4"/>
  <c r="E417" i="4"/>
  <c r="D417" i="4"/>
  <c r="C417" i="4"/>
  <c r="B417" i="4"/>
  <c r="E416" i="4"/>
  <c r="D416" i="4"/>
  <c r="C416" i="4"/>
  <c r="B416" i="4"/>
  <c r="E415" i="4"/>
  <c r="D415" i="4"/>
  <c r="C415" i="4"/>
  <c r="B415" i="4"/>
  <c r="E414" i="4"/>
  <c r="D414" i="4"/>
  <c r="C414" i="4"/>
  <c r="B414" i="4"/>
  <c r="E413" i="4"/>
  <c r="D413" i="4"/>
  <c r="C413" i="4"/>
  <c r="B413" i="4"/>
  <c r="E412" i="4"/>
  <c r="D412" i="4"/>
  <c r="C412" i="4"/>
  <c r="B412" i="4"/>
  <c r="E411" i="4"/>
  <c r="D411" i="4"/>
  <c r="C411" i="4"/>
  <c r="B411" i="4"/>
  <c r="E410" i="4"/>
  <c r="D410" i="4"/>
  <c r="C410" i="4"/>
  <c r="B410" i="4"/>
  <c r="E409" i="4"/>
  <c r="D409" i="4"/>
  <c r="C409" i="4"/>
  <c r="B409" i="4"/>
  <c r="E408" i="4"/>
  <c r="D408" i="4"/>
  <c r="C408" i="4"/>
  <c r="B408" i="4"/>
  <c r="E407" i="4"/>
  <c r="D407" i="4"/>
  <c r="C407" i="4"/>
  <c r="B407" i="4"/>
  <c r="E406" i="4"/>
  <c r="D406" i="4"/>
  <c r="C406" i="4"/>
  <c r="B406" i="4"/>
  <c r="E405" i="4"/>
  <c r="D405" i="4"/>
  <c r="C405" i="4"/>
  <c r="B405" i="4"/>
  <c r="E404" i="4"/>
  <c r="D404" i="4"/>
  <c r="C404" i="4"/>
  <c r="B404" i="4"/>
  <c r="E403" i="4"/>
  <c r="D403" i="4"/>
  <c r="C403" i="4"/>
  <c r="B403" i="4"/>
  <c r="E402" i="4"/>
  <c r="D402" i="4"/>
  <c r="C402" i="4"/>
  <c r="B402" i="4"/>
  <c r="E401" i="4"/>
  <c r="D401" i="4"/>
  <c r="C401" i="4"/>
  <c r="B401" i="4"/>
  <c r="E400" i="4"/>
  <c r="D400" i="4"/>
  <c r="C400" i="4"/>
  <c r="B400" i="4"/>
  <c r="E399" i="4"/>
  <c r="D399" i="4"/>
  <c r="C399" i="4"/>
  <c r="B399" i="4"/>
  <c r="E398" i="4"/>
  <c r="D398" i="4"/>
  <c r="C398" i="4"/>
  <c r="B398" i="4"/>
  <c r="E397" i="4"/>
  <c r="D397" i="4"/>
  <c r="C397" i="4"/>
  <c r="B397" i="4"/>
  <c r="E396" i="4"/>
  <c r="D396" i="4"/>
  <c r="C396" i="4"/>
  <c r="B396" i="4"/>
  <c r="E395" i="4"/>
  <c r="D395" i="4"/>
  <c r="C395" i="4"/>
  <c r="B395" i="4"/>
  <c r="E394" i="4"/>
  <c r="D394" i="4"/>
  <c r="C394" i="4"/>
  <c r="B394" i="4"/>
  <c r="E393" i="4"/>
  <c r="D393" i="4"/>
  <c r="C393" i="4"/>
  <c r="B393" i="4"/>
  <c r="E392" i="4"/>
  <c r="D392" i="4"/>
  <c r="C392" i="4"/>
  <c r="B392" i="4"/>
  <c r="E391" i="4"/>
  <c r="D391" i="4"/>
  <c r="C391" i="4"/>
  <c r="B391" i="4"/>
  <c r="E390" i="4"/>
  <c r="D390" i="4"/>
  <c r="C390" i="4"/>
  <c r="B390" i="4"/>
  <c r="E389" i="4"/>
  <c r="D389" i="4"/>
  <c r="C389" i="4"/>
  <c r="B389" i="4"/>
  <c r="E388" i="4"/>
  <c r="D388" i="4"/>
  <c r="C388" i="4"/>
  <c r="B388" i="4"/>
  <c r="E387" i="4"/>
  <c r="D387" i="4"/>
  <c r="C387" i="4"/>
  <c r="B387" i="4"/>
  <c r="E386" i="4"/>
  <c r="D386" i="4"/>
  <c r="C386" i="4"/>
  <c r="B386" i="4"/>
  <c r="E385" i="4"/>
  <c r="D385" i="4"/>
  <c r="C385" i="4"/>
  <c r="B385" i="4"/>
  <c r="E384" i="4"/>
  <c r="D384" i="4"/>
  <c r="C384" i="4"/>
  <c r="B384" i="4"/>
  <c r="E383" i="4"/>
  <c r="D383" i="4"/>
  <c r="C383" i="4"/>
  <c r="B383" i="4"/>
  <c r="E382" i="4"/>
  <c r="D382" i="4"/>
  <c r="C382" i="4"/>
  <c r="B382" i="4"/>
  <c r="E381" i="4"/>
  <c r="D381" i="4"/>
  <c r="C381" i="4"/>
  <c r="B381" i="4"/>
  <c r="E380" i="4"/>
  <c r="D380" i="4"/>
  <c r="C380" i="4"/>
  <c r="B380" i="4"/>
  <c r="E379" i="4"/>
  <c r="D379" i="4"/>
  <c r="C379" i="4"/>
  <c r="B379" i="4"/>
  <c r="E378" i="4"/>
  <c r="D378" i="4"/>
  <c r="C378" i="4"/>
  <c r="B378" i="4"/>
  <c r="E377" i="4"/>
  <c r="D377" i="4"/>
  <c r="C377" i="4"/>
  <c r="B377" i="4"/>
  <c r="E376" i="4"/>
  <c r="D376" i="4"/>
  <c r="C376" i="4"/>
  <c r="B376" i="4"/>
  <c r="E375" i="4"/>
  <c r="D375" i="4"/>
  <c r="C375" i="4"/>
  <c r="B375" i="4"/>
  <c r="E374" i="4"/>
  <c r="D374" i="4"/>
  <c r="C374" i="4"/>
  <c r="B374" i="4"/>
  <c r="E373" i="4"/>
  <c r="D373" i="4"/>
  <c r="C373" i="4"/>
  <c r="B373" i="4"/>
  <c r="E372" i="4"/>
  <c r="D372" i="4"/>
  <c r="C372" i="4"/>
  <c r="B372" i="4"/>
  <c r="E371" i="4"/>
  <c r="D371" i="4"/>
  <c r="C371" i="4"/>
  <c r="B371" i="4"/>
  <c r="E370" i="4"/>
  <c r="D370" i="4"/>
  <c r="C370" i="4"/>
  <c r="B370" i="4"/>
  <c r="E369" i="4"/>
  <c r="D369" i="4"/>
  <c r="C369" i="4"/>
  <c r="B369" i="4"/>
  <c r="E368" i="4"/>
  <c r="D368" i="4"/>
  <c r="C368" i="4"/>
  <c r="B368" i="4"/>
  <c r="E367" i="4"/>
  <c r="D367" i="4"/>
  <c r="C367" i="4"/>
  <c r="B367" i="4"/>
  <c r="E366" i="4"/>
  <c r="D366" i="4"/>
  <c r="C366" i="4"/>
  <c r="B366" i="4"/>
  <c r="E365" i="4"/>
  <c r="D365" i="4"/>
  <c r="C365" i="4"/>
  <c r="B365" i="4"/>
  <c r="E364" i="4"/>
  <c r="D364" i="4"/>
  <c r="C364" i="4"/>
  <c r="B364" i="4"/>
  <c r="E363" i="4"/>
  <c r="D363" i="4"/>
  <c r="C363" i="4"/>
  <c r="B363" i="4"/>
  <c r="E362" i="4"/>
  <c r="D362" i="4"/>
  <c r="C362" i="4"/>
  <c r="B362" i="4"/>
  <c r="E361" i="4"/>
  <c r="D361" i="4"/>
  <c r="C361" i="4"/>
  <c r="B361" i="4"/>
  <c r="E360" i="4"/>
  <c r="D360" i="4"/>
  <c r="C360" i="4"/>
  <c r="B360" i="4"/>
  <c r="E359" i="4"/>
  <c r="D359" i="4"/>
  <c r="C359" i="4"/>
  <c r="B359" i="4"/>
  <c r="E358" i="4"/>
  <c r="D358" i="4"/>
  <c r="C358" i="4"/>
  <c r="B358" i="4"/>
  <c r="E357" i="4"/>
  <c r="D357" i="4"/>
  <c r="C357" i="4"/>
  <c r="B357" i="4"/>
  <c r="E356" i="4"/>
  <c r="D356" i="4"/>
  <c r="C356" i="4"/>
  <c r="B356" i="4"/>
  <c r="E355" i="4"/>
  <c r="D355" i="4"/>
  <c r="C355" i="4"/>
  <c r="B355" i="4"/>
  <c r="E354" i="4"/>
  <c r="D354" i="4"/>
  <c r="C354" i="4"/>
  <c r="B354" i="4"/>
  <c r="E353" i="4"/>
  <c r="D353" i="4"/>
  <c r="C353" i="4"/>
  <c r="B353" i="4"/>
  <c r="E352" i="4"/>
  <c r="D352" i="4"/>
  <c r="C352" i="4"/>
  <c r="B352" i="4"/>
  <c r="E351" i="4"/>
  <c r="D351" i="4"/>
  <c r="C351" i="4"/>
  <c r="B351" i="4"/>
  <c r="E350" i="4"/>
  <c r="D350" i="4"/>
  <c r="C350" i="4"/>
  <c r="B350" i="4"/>
  <c r="E349" i="4"/>
  <c r="D349" i="4"/>
  <c r="C349" i="4"/>
  <c r="B349" i="4"/>
  <c r="E348" i="4"/>
  <c r="D348" i="4"/>
  <c r="C348" i="4"/>
  <c r="B348" i="4"/>
  <c r="E347" i="4"/>
  <c r="D347" i="4"/>
  <c r="C347" i="4"/>
  <c r="B347" i="4"/>
  <c r="E346" i="4"/>
  <c r="D346" i="4"/>
  <c r="C346" i="4"/>
  <c r="B346" i="4"/>
  <c r="E345" i="4"/>
  <c r="D345" i="4"/>
  <c r="C345" i="4"/>
  <c r="B345" i="4"/>
  <c r="E344" i="4"/>
  <c r="D344" i="4"/>
  <c r="C344" i="4"/>
  <c r="B344" i="4"/>
  <c r="E343" i="4"/>
  <c r="D343" i="4"/>
  <c r="C343" i="4"/>
  <c r="B343" i="4"/>
  <c r="E342" i="4"/>
  <c r="D342" i="4"/>
  <c r="C342" i="4"/>
  <c r="B342" i="4"/>
  <c r="E341" i="4"/>
  <c r="D341" i="4"/>
  <c r="C341" i="4"/>
  <c r="B341" i="4"/>
  <c r="E340" i="4"/>
  <c r="D340" i="4"/>
  <c r="C340" i="4"/>
  <c r="B340" i="4"/>
  <c r="E339" i="4"/>
  <c r="D339" i="4"/>
  <c r="C339" i="4"/>
  <c r="B339" i="4"/>
  <c r="E338" i="4"/>
  <c r="D338" i="4"/>
  <c r="C338" i="4"/>
  <c r="B338" i="4"/>
  <c r="E337" i="4"/>
  <c r="D337" i="4"/>
  <c r="C337" i="4"/>
  <c r="B337" i="4"/>
  <c r="E336" i="4"/>
  <c r="D336" i="4"/>
  <c r="C336" i="4"/>
  <c r="B336" i="4"/>
  <c r="E335" i="4"/>
  <c r="D335" i="4"/>
  <c r="C335" i="4"/>
  <c r="B335" i="4"/>
  <c r="E334" i="4"/>
  <c r="D334" i="4"/>
  <c r="C334" i="4"/>
  <c r="B334" i="4"/>
  <c r="E333" i="4"/>
  <c r="D333" i="4"/>
  <c r="C333" i="4"/>
  <c r="B333" i="4"/>
  <c r="E332" i="4"/>
  <c r="D332" i="4"/>
  <c r="C332" i="4"/>
  <c r="B332" i="4"/>
  <c r="E331" i="4"/>
  <c r="D331" i="4"/>
  <c r="C331" i="4"/>
  <c r="B331" i="4"/>
  <c r="E330" i="4"/>
  <c r="D330" i="4"/>
  <c r="C330" i="4"/>
  <c r="B330" i="4"/>
  <c r="E329" i="4"/>
  <c r="D329" i="4"/>
  <c r="C329" i="4"/>
  <c r="B329" i="4"/>
  <c r="E328" i="4"/>
  <c r="D328" i="4"/>
  <c r="C328" i="4"/>
  <c r="B328" i="4"/>
  <c r="E327" i="4"/>
  <c r="D327" i="4"/>
  <c r="C327" i="4"/>
  <c r="B327" i="4"/>
  <c r="E326" i="4"/>
  <c r="D326" i="4"/>
  <c r="C326" i="4"/>
  <c r="B326" i="4"/>
  <c r="E325" i="4"/>
  <c r="D325" i="4"/>
  <c r="C325" i="4"/>
  <c r="B325" i="4"/>
  <c r="E324" i="4"/>
  <c r="D324" i="4"/>
  <c r="C324" i="4"/>
  <c r="B324" i="4"/>
  <c r="E323" i="4"/>
  <c r="D323" i="4"/>
  <c r="C323" i="4"/>
  <c r="B323" i="4"/>
  <c r="E322" i="4"/>
  <c r="D322" i="4"/>
  <c r="C322" i="4"/>
  <c r="B322" i="4"/>
  <c r="E321" i="4"/>
  <c r="D321" i="4"/>
  <c r="C321" i="4"/>
  <c r="B321" i="4"/>
  <c r="E320" i="4"/>
  <c r="D320" i="4"/>
  <c r="C320" i="4"/>
  <c r="B320" i="4"/>
  <c r="E319" i="4"/>
  <c r="D319" i="4"/>
  <c r="C319" i="4"/>
  <c r="B319" i="4"/>
  <c r="E318" i="4"/>
  <c r="D318" i="4"/>
  <c r="C318" i="4"/>
  <c r="B318" i="4"/>
  <c r="E317" i="4"/>
  <c r="D317" i="4"/>
  <c r="C317" i="4"/>
  <c r="B317" i="4"/>
  <c r="E316" i="4"/>
  <c r="D316" i="4"/>
  <c r="C316" i="4"/>
  <c r="B316" i="4"/>
  <c r="E315" i="4"/>
  <c r="D315" i="4"/>
  <c r="C315" i="4"/>
  <c r="B315" i="4"/>
  <c r="E314" i="4"/>
  <c r="D314" i="4"/>
  <c r="C314" i="4"/>
  <c r="B314" i="4"/>
  <c r="E313" i="4"/>
  <c r="D313" i="4"/>
  <c r="C313" i="4"/>
  <c r="B313" i="4"/>
  <c r="E312" i="4"/>
  <c r="D312" i="4"/>
  <c r="C312" i="4"/>
  <c r="B312" i="4"/>
  <c r="E311" i="4"/>
  <c r="D311" i="4"/>
  <c r="C311" i="4"/>
  <c r="B311" i="4"/>
  <c r="E310" i="4"/>
  <c r="D310" i="4"/>
  <c r="C310" i="4"/>
  <c r="B310" i="4"/>
  <c r="E309" i="4"/>
  <c r="D309" i="4"/>
  <c r="C309" i="4"/>
  <c r="B309" i="4"/>
  <c r="E308" i="4"/>
  <c r="D308" i="4"/>
  <c r="C308" i="4"/>
  <c r="B308" i="4"/>
  <c r="E307" i="4"/>
  <c r="D307" i="4"/>
  <c r="C307" i="4"/>
  <c r="B307" i="4"/>
  <c r="E306" i="4"/>
  <c r="D306" i="4"/>
  <c r="C306" i="4"/>
  <c r="B306" i="4"/>
  <c r="E305" i="4"/>
  <c r="D305" i="4"/>
  <c r="C305" i="4"/>
  <c r="B305" i="4"/>
  <c r="E304" i="4"/>
  <c r="D304" i="4"/>
  <c r="C304" i="4"/>
  <c r="B304" i="4"/>
  <c r="E303" i="4"/>
  <c r="D303" i="4"/>
  <c r="C303" i="4"/>
  <c r="B303" i="4"/>
  <c r="E302" i="4"/>
  <c r="D302" i="4"/>
  <c r="C302" i="4"/>
  <c r="B302" i="4"/>
  <c r="E301" i="4"/>
  <c r="D301" i="4"/>
  <c r="C301" i="4"/>
  <c r="B301" i="4"/>
  <c r="E300" i="4"/>
  <c r="D300" i="4"/>
  <c r="C300" i="4"/>
  <c r="B300" i="4"/>
  <c r="E299" i="4"/>
  <c r="D299" i="4"/>
  <c r="C299" i="4"/>
  <c r="B299" i="4"/>
  <c r="E298" i="4"/>
  <c r="D298" i="4"/>
  <c r="C298" i="4"/>
  <c r="B298" i="4"/>
  <c r="E297" i="4"/>
  <c r="D297" i="4"/>
  <c r="C297" i="4"/>
  <c r="B297" i="4"/>
  <c r="E296" i="4"/>
  <c r="D296" i="4"/>
  <c r="C296" i="4"/>
  <c r="B296" i="4"/>
  <c r="E295" i="4"/>
  <c r="D295" i="4"/>
  <c r="C295" i="4"/>
  <c r="B295" i="4"/>
  <c r="E294" i="4"/>
  <c r="D294" i="4"/>
  <c r="C294" i="4"/>
  <c r="B294" i="4"/>
  <c r="E293" i="4"/>
  <c r="D293" i="4"/>
  <c r="C293" i="4"/>
  <c r="B293" i="4"/>
  <c r="E292" i="4"/>
  <c r="D292" i="4"/>
  <c r="C292" i="4"/>
  <c r="B292" i="4"/>
  <c r="E291" i="4"/>
  <c r="D291" i="4"/>
  <c r="C291" i="4"/>
  <c r="B291" i="4"/>
  <c r="E290" i="4"/>
  <c r="D290" i="4"/>
  <c r="C290" i="4"/>
  <c r="B290" i="4"/>
  <c r="E289" i="4"/>
  <c r="D289" i="4"/>
  <c r="C289" i="4"/>
  <c r="B289" i="4"/>
  <c r="E288" i="4"/>
  <c r="D288" i="4"/>
  <c r="C288" i="4"/>
  <c r="B288" i="4"/>
  <c r="E287" i="4"/>
  <c r="D287" i="4"/>
  <c r="C287" i="4"/>
  <c r="B287" i="4"/>
  <c r="E286" i="4"/>
  <c r="D286" i="4"/>
  <c r="C286" i="4"/>
  <c r="B286" i="4"/>
  <c r="E285" i="4"/>
  <c r="D285" i="4"/>
  <c r="C285" i="4"/>
  <c r="B285" i="4"/>
  <c r="E284" i="4"/>
  <c r="D284" i="4"/>
  <c r="C284" i="4"/>
  <c r="B284" i="4"/>
  <c r="E283" i="4"/>
  <c r="D283" i="4"/>
  <c r="C283" i="4"/>
  <c r="B283" i="4"/>
  <c r="E282" i="4"/>
  <c r="D282" i="4"/>
  <c r="C282" i="4"/>
  <c r="B282" i="4"/>
  <c r="E281" i="4"/>
  <c r="D281" i="4"/>
  <c r="C281" i="4"/>
  <c r="B281" i="4"/>
  <c r="E280" i="4"/>
  <c r="D280" i="4"/>
  <c r="C280" i="4"/>
  <c r="B280" i="4"/>
  <c r="E279" i="4"/>
  <c r="D279" i="4"/>
  <c r="C279" i="4"/>
  <c r="B279" i="4"/>
  <c r="E278" i="4"/>
  <c r="D278" i="4"/>
  <c r="C278" i="4"/>
  <c r="B278" i="4"/>
  <c r="E277" i="4"/>
  <c r="D277" i="4"/>
  <c r="C277" i="4"/>
  <c r="B277" i="4"/>
  <c r="E276" i="4"/>
  <c r="D276" i="4"/>
  <c r="C276" i="4"/>
  <c r="B276" i="4"/>
  <c r="E275" i="4"/>
  <c r="D275" i="4"/>
  <c r="C275" i="4"/>
  <c r="B275" i="4"/>
  <c r="E274" i="4"/>
  <c r="D274" i="4"/>
  <c r="C274" i="4"/>
  <c r="B274" i="4"/>
  <c r="E273" i="4"/>
  <c r="D273" i="4"/>
  <c r="C273" i="4"/>
  <c r="B273" i="4"/>
  <c r="E272" i="4"/>
  <c r="D272" i="4"/>
  <c r="C272" i="4"/>
  <c r="B272" i="4"/>
  <c r="E271" i="4"/>
  <c r="D271" i="4"/>
  <c r="C271" i="4"/>
  <c r="B271" i="4"/>
  <c r="E270" i="4"/>
  <c r="D270" i="4"/>
  <c r="C270" i="4"/>
  <c r="B270" i="4"/>
  <c r="E269" i="4"/>
  <c r="D269" i="4"/>
  <c r="C269" i="4"/>
  <c r="B269" i="4"/>
  <c r="E268" i="4"/>
  <c r="D268" i="4"/>
  <c r="C268" i="4"/>
  <c r="B268" i="4"/>
  <c r="E267" i="4"/>
  <c r="D267" i="4"/>
  <c r="C267" i="4"/>
  <c r="B267" i="4"/>
  <c r="E266" i="4"/>
  <c r="D266" i="4"/>
  <c r="C266" i="4"/>
  <c r="B266" i="4"/>
  <c r="E265" i="4"/>
  <c r="D265" i="4"/>
  <c r="C265" i="4"/>
  <c r="B265" i="4"/>
  <c r="E264" i="4"/>
  <c r="D264" i="4"/>
  <c r="C264" i="4"/>
  <c r="B264" i="4"/>
  <c r="E263" i="4"/>
  <c r="D263" i="4"/>
  <c r="C263" i="4"/>
  <c r="B263" i="4"/>
  <c r="E262" i="4"/>
  <c r="D262" i="4"/>
  <c r="C262" i="4"/>
  <c r="B262" i="4"/>
  <c r="E261" i="4"/>
  <c r="D261" i="4"/>
  <c r="C261" i="4"/>
  <c r="B261" i="4"/>
  <c r="E260" i="4"/>
  <c r="D260" i="4"/>
  <c r="C260" i="4"/>
  <c r="B260" i="4"/>
  <c r="E259" i="4"/>
  <c r="D259" i="4"/>
  <c r="C259" i="4"/>
  <c r="B259" i="4"/>
  <c r="E258" i="4"/>
  <c r="D258" i="4"/>
  <c r="C258" i="4"/>
  <c r="B258" i="4"/>
  <c r="E257" i="4"/>
  <c r="D257" i="4"/>
  <c r="C257" i="4"/>
  <c r="B257" i="4"/>
  <c r="E256" i="4"/>
  <c r="D256" i="4"/>
  <c r="C256" i="4"/>
  <c r="B256" i="4"/>
  <c r="E255" i="4"/>
  <c r="D255" i="4"/>
  <c r="C255" i="4"/>
  <c r="B255" i="4"/>
  <c r="E254" i="4"/>
  <c r="D254" i="4"/>
  <c r="C254" i="4"/>
  <c r="B254" i="4"/>
  <c r="E253" i="4"/>
  <c r="D253" i="4"/>
  <c r="C253" i="4"/>
  <c r="B253" i="4"/>
  <c r="E252" i="4"/>
  <c r="D252" i="4"/>
  <c r="C252" i="4"/>
  <c r="B252" i="4"/>
  <c r="E251" i="4"/>
  <c r="D251" i="4"/>
  <c r="C251" i="4"/>
  <c r="B251" i="4"/>
  <c r="E250" i="4"/>
  <c r="D250" i="4"/>
  <c r="C250" i="4"/>
  <c r="B250" i="4"/>
  <c r="E249" i="4"/>
  <c r="D249" i="4"/>
  <c r="C249" i="4"/>
  <c r="B249" i="4"/>
  <c r="E248" i="4"/>
  <c r="D248" i="4"/>
  <c r="C248" i="4"/>
  <c r="B248" i="4"/>
  <c r="E247" i="4"/>
  <c r="D247" i="4"/>
  <c r="C247" i="4"/>
  <c r="B247" i="4"/>
  <c r="E246" i="4"/>
  <c r="D246" i="4"/>
  <c r="C246" i="4"/>
  <c r="B246" i="4"/>
  <c r="E245" i="4"/>
  <c r="D245" i="4"/>
  <c r="C245" i="4"/>
  <c r="B245" i="4"/>
  <c r="E244" i="4"/>
  <c r="D244" i="4"/>
  <c r="C244" i="4"/>
  <c r="B244" i="4"/>
  <c r="E243" i="4"/>
  <c r="D243" i="4"/>
  <c r="C243" i="4"/>
  <c r="B243" i="4"/>
  <c r="E242" i="4"/>
  <c r="D242" i="4"/>
  <c r="C242" i="4"/>
  <c r="B242" i="4"/>
  <c r="E241" i="4"/>
  <c r="D241" i="4"/>
  <c r="C241" i="4"/>
  <c r="B241" i="4"/>
  <c r="E240" i="4"/>
  <c r="D240" i="4"/>
  <c r="C240" i="4"/>
  <c r="B240" i="4"/>
  <c r="E239" i="4"/>
  <c r="D239" i="4"/>
  <c r="C239" i="4"/>
  <c r="B239" i="4"/>
  <c r="E238" i="4"/>
  <c r="D238" i="4"/>
  <c r="C238" i="4"/>
  <c r="B238" i="4"/>
  <c r="E237" i="4"/>
  <c r="D237" i="4"/>
  <c r="C237" i="4"/>
  <c r="B237" i="4"/>
  <c r="E236" i="4"/>
  <c r="D236" i="4"/>
  <c r="C236" i="4"/>
  <c r="B236" i="4"/>
  <c r="E235" i="4"/>
  <c r="D235" i="4"/>
  <c r="C235" i="4"/>
  <c r="B235" i="4"/>
  <c r="E234" i="4"/>
  <c r="D234" i="4"/>
  <c r="C234" i="4"/>
  <c r="B234" i="4"/>
  <c r="E233" i="4"/>
  <c r="D233" i="4"/>
  <c r="C233" i="4"/>
  <c r="B233" i="4"/>
  <c r="E232" i="4"/>
  <c r="D232" i="4"/>
  <c r="C232" i="4"/>
  <c r="B232" i="4"/>
  <c r="E231" i="4"/>
  <c r="D231" i="4"/>
  <c r="C231" i="4"/>
  <c r="B231" i="4"/>
  <c r="E230" i="4"/>
  <c r="D230" i="4"/>
  <c r="C230" i="4"/>
  <c r="B230" i="4"/>
  <c r="E229" i="4"/>
  <c r="D229" i="4"/>
  <c r="C229" i="4"/>
  <c r="B229" i="4"/>
  <c r="E228" i="4"/>
  <c r="D228" i="4"/>
  <c r="C228" i="4"/>
  <c r="B228" i="4"/>
  <c r="E227" i="4"/>
  <c r="D227" i="4"/>
  <c r="C227" i="4"/>
  <c r="B227" i="4"/>
  <c r="E226" i="4"/>
  <c r="D226" i="4"/>
  <c r="C226" i="4"/>
  <c r="B226" i="4"/>
  <c r="E225" i="4"/>
  <c r="D225" i="4"/>
  <c r="C225" i="4"/>
  <c r="B225" i="4"/>
  <c r="E224" i="4"/>
  <c r="D224" i="4"/>
  <c r="C224" i="4"/>
  <c r="B224" i="4"/>
  <c r="E223" i="4"/>
  <c r="D223" i="4"/>
  <c r="C223" i="4"/>
  <c r="B223" i="4"/>
  <c r="E222" i="4"/>
  <c r="D222" i="4"/>
  <c r="C222" i="4"/>
  <c r="B222" i="4"/>
  <c r="E221" i="4"/>
  <c r="D221" i="4"/>
  <c r="C221" i="4"/>
  <c r="B221" i="4"/>
  <c r="E220" i="4"/>
  <c r="D220" i="4"/>
  <c r="C220" i="4"/>
  <c r="B220" i="4"/>
  <c r="E219" i="4"/>
  <c r="D219" i="4"/>
  <c r="C219" i="4"/>
  <c r="B219" i="4"/>
  <c r="E218" i="4"/>
  <c r="D218" i="4"/>
  <c r="C218" i="4"/>
  <c r="B218" i="4"/>
  <c r="E217" i="4"/>
  <c r="D217" i="4"/>
  <c r="C217" i="4"/>
  <c r="B217" i="4"/>
  <c r="E216" i="4"/>
  <c r="D216" i="4"/>
  <c r="C216" i="4"/>
  <c r="B216" i="4"/>
  <c r="E215" i="4"/>
  <c r="D215" i="4"/>
  <c r="C215" i="4"/>
  <c r="B215" i="4"/>
  <c r="E214" i="4"/>
  <c r="D214" i="4"/>
  <c r="C214" i="4"/>
  <c r="B214" i="4"/>
  <c r="E213" i="4"/>
  <c r="D213" i="4"/>
  <c r="C213" i="4"/>
  <c r="B213" i="4"/>
  <c r="E212" i="4"/>
  <c r="D212" i="4"/>
  <c r="C212" i="4"/>
  <c r="B212" i="4"/>
  <c r="E211" i="4"/>
  <c r="D211" i="4"/>
  <c r="C211" i="4"/>
  <c r="B211" i="4"/>
  <c r="E210" i="4"/>
  <c r="D210" i="4"/>
  <c r="C210" i="4"/>
  <c r="B210" i="4"/>
  <c r="E209" i="4"/>
  <c r="D209" i="4"/>
  <c r="C209" i="4"/>
  <c r="B209" i="4"/>
  <c r="E208" i="4"/>
  <c r="D208" i="4"/>
  <c r="C208" i="4"/>
  <c r="B208" i="4"/>
  <c r="E207" i="4"/>
  <c r="D207" i="4"/>
  <c r="C207" i="4"/>
  <c r="B207" i="4"/>
  <c r="E206" i="4"/>
  <c r="D206" i="4"/>
  <c r="C206" i="4"/>
  <c r="B206" i="4"/>
  <c r="E205" i="4"/>
  <c r="D205" i="4"/>
  <c r="C205" i="4"/>
  <c r="B205" i="4"/>
  <c r="E204" i="4"/>
  <c r="D204" i="4"/>
  <c r="C204" i="4"/>
  <c r="B204" i="4"/>
  <c r="E203" i="4"/>
  <c r="D203" i="4"/>
  <c r="C203" i="4"/>
  <c r="B203" i="4"/>
  <c r="E202" i="4"/>
  <c r="D202" i="4"/>
  <c r="C202" i="4"/>
  <c r="B202" i="4"/>
  <c r="E201" i="4"/>
  <c r="D201" i="4"/>
  <c r="C201" i="4"/>
  <c r="B201" i="4"/>
  <c r="E200" i="4"/>
  <c r="D200" i="4"/>
  <c r="C200" i="4"/>
  <c r="B200" i="4"/>
  <c r="E199" i="4"/>
  <c r="D199" i="4"/>
  <c r="C199" i="4"/>
  <c r="B199" i="4"/>
  <c r="E198" i="4"/>
  <c r="D198" i="4"/>
  <c r="C198" i="4"/>
  <c r="B198" i="4"/>
  <c r="E197" i="4"/>
  <c r="D197" i="4"/>
  <c r="C197" i="4"/>
  <c r="B197" i="4"/>
  <c r="E196" i="4"/>
  <c r="D196" i="4"/>
  <c r="C196" i="4"/>
  <c r="B196" i="4"/>
  <c r="E195" i="4"/>
  <c r="D195" i="4"/>
  <c r="C195" i="4"/>
  <c r="B195" i="4"/>
  <c r="E194" i="4"/>
  <c r="D194" i="4"/>
  <c r="C194" i="4"/>
  <c r="B194" i="4"/>
  <c r="E193" i="4"/>
  <c r="D193" i="4"/>
  <c r="C193" i="4"/>
  <c r="B193" i="4"/>
  <c r="E192" i="4"/>
  <c r="D192" i="4"/>
  <c r="C192" i="4"/>
  <c r="B192" i="4"/>
  <c r="E191" i="4"/>
  <c r="D191" i="4"/>
  <c r="C191" i="4"/>
  <c r="B191" i="4"/>
  <c r="E190" i="4"/>
  <c r="D190" i="4"/>
  <c r="C190" i="4"/>
  <c r="B190" i="4"/>
  <c r="E189" i="4"/>
  <c r="D189" i="4"/>
  <c r="C189" i="4"/>
  <c r="B189" i="4"/>
  <c r="E188" i="4"/>
  <c r="D188" i="4"/>
  <c r="C188" i="4"/>
  <c r="B188" i="4"/>
  <c r="E187" i="4"/>
  <c r="D187" i="4"/>
  <c r="C187" i="4"/>
  <c r="B187" i="4"/>
  <c r="E186" i="4"/>
  <c r="D186" i="4"/>
  <c r="C186" i="4"/>
  <c r="B186" i="4"/>
  <c r="E185" i="4"/>
  <c r="D185" i="4"/>
  <c r="C185" i="4"/>
  <c r="B185" i="4"/>
  <c r="E184" i="4"/>
  <c r="D184" i="4"/>
  <c r="C184" i="4"/>
  <c r="B184" i="4"/>
  <c r="E183" i="4"/>
  <c r="D183" i="4"/>
  <c r="C183" i="4"/>
  <c r="B183" i="4"/>
  <c r="E182" i="4"/>
  <c r="D182" i="4"/>
  <c r="C182" i="4"/>
  <c r="B182" i="4"/>
  <c r="E181" i="4"/>
  <c r="D181" i="4"/>
  <c r="C181" i="4"/>
  <c r="B181" i="4"/>
  <c r="E180" i="4"/>
  <c r="D180" i="4"/>
  <c r="C180" i="4"/>
  <c r="B180" i="4"/>
  <c r="E179" i="4"/>
  <c r="D179" i="4"/>
  <c r="C179" i="4"/>
  <c r="B179" i="4"/>
  <c r="E178" i="4"/>
  <c r="D178" i="4"/>
  <c r="C178" i="4"/>
  <c r="B178" i="4"/>
  <c r="E177" i="4"/>
  <c r="D177" i="4"/>
  <c r="C177" i="4"/>
  <c r="B177" i="4"/>
  <c r="E176" i="4"/>
  <c r="D176" i="4"/>
  <c r="C176" i="4"/>
  <c r="B176" i="4"/>
  <c r="E175" i="4"/>
  <c r="D175" i="4"/>
  <c r="C175" i="4"/>
  <c r="B175" i="4"/>
  <c r="E174" i="4"/>
  <c r="D174" i="4"/>
  <c r="C174" i="4"/>
  <c r="B174" i="4"/>
  <c r="E173" i="4"/>
  <c r="D173" i="4"/>
  <c r="C173" i="4"/>
  <c r="B173" i="4"/>
  <c r="E172" i="4"/>
  <c r="D172" i="4"/>
  <c r="C172" i="4"/>
  <c r="B172" i="4"/>
  <c r="E171" i="4"/>
  <c r="D171" i="4"/>
  <c r="C171" i="4"/>
  <c r="B171" i="4"/>
  <c r="E170" i="4"/>
  <c r="D170" i="4"/>
  <c r="C170" i="4"/>
  <c r="B170" i="4"/>
  <c r="E169" i="4"/>
  <c r="D169" i="4"/>
  <c r="C169" i="4"/>
  <c r="B169" i="4"/>
  <c r="E168" i="4"/>
  <c r="D168" i="4"/>
  <c r="C168" i="4"/>
  <c r="B168" i="4"/>
  <c r="E167" i="4"/>
  <c r="D167" i="4"/>
  <c r="C167" i="4"/>
  <c r="B167" i="4"/>
  <c r="E166" i="4"/>
  <c r="D166" i="4"/>
  <c r="C166" i="4"/>
  <c r="B166" i="4"/>
  <c r="E165" i="4"/>
  <c r="D165" i="4"/>
  <c r="C165" i="4"/>
  <c r="B165" i="4"/>
  <c r="E164" i="4"/>
  <c r="D164" i="4"/>
  <c r="C164" i="4"/>
  <c r="B164" i="4"/>
  <c r="E163" i="4"/>
  <c r="D163" i="4"/>
  <c r="C163" i="4"/>
  <c r="B163" i="4"/>
  <c r="E162" i="4"/>
  <c r="D162" i="4"/>
  <c r="C162" i="4"/>
  <c r="B162" i="4"/>
  <c r="E161" i="4"/>
  <c r="D161" i="4"/>
  <c r="C161" i="4"/>
  <c r="B161" i="4"/>
  <c r="E160" i="4"/>
  <c r="D160" i="4"/>
  <c r="C160" i="4"/>
  <c r="B160" i="4"/>
  <c r="E159" i="4"/>
  <c r="D159" i="4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B156" i="4"/>
  <c r="E155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2" i="4"/>
  <c r="E151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48" i="4"/>
  <c r="E147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C144" i="4"/>
  <c r="B144" i="4"/>
  <c r="E143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D140" i="4"/>
  <c r="C140" i="4"/>
  <c r="B140" i="4"/>
  <c r="E139" i="4"/>
  <c r="D139" i="4"/>
  <c r="C139" i="4"/>
  <c r="B139" i="4"/>
  <c r="E138" i="4"/>
  <c r="D138" i="4"/>
  <c r="C138" i="4"/>
  <c r="B138" i="4"/>
  <c r="E137" i="4"/>
  <c r="D137" i="4"/>
  <c r="C137" i="4"/>
  <c r="B137" i="4"/>
  <c r="E136" i="4"/>
  <c r="D136" i="4"/>
  <c r="C136" i="4"/>
  <c r="B136" i="4"/>
  <c r="E135" i="4"/>
  <c r="D135" i="4"/>
  <c r="C135" i="4"/>
  <c r="B135" i="4"/>
  <c r="E134" i="4"/>
  <c r="D134" i="4"/>
  <c r="C134" i="4"/>
  <c r="B134" i="4"/>
  <c r="E133" i="4"/>
  <c r="D133" i="4"/>
  <c r="C133" i="4"/>
  <c r="B133" i="4"/>
  <c r="E132" i="4"/>
  <c r="D132" i="4"/>
  <c r="C132" i="4"/>
  <c r="B132" i="4"/>
  <c r="E131" i="4"/>
  <c r="D131" i="4"/>
  <c r="C131" i="4"/>
  <c r="B131" i="4"/>
  <c r="E130" i="4"/>
  <c r="D130" i="4"/>
  <c r="C130" i="4"/>
  <c r="B130" i="4"/>
  <c r="E129" i="4"/>
  <c r="D129" i="4"/>
  <c r="C129" i="4"/>
  <c r="B129" i="4"/>
  <c r="E128" i="4"/>
  <c r="D128" i="4"/>
  <c r="C128" i="4"/>
  <c r="B128" i="4"/>
  <c r="E127" i="4"/>
  <c r="D127" i="4"/>
  <c r="C127" i="4"/>
  <c r="B127" i="4"/>
  <c r="E126" i="4"/>
  <c r="D126" i="4"/>
  <c r="C126" i="4"/>
  <c r="B126" i="4"/>
  <c r="E125" i="4"/>
  <c r="D125" i="4"/>
  <c r="C125" i="4"/>
  <c r="B125" i="4"/>
  <c r="E124" i="4"/>
  <c r="D124" i="4"/>
  <c r="C124" i="4"/>
  <c r="B124" i="4"/>
  <c r="E123" i="4"/>
  <c r="D123" i="4"/>
  <c r="C123" i="4"/>
  <c r="B123" i="4"/>
  <c r="E122" i="4"/>
  <c r="D122" i="4"/>
  <c r="C122" i="4"/>
  <c r="B122" i="4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3" i="4"/>
  <c r="D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C104" i="4"/>
  <c r="B104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E53" i="4"/>
  <c r="D53" i="4"/>
  <c r="C53" i="4"/>
  <c r="B53" i="4"/>
  <c r="E52" i="4"/>
  <c r="D52" i="4"/>
  <c r="C52" i="4"/>
  <c r="B52" i="4"/>
  <c r="N999" i="2"/>
  <c r="F999" i="2"/>
  <c r="D999" i="2"/>
  <c r="C999" i="2"/>
  <c r="N998" i="2"/>
  <c r="F998" i="2"/>
  <c r="D998" i="2"/>
  <c r="C998" i="2"/>
  <c r="N997" i="2"/>
  <c r="F997" i="2"/>
  <c r="D997" i="2"/>
  <c r="C997" i="2"/>
  <c r="N996" i="2"/>
  <c r="F996" i="2"/>
  <c r="K996" i="2" s="1"/>
  <c r="D996" i="2"/>
  <c r="C996" i="2"/>
  <c r="N995" i="2"/>
  <c r="F995" i="2"/>
  <c r="J995" i="2" s="1"/>
  <c r="L995" i="2" s="1"/>
  <c r="D995" i="2"/>
  <c r="C995" i="2"/>
  <c r="N994" i="2"/>
  <c r="F994" i="2"/>
  <c r="D994" i="2"/>
  <c r="C994" i="2"/>
  <c r="N993" i="2"/>
  <c r="F993" i="2"/>
  <c r="D993" i="2"/>
  <c r="C993" i="2"/>
  <c r="N992" i="2"/>
  <c r="F992" i="2"/>
  <c r="D992" i="2"/>
  <c r="C992" i="2"/>
  <c r="N991" i="2"/>
  <c r="F991" i="2"/>
  <c r="D991" i="2"/>
  <c r="C991" i="2"/>
  <c r="N990" i="2"/>
  <c r="F990" i="2"/>
  <c r="K990" i="2" s="1"/>
  <c r="D990" i="2"/>
  <c r="C990" i="2"/>
  <c r="N989" i="2"/>
  <c r="F989" i="2"/>
  <c r="D989" i="2"/>
  <c r="C989" i="2"/>
  <c r="N988" i="2"/>
  <c r="F988" i="2"/>
  <c r="D988" i="2"/>
  <c r="C988" i="2"/>
  <c r="N987" i="2"/>
  <c r="F987" i="2"/>
  <c r="J987" i="2" s="1"/>
  <c r="L987" i="2" s="1"/>
  <c r="D987" i="2"/>
  <c r="C987" i="2"/>
  <c r="N986" i="2"/>
  <c r="F986" i="2"/>
  <c r="K986" i="2" s="1"/>
  <c r="D986" i="2"/>
  <c r="C986" i="2"/>
  <c r="N985" i="2"/>
  <c r="F985" i="2"/>
  <c r="J985" i="2" s="1"/>
  <c r="L985" i="2" s="1"/>
  <c r="D985" i="2"/>
  <c r="C985" i="2"/>
  <c r="N984" i="2"/>
  <c r="F984" i="2"/>
  <c r="K984" i="2" s="1"/>
  <c r="D984" i="2"/>
  <c r="C984" i="2"/>
  <c r="N983" i="2"/>
  <c r="F983" i="2"/>
  <c r="D983" i="2"/>
  <c r="C983" i="2"/>
  <c r="N982" i="2"/>
  <c r="F982" i="2"/>
  <c r="K982" i="2" s="1"/>
  <c r="D982" i="2"/>
  <c r="C982" i="2"/>
  <c r="N981" i="2"/>
  <c r="F981" i="2"/>
  <c r="J981" i="2" s="1"/>
  <c r="L981" i="2" s="1"/>
  <c r="D981" i="2"/>
  <c r="C981" i="2"/>
  <c r="N980" i="2"/>
  <c r="F980" i="2"/>
  <c r="D980" i="2"/>
  <c r="C980" i="2"/>
  <c r="N979" i="2"/>
  <c r="F979" i="2"/>
  <c r="D979" i="2"/>
  <c r="C979" i="2"/>
  <c r="N978" i="2"/>
  <c r="F978" i="2"/>
  <c r="D978" i="2"/>
  <c r="C978" i="2"/>
  <c r="N977" i="2"/>
  <c r="F977" i="2"/>
  <c r="J977" i="2" s="1"/>
  <c r="L977" i="2" s="1"/>
  <c r="D977" i="2"/>
  <c r="C977" i="2"/>
  <c r="N976" i="2"/>
  <c r="F976" i="2"/>
  <c r="D976" i="2"/>
  <c r="C976" i="2"/>
  <c r="N975" i="2"/>
  <c r="F975" i="2"/>
  <c r="D975" i="2"/>
  <c r="C975" i="2"/>
  <c r="N974" i="2"/>
  <c r="F974" i="2"/>
  <c r="D974" i="2"/>
  <c r="C974" i="2"/>
  <c r="N973" i="2"/>
  <c r="F973" i="2"/>
  <c r="J973" i="2" s="1"/>
  <c r="L973" i="2" s="1"/>
  <c r="D973" i="2"/>
  <c r="C973" i="2"/>
  <c r="N972" i="2"/>
  <c r="F972" i="2"/>
  <c r="D972" i="2"/>
  <c r="C972" i="2"/>
  <c r="N971" i="2"/>
  <c r="F971" i="2"/>
  <c r="D971" i="2"/>
  <c r="C971" i="2"/>
  <c r="N970" i="2"/>
  <c r="F970" i="2"/>
  <c r="K970" i="2" s="1"/>
  <c r="D970" i="2"/>
  <c r="C970" i="2"/>
  <c r="N969" i="2"/>
  <c r="F969" i="2"/>
  <c r="D969" i="2"/>
  <c r="C969" i="2"/>
  <c r="N968" i="2"/>
  <c r="F968" i="2"/>
  <c r="J968" i="2" s="1"/>
  <c r="L968" i="2" s="1"/>
  <c r="D968" i="2"/>
  <c r="C968" i="2"/>
  <c r="N967" i="2"/>
  <c r="F967" i="2"/>
  <c r="J967" i="2" s="1"/>
  <c r="L967" i="2" s="1"/>
  <c r="D967" i="2"/>
  <c r="C967" i="2"/>
  <c r="N966" i="2"/>
  <c r="F966" i="2"/>
  <c r="K966" i="2" s="1"/>
  <c r="D966" i="2"/>
  <c r="C966" i="2"/>
  <c r="N965" i="2"/>
  <c r="F965" i="2"/>
  <c r="J965" i="2" s="1"/>
  <c r="L965" i="2" s="1"/>
  <c r="D965" i="2"/>
  <c r="C965" i="2"/>
  <c r="N964" i="2"/>
  <c r="F964" i="2"/>
  <c r="D964" i="2"/>
  <c r="C964" i="2"/>
  <c r="N963" i="2"/>
  <c r="F963" i="2"/>
  <c r="D963" i="2"/>
  <c r="C963" i="2"/>
  <c r="N962" i="2"/>
  <c r="F962" i="2"/>
  <c r="J962" i="2" s="1"/>
  <c r="L962" i="2" s="1"/>
  <c r="D962" i="2"/>
  <c r="C962" i="2"/>
  <c r="N961" i="2"/>
  <c r="F961" i="2"/>
  <c r="D961" i="2"/>
  <c r="C961" i="2"/>
  <c r="N960" i="2"/>
  <c r="F960" i="2"/>
  <c r="D960" i="2"/>
  <c r="C960" i="2"/>
  <c r="N959" i="2"/>
  <c r="F959" i="2"/>
  <c r="D959" i="2"/>
  <c r="C959" i="2"/>
  <c r="N958" i="2"/>
  <c r="F958" i="2"/>
  <c r="D958" i="2"/>
  <c r="C958" i="2"/>
  <c r="N957" i="2"/>
  <c r="F957" i="2"/>
  <c r="J957" i="2" s="1"/>
  <c r="L957" i="2" s="1"/>
  <c r="D957" i="2"/>
  <c r="C957" i="2"/>
  <c r="N956" i="2"/>
  <c r="F956" i="2"/>
  <c r="K956" i="2" s="1"/>
  <c r="D956" i="2"/>
  <c r="C956" i="2"/>
  <c r="N955" i="2"/>
  <c r="F955" i="2"/>
  <c r="J955" i="2" s="1"/>
  <c r="L955" i="2" s="1"/>
  <c r="D955" i="2"/>
  <c r="C955" i="2"/>
  <c r="N954" i="2"/>
  <c r="F954" i="2"/>
  <c r="D954" i="2"/>
  <c r="C954" i="2"/>
  <c r="N953" i="2"/>
  <c r="F953" i="2"/>
  <c r="D953" i="2"/>
  <c r="C953" i="2"/>
  <c r="N952" i="2"/>
  <c r="F952" i="2"/>
  <c r="D952" i="2"/>
  <c r="C952" i="2"/>
  <c r="N951" i="2"/>
  <c r="F951" i="2"/>
  <c r="D951" i="2"/>
  <c r="C951" i="2"/>
  <c r="N950" i="2"/>
  <c r="F950" i="2"/>
  <c r="K950" i="2" s="1"/>
  <c r="D950" i="2"/>
  <c r="C950" i="2"/>
  <c r="N949" i="2"/>
  <c r="F949" i="2"/>
  <c r="D949" i="2"/>
  <c r="C949" i="2"/>
  <c r="N948" i="2"/>
  <c r="F948" i="2"/>
  <c r="J948" i="2" s="1"/>
  <c r="L948" i="2" s="1"/>
  <c r="D948" i="2"/>
  <c r="C948" i="2"/>
  <c r="N947" i="2"/>
  <c r="F947" i="2"/>
  <c r="J947" i="2" s="1"/>
  <c r="L947" i="2" s="1"/>
  <c r="D947" i="2"/>
  <c r="C947" i="2"/>
  <c r="N946" i="2"/>
  <c r="F946" i="2"/>
  <c r="K946" i="2" s="1"/>
  <c r="D946" i="2"/>
  <c r="C946" i="2"/>
  <c r="N945" i="2"/>
  <c r="F945" i="2"/>
  <c r="D945" i="2"/>
  <c r="C945" i="2"/>
  <c r="N944" i="2"/>
  <c r="F944" i="2"/>
  <c r="D944" i="2"/>
  <c r="C944" i="2"/>
  <c r="N943" i="2"/>
  <c r="F943" i="2"/>
  <c r="D943" i="2"/>
  <c r="C943" i="2"/>
  <c r="N942" i="2"/>
  <c r="F942" i="2"/>
  <c r="K942" i="2" s="1"/>
  <c r="D942" i="2"/>
  <c r="C942" i="2"/>
  <c r="N941" i="2"/>
  <c r="F941" i="2"/>
  <c r="D941" i="2"/>
  <c r="C941" i="2"/>
  <c r="N940" i="2"/>
  <c r="F940" i="2"/>
  <c r="D940" i="2"/>
  <c r="C940" i="2"/>
  <c r="N939" i="2"/>
  <c r="F939" i="2"/>
  <c r="D939" i="2"/>
  <c r="C939" i="2"/>
  <c r="N938" i="2"/>
  <c r="F938" i="2"/>
  <c r="D938" i="2"/>
  <c r="C938" i="2"/>
  <c r="N937" i="2"/>
  <c r="F937" i="2"/>
  <c r="J937" i="2" s="1"/>
  <c r="L937" i="2" s="1"/>
  <c r="D937" i="2"/>
  <c r="C937" i="2"/>
  <c r="N936" i="2"/>
  <c r="F936" i="2"/>
  <c r="D936" i="2"/>
  <c r="C936" i="2"/>
  <c r="N935" i="2"/>
  <c r="F935" i="2"/>
  <c r="J935" i="2" s="1"/>
  <c r="L935" i="2" s="1"/>
  <c r="D935" i="2"/>
  <c r="C935" i="2"/>
  <c r="N934" i="2"/>
  <c r="F934" i="2"/>
  <c r="J934" i="2" s="1"/>
  <c r="L934" i="2" s="1"/>
  <c r="D934" i="2"/>
  <c r="C934" i="2"/>
  <c r="N933" i="2"/>
  <c r="F933" i="2"/>
  <c r="J933" i="2" s="1"/>
  <c r="L933" i="2" s="1"/>
  <c r="D933" i="2"/>
  <c r="C933" i="2"/>
  <c r="N932" i="2"/>
  <c r="F932" i="2"/>
  <c r="D932" i="2"/>
  <c r="C932" i="2"/>
  <c r="N931" i="2"/>
  <c r="F931" i="2"/>
  <c r="D931" i="2"/>
  <c r="C931" i="2"/>
  <c r="N930" i="2"/>
  <c r="F930" i="2"/>
  <c r="D930" i="2"/>
  <c r="C930" i="2"/>
  <c r="N929" i="2"/>
  <c r="F929" i="2"/>
  <c r="D929" i="2"/>
  <c r="C929" i="2"/>
  <c r="N928" i="2"/>
  <c r="F928" i="2"/>
  <c r="J928" i="2" s="1"/>
  <c r="L928" i="2" s="1"/>
  <c r="D928" i="2"/>
  <c r="C928" i="2"/>
  <c r="N927" i="2"/>
  <c r="F927" i="2"/>
  <c r="D927" i="2"/>
  <c r="C927" i="2"/>
  <c r="N926" i="2"/>
  <c r="F926" i="2"/>
  <c r="K926" i="2" s="1"/>
  <c r="D926" i="2"/>
  <c r="C926" i="2"/>
  <c r="N925" i="2"/>
  <c r="F925" i="2"/>
  <c r="D925" i="2"/>
  <c r="C925" i="2"/>
  <c r="N924" i="2"/>
  <c r="F924" i="2"/>
  <c r="D924" i="2"/>
  <c r="C924" i="2"/>
  <c r="N923" i="2"/>
  <c r="F923" i="2"/>
  <c r="D923" i="2"/>
  <c r="C923" i="2"/>
  <c r="N922" i="2"/>
  <c r="F922" i="2"/>
  <c r="D922" i="2"/>
  <c r="C922" i="2"/>
  <c r="N921" i="2"/>
  <c r="F921" i="2"/>
  <c r="D921" i="2"/>
  <c r="C921" i="2"/>
  <c r="N920" i="2"/>
  <c r="F920" i="2"/>
  <c r="D920" i="2"/>
  <c r="C920" i="2"/>
  <c r="N919" i="2"/>
  <c r="F919" i="2"/>
  <c r="D919" i="2"/>
  <c r="C919" i="2"/>
  <c r="N918" i="2"/>
  <c r="F918" i="2"/>
  <c r="D918" i="2"/>
  <c r="C918" i="2"/>
  <c r="N917" i="2"/>
  <c r="F917" i="2"/>
  <c r="J917" i="2" s="1"/>
  <c r="L917" i="2" s="1"/>
  <c r="D917" i="2"/>
  <c r="C917" i="2"/>
  <c r="N916" i="2"/>
  <c r="F916" i="2"/>
  <c r="K916" i="2" s="1"/>
  <c r="D916" i="2"/>
  <c r="C916" i="2"/>
  <c r="N915" i="2"/>
  <c r="F915" i="2"/>
  <c r="D915" i="2"/>
  <c r="C915" i="2"/>
  <c r="N914" i="2"/>
  <c r="F914" i="2"/>
  <c r="K914" i="2" s="1"/>
  <c r="D914" i="2"/>
  <c r="C914" i="2"/>
  <c r="N913" i="2"/>
  <c r="F913" i="2"/>
  <c r="D913" i="2"/>
  <c r="C913" i="2"/>
  <c r="N912" i="2"/>
  <c r="F912" i="2"/>
  <c r="D912" i="2"/>
  <c r="C912" i="2"/>
  <c r="N911" i="2"/>
  <c r="F911" i="2"/>
  <c r="J911" i="2" s="1"/>
  <c r="L911" i="2" s="1"/>
  <c r="D911" i="2"/>
  <c r="C911" i="2"/>
  <c r="N910" i="2"/>
  <c r="F910" i="2"/>
  <c r="D910" i="2"/>
  <c r="C910" i="2"/>
  <c r="N909" i="2"/>
  <c r="F909" i="2"/>
  <c r="J909" i="2" s="1"/>
  <c r="L909" i="2" s="1"/>
  <c r="D909" i="2"/>
  <c r="C909" i="2"/>
  <c r="N908" i="2"/>
  <c r="F908" i="2"/>
  <c r="D908" i="2"/>
  <c r="C908" i="2"/>
  <c r="N907" i="2"/>
  <c r="F907" i="2"/>
  <c r="J907" i="2" s="1"/>
  <c r="L907" i="2" s="1"/>
  <c r="D907" i="2"/>
  <c r="C907" i="2"/>
  <c r="N906" i="2"/>
  <c r="F906" i="2"/>
  <c r="K906" i="2" s="1"/>
  <c r="D906" i="2"/>
  <c r="C906" i="2"/>
  <c r="N905" i="2"/>
  <c r="F905" i="2"/>
  <c r="J905" i="2" s="1"/>
  <c r="L905" i="2" s="1"/>
  <c r="D905" i="2"/>
  <c r="C905" i="2"/>
  <c r="N904" i="2"/>
  <c r="F904" i="2"/>
  <c r="D904" i="2"/>
  <c r="C904" i="2"/>
  <c r="N903" i="2"/>
  <c r="F903" i="2"/>
  <c r="J903" i="2" s="1"/>
  <c r="L903" i="2" s="1"/>
  <c r="D903" i="2"/>
  <c r="C903" i="2"/>
  <c r="N902" i="2"/>
  <c r="F902" i="2"/>
  <c r="K902" i="2" s="1"/>
  <c r="D902" i="2"/>
  <c r="C902" i="2"/>
  <c r="N901" i="2"/>
  <c r="F901" i="2"/>
  <c r="J901" i="2" s="1"/>
  <c r="L901" i="2" s="1"/>
  <c r="D901" i="2"/>
  <c r="C901" i="2"/>
  <c r="N900" i="2"/>
  <c r="F900" i="2"/>
  <c r="D900" i="2"/>
  <c r="C900" i="2"/>
  <c r="N899" i="2"/>
  <c r="F899" i="2"/>
  <c r="D899" i="2"/>
  <c r="C899" i="2"/>
  <c r="N898" i="2"/>
  <c r="F898" i="2"/>
  <c r="D898" i="2"/>
  <c r="C898" i="2"/>
  <c r="N897" i="2"/>
  <c r="F897" i="2"/>
  <c r="J897" i="2" s="1"/>
  <c r="L897" i="2" s="1"/>
  <c r="D897" i="2"/>
  <c r="C897" i="2"/>
  <c r="N896" i="2"/>
  <c r="F896" i="2"/>
  <c r="D896" i="2"/>
  <c r="C896" i="2"/>
  <c r="N895" i="2"/>
  <c r="F895" i="2"/>
  <c r="J895" i="2" s="1"/>
  <c r="L895" i="2" s="1"/>
  <c r="D895" i="2"/>
  <c r="C895" i="2"/>
  <c r="N894" i="2"/>
  <c r="F894" i="2"/>
  <c r="J894" i="2" s="1"/>
  <c r="L894" i="2" s="1"/>
  <c r="D894" i="2"/>
  <c r="C894" i="2"/>
  <c r="N893" i="2"/>
  <c r="F893" i="2"/>
  <c r="D893" i="2"/>
  <c r="C893" i="2"/>
  <c r="N892" i="2"/>
  <c r="F892" i="2"/>
  <c r="D892" i="2"/>
  <c r="C892" i="2"/>
  <c r="N891" i="2"/>
  <c r="F891" i="2"/>
  <c r="D891" i="2"/>
  <c r="C891" i="2"/>
  <c r="N890" i="2"/>
  <c r="F890" i="2"/>
  <c r="D890" i="2"/>
  <c r="C890" i="2"/>
  <c r="N889" i="2"/>
  <c r="F889" i="2"/>
  <c r="D889" i="2"/>
  <c r="C889" i="2"/>
  <c r="N888" i="2"/>
  <c r="F888" i="2"/>
  <c r="D888" i="2"/>
  <c r="C888" i="2"/>
  <c r="N887" i="2"/>
  <c r="F887" i="2"/>
  <c r="D887" i="2"/>
  <c r="C887" i="2"/>
  <c r="N886" i="2"/>
  <c r="F886" i="2"/>
  <c r="K886" i="2" s="1"/>
  <c r="D886" i="2"/>
  <c r="C886" i="2"/>
  <c r="N885" i="2"/>
  <c r="F885" i="2"/>
  <c r="J885" i="2" s="1"/>
  <c r="L885" i="2" s="1"/>
  <c r="D885" i="2"/>
  <c r="C885" i="2"/>
  <c r="N884" i="2"/>
  <c r="F884" i="2"/>
  <c r="D884" i="2"/>
  <c r="C884" i="2"/>
  <c r="N883" i="2"/>
  <c r="F883" i="2"/>
  <c r="J883" i="2" s="1"/>
  <c r="L883" i="2" s="1"/>
  <c r="D883" i="2"/>
  <c r="C883" i="2"/>
  <c r="N882" i="2"/>
  <c r="F882" i="2"/>
  <c r="D882" i="2"/>
  <c r="C882" i="2"/>
  <c r="N881" i="2"/>
  <c r="F881" i="2"/>
  <c r="D881" i="2"/>
  <c r="C881" i="2"/>
  <c r="N880" i="2"/>
  <c r="F880" i="2"/>
  <c r="K880" i="2" s="1"/>
  <c r="D880" i="2"/>
  <c r="C880" i="2"/>
  <c r="N879" i="2"/>
  <c r="F879" i="2"/>
  <c r="D879" i="2"/>
  <c r="C879" i="2"/>
  <c r="N878" i="2"/>
  <c r="F878" i="2"/>
  <c r="D878" i="2"/>
  <c r="C878" i="2"/>
  <c r="N877" i="2"/>
  <c r="F877" i="2"/>
  <c r="J877" i="2" s="1"/>
  <c r="L877" i="2" s="1"/>
  <c r="D877" i="2"/>
  <c r="C877" i="2"/>
  <c r="N876" i="2"/>
  <c r="F876" i="2"/>
  <c r="D876" i="2"/>
  <c r="C876" i="2"/>
  <c r="N875" i="2"/>
  <c r="F875" i="2"/>
  <c r="J875" i="2" s="1"/>
  <c r="L875" i="2" s="1"/>
  <c r="D875" i="2"/>
  <c r="C875" i="2"/>
  <c r="N874" i="2"/>
  <c r="F874" i="2"/>
  <c r="D874" i="2"/>
  <c r="C874" i="2"/>
  <c r="N873" i="2"/>
  <c r="F873" i="2"/>
  <c r="D873" i="2"/>
  <c r="C873" i="2"/>
  <c r="N872" i="2"/>
  <c r="F872" i="2"/>
  <c r="D872" i="2"/>
  <c r="C872" i="2"/>
  <c r="N871" i="2"/>
  <c r="F871" i="2"/>
  <c r="J871" i="2" s="1"/>
  <c r="L871" i="2" s="1"/>
  <c r="D871" i="2"/>
  <c r="C871" i="2"/>
  <c r="N870" i="2"/>
  <c r="F870" i="2"/>
  <c r="D870" i="2"/>
  <c r="C870" i="2"/>
  <c r="N869" i="2"/>
  <c r="F869" i="2"/>
  <c r="D869" i="2"/>
  <c r="C869" i="2"/>
  <c r="N868" i="2"/>
  <c r="F868" i="2"/>
  <c r="D868" i="2"/>
  <c r="C868" i="2"/>
  <c r="N867" i="2"/>
  <c r="F867" i="2"/>
  <c r="D867" i="2"/>
  <c r="C867" i="2"/>
  <c r="N866" i="2"/>
  <c r="F866" i="2"/>
  <c r="K866" i="2" s="1"/>
  <c r="D866" i="2"/>
  <c r="C866" i="2"/>
  <c r="N865" i="2"/>
  <c r="F865" i="2"/>
  <c r="J865" i="2" s="1"/>
  <c r="L865" i="2" s="1"/>
  <c r="D865" i="2"/>
  <c r="C865" i="2"/>
  <c r="N864" i="2"/>
  <c r="F864" i="2"/>
  <c r="J864" i="2" s="1"/>
  <c r="L864" i="2" s="1"/>
  <c r="D864" i="2"/>
  <c r="C864" i="2"/>
  <c r="N863" i="2"/>
  <c r="F863" i="2"/>
  <c r="J863" i="2" s="1"/>
  <c r="L863" i="2" s="1"/>
  <c r="D863" i="2"/>
  <c r="C863" i="2"/>
  <c r="N862" i="2"/>
  <c r="F862" i="2"/>
  <c r="K862" i="2" s="1"/>
  <c r="D862" i="2"/>
  <c r="C862" i="2"/>
  <c r="N861" i="2"/>
  <c r="F861" i="2"/>
  <c r="J861" i="2" s="1"/>
  <c r="L861" i="2" s="1"/>
  <c r="D861" i="2"/>
  <c r="C861" i="2"/>
  <c r="N860" i="2"/>
  <c r="F860" i="2"/>
  <c r="K860" i="2" s="1"/>
  <c r="D860" i="2"/>
  <c r="C860" i="2"/>
  <c r="N859" i="2"/>
  <c r="F859" i="2"/>
  <c r="D859" i="2"/>
  <c r="C859" i="2"/>
  <c r="N858" i="2"/>
  <c r="F858" i="2"/>
  <c r="D858" i="2"/>
  <c r="C858" i="2"/>
  <c r="N857" i="2"/>
  <c r="F857" i="2"/>
  <c r="J857" i="2" s="1"/>
  <c r="L857" i="2" s="1"/>
  <c r="D857" i="2"/>
  <c r="C857" i="2"/>
  <c r="N856" i="2"/>
  <c r="F856" i="2"/>
  <c r="K856" i="2" s="1"/>
  <c r="D856" i="2"/>
  <c r="C856" i="2"/>
  <c r="N855" i="2"/>
  <c r="F855" i="2"/>
  <c r="J855" i="2" s="1"/>
  <c r="L855" i="2" s="1"/>
  <c r="D855" i="2"/>
  <c r="C855" i="2"/>
  <c r="N854" i="2"/>
  <c r="F854" i="2"/>
  <c r="D854" i="2"/>
  <c r="C854" i="2"/>
  <c r="N853" i="2"/>
  <c r="F853" i="2"/>
  <c r="J853" i="2" s="1"/>
  <c r="L853" i="2" s="1"/>
  <c r="D853" i="2"/>
  <c r="C853" i="2"/>
  <c r="N852" i="2"/>
  <c r="F852" i="2"/>
  <c r="D852" i="2"/>
  <c r="C852" i="2"/>
  <c r="N851" i="2"/>
  <c r="F851" i="2"/>
  <c r="J851" i="2" s="1"/>
  <c r="L851" i="2" s="1"/>
  <c r="D851" i="2"/>
  <c r="C851" i="2"/>
  <c r="N850" i="2"/>
  <c r="F850" i="2"/>
  <c r="D850" i="2"/>
  <c r="C850" i="2"/>
  <c r="N849" i="2"/>
  <c r="F849" i="2"/>
  <c r="D849" i="2"/>
  <c r="C849" i="2"/>
  <c r="N848" i="2"/>
  <c r="F848" i="2"/>
  <c r="D848" i="2"/>
  <c r="C848" i="2"/>
  <c r="N847" i="2"/>
  <c r="F847" i="2"/>
  <c r="D847" i="2"/>
  <c r="C847" i="2"/>
  <c r="N846" i="2"/>
  <c r="F846" i="2"/>
  <c r="D846" i="2"/>
  <c r="C846" i="2"/>
  <c r="N845" i="2"/>
  <c r="F845" i="2"/>
  <c r="D845" i="2"/>
  <c r="C845" i="2"/>
  <c r="N844" i="2"/>
  <c r="F844" i="2"/>
  <c r="J844" i="2" s="1"/>
  <c r="L844" i="2" s="1"/>
  <c r="D844" i="2"/>
  <c r="C844" i="2"/>
  <c r="N843" i="2"/>
  <c r="F843" i="2"/>
  <c r="J843" i="2" s="1"/>
  <c r="L843" i="2" s="1"/>
  <c r="D843" i="2"/>
  <c r="C843" i="2"/>
  <c r="N842" i="2"/>
  <c r="F842" i="2"/>
  <c r="D842" i="2"/>
  <c r="C842" i="2"/>
  <c r="N841" i="2"/>
  <c r="F841" i="2"/>
  <c r="J841" i="2" s="1"/>
  <c r="L841" i="2" s="1"/>
  <c r="D841" i="2"/>
  <c r="C841" i="2"/>
  <c r="N840" i="2"/>
  <c r="F840" i="2"/>
  <c r="J840" i="2" s="1"/>
  <c r="L840" i="2" s="1"/>
  <c r="D840" i="2"/>
  <c r="C840" i="2"/>
  <c r="N839" i="2"/>
  <c r="F839" i="2"/>
  <c r="D839" i="2"/>
  <c r="C839" i="2"/>
  <c r="N838" i="2"/>
  <c r="F838" i="2"/>
  <c r="K838" i="2" s="1"/>
  <c r="D838" i="2"/>
  <c r="C838" i="2"/>
  <c r="N837" i="2"/>
  <c r="F837" i="2"/>
  <c r="K837" i="2" s="1"/>
  <c r="D837" i="2"/>
  <c r="C837" i="2"/>
  <c r="N836" i="2"/>
  <c r="F836" i="2"/>
  <c r="K836" i="2" s="1"/>
  <c r="D836" i="2"/>
  <c r="C836" i="2"/>
  <c r="N835" i="2"/>
  <c r="F835" i="2"/>
  <c r="D835" i="2"/>
  <c r="C835" i="2"/>
  <c r="N834" i="2"/>
  <c r="F834" i="2"/>
  <c r="K834" i="2" s="1"/>
  <c r="D834" i="2"/>
  <c r="C834" i="2"/>
  <c r="N833" i="2"/>
  <c r="F833" i="2"/>
  <c r="J833" i="2" s="1"/>
  <c r="L833" i="2" s="1"/>
  <c r="D833" i="2"/>
  <c r="C833" i="2"/>
  <c r="N832" i="2"/>
  <c r="F832" i="2"/>
  <c r="D832" i="2"/>
  <c r="C832" i="2"/>
  <c r="N831" i="2"/>
  <c r="F831" i="2"/>
  <c r="K831" i="2" s="1"/>
  <c r="D831" i="2"/>
  <c r="C831" i="2"/>
  <c r="N830" i="2"/>
  <c r="F830" i="2"/>
  <c r="J830" i="2" s="1"/>
  <c r="L830" i="2" s="1"/>
  <c r="D830" i="2"/>
  <c r="C830" i="2"/>
  <c r="N829" i="2"/>
  <c r="F829" i="2"/>
  <c r="K829" i="2" s="1"/>
  <c r="D829" i="2"/>
  <c r="C829" i="2"/>
  <c r="N828" i="2"/>
  <c r="F828" i="2"/>
  <c r="D828" i="2"/>
  <c r="C828" i="2"/>
  <c r="N827" i="2"/>
  <c r="F827" i="2"/>
  <c r="K827" i="2" s="1"/>
  <c r="D827" i="2"/>
  <c r="C827" i="2"/>
  <c r="N826" i="2"/>
  <c r="F826" i="2"/>
  <c r="J826" i="2" s="1"/>
  <c r="L826" i="2" s="1"/>
  <c r="D826" i="2"/>
  <c r="C826" i="2"/>
  <c r="N825" i="2"/>
  <c r="F825" i="2"/>
  <c r="J825" i="2" s="1"/>
  <c r="L825" i="2" s="1"/>
  <c r="D825" i="2"/>
  <c r="C825" i="2"/>
  <c r="N824" i="2"/>
  <c r="F824" i="2"/>
  <c r="D824" i="2"/>
  <c r="C824" i="2"/>
  <c r="N823" i="2"/>
  <c r="F823" i="2"/>
  <c r="D823" i="2"/>
  <c r="C823" i="2"/>
  <c r="N822" i="2"/>
  <c r="F822" i="2"/>
  <c r="K822" i="2" s="1"/>
  <c r="D822" i="2"/>
  <c r="C822" i="2"/>
  <c r="N821" i="2"/>
  <c r="F821" i="2"/>
  <c r="D821" i="2"/>
  <c r="C821" i="2"/>
  <c r="N820" i="2"/>
  <c r="F820" i="2"/>
  <c r="K820" i="2" s="1"/>
  <c r="D820" i="2"/>
  <c r="C820" i="2"/>
  <c r="N819" i="2"/>
  <c r="F819" i="2"/>
  <c r="J819" i="2" s="1"/>
  <c r="L819" i="2" s="1"/>
  <c r="D819" i="2"/>
  <c r="C819" i="2"/>
  <c r="N818" i="2"/>
  <c r="F818" i="2"/>
  <c r="J818" i="2" s="1"/>
  <c r="L818" i="2" s="1"/>
  <c r="D818" i="2"/>
  <c r="C818" i="2"/>
  <c r="N817" i="2"/>
  <c r="F817" i="2"/>
  <c r="D817" i="2"/>
  <c r="C817" i="2"/>
  <c r="N816" i="2"/>
  <c r="F816" i="2"/>
  <c r="K816" i="2" s="1"/>
  <c r="D816" i="2"/>
  <c r="C816" i="2"/>
  <c r="N815" i="2"/>
  <c r="F815" i="2"/>
  <c r="D815" i="2"/>
  <c r="C815" i="2"/>
  <c r="N814" i="2"/>
  <c r="F814" i="2"/>
  <c r="D814" i="2"/>
  <c r="C814" i="2"/>
  <c r="N813" i="2"/>
  <c r="F813" i="2"/>
  <c r="D813" i="2"/>
  <c r="C813" i="2"/>
  <c r="N812" i="2"/>
  <c r="F812" i="2"/>
  <c r="D812" i="2"/>
  <c r="C812" i="2"/>
  <c r="N811" i="2"/>
  <c r="F811" i="2"/>
  <c r="J811" i="2" s="1"/>
  <c r="L811" i="2" s="1"/>
  <c r="D811" i="2"/>
  <c r="C811" i="2"/>
  <c r="N810" i="2"/>
  <c r="F810" i="2"/>
  <c r="D810" i="2"/>
  <c r="C810" i="2"/>
  <c r="N809" i="2"/>
  <c r="F809" i="2"/>
  <c r="K809" i="2" s="1"/>
  <c r="D809" i="2"/>
  <c r="C809" i="2"/>
  <c r="N808" i="2"/>
  <c r="F808" i="2"/>
  <c r="K808" i="2" s="1"/>
  <c r="D808" i="2"/>
  <c r="C808" i="2"/>
  <c r="N807" i="2"/>
  <c r="F807" i="2"/>
  <c r="J807" i="2" s="1"/>
  <c r="L807" i="2" s="1"/>
  <c r="D807" i="2"/>
  <c r="C807" i="2"/>
  <c r="N806" i="2"/>
  <c r="F806" i="2"/>
  <c r="D806" i="2"/>
  <c r="C806" i="2"/>
  <c r="N805" i="2"/>
  <c r="F805" i="2"/>
  <c r="K805" i="2" s="1"/>
  <c r="D805" i="2"/>
  <c r="C805" i="2"/>
  <c r="N804" i="2"/>
  <c r="F804" i="2"/>
  <c r="K804" i="2" s="1"/>
  <c r="D804" i="2"/>
  <c r="C804" i="2"/>
  <c r="N803" i="2"/>
  <c r="F803" i="2"/>
  <c r="K803" i="2" s="1"/>
  <c r="D803" i="2"/>
  <c r="C803" i="2"/>
  <c r="N802" i="2"/>
  <c r="F802" i="2"/>
  <c r="K802" i="2" s="1"/>
  <c r="D802" i="2"/>
  <c r="C802" i="2"/>
  <c r="N801" i="2"/>
  <c r="F801" i="2"/>
  <c r="D801" i="2"/>
  <c r="C801" i="2"/>
  <c r="N800" i="2"/>
  <c r="F800" i="2"/>
  <c r="K800" i="2" s="1"/>
  <c r="D800" i="2"/>
  <c r="C800" i="2"/>
  <c r="N799" i="2"/>
  <c r="F799" i="2"/>
  <c r="K799" i="2" s="1"/>
  <c r="D799" i="2"/>
  <c r="C799" i="2"/>
  <c r="N798" i="2"/>
  <c r="F798" i="2"/>
  <c r="D798" i="2"/>
  <c r="C798" i="2"/>
  <c r="N797" i="2"/>
  <c r="F797" i="2"/>
  <c r="D797" i="2"/>
  <c r="C797" i="2"/>
  <c r="N796" i="2"/>
  <c r="F796" i="2"/>
  <c r="K796" i="2" s="1"/>
  <c r="D796" i="2"/>
  <c r="C796" i="2"/>
  <c r="N795" i="2"/>
  <c r="F795" i="2"/>
  <c r="D795" i="2"/>
  <c r="C795" i="2"/>
  <c r="N794" i="2"/>
  <c r="F794" i="2"/>
  <c r="D794" i="2"/>
  <c r="C794" i="2"/>
  <c r="N793" i="2"/>
  <c r="F793" i="2"/>
  <c r="J793" i="2" s="1"/>
  <c r="L793" i="2" s="1"/>
  <c r="D793" i="2"/>
  <c r="C793" i="2"/>
  <c r="N792" i="2"/>
  <c r="F792" i="2"/>
  <c r="K792" i="2" s="1"/>
  <c r="D792" i="2"/>
  <c r="C792" i="2"/>
  <c r="N791" i="2"/>
  <c r="F791" i="2"/>
  <c r="K791" i="2" s="1"/>
  <c r="D791" i="2"/>
  <c r="C791" i="2"/>
  <c r="N790" i="2"/>
  <c r="F790" i="2"/>
  <c r="J790" i="2" s="1"/>
  <c r="L790" i="2" s="1"/>
  <c r="D790" i="2"/>
  <c r="C790" i="2"/>
  <c r="N789" i="2"/>
  <c r="F789" i="2"/>
  <c r="D789" i="2"/>
  <c r="C789" i="2"/>
  <c r="N788" i="2"/>
  <c r="F788" i="2"/>
  <c r="J788" i="2" s="1"/>
  <c r="L788" i="2" s="1"/>
  <c r="D788" i="2"/>
  <c r="C788" i="2"/>
  <c r="N787" i="2"/>
  <c r="F787" i="2"/>
  <c r="J787" i="2" s="1"/>
  <c r="L787" i="2" s="1"/>
  <c r="D787" i="2"/>
  <c r="C787" i="2"/>
  <c r="N786" i="2"/>
  <c r="F786" i="2"/>
  <c r="K786" i="2" s="1"/>
  <c r="D786" i="2"/>
  <c r="C786" i="2"/>
  <c r="N785" i="2"/>
  <c r="F785" i="2"/>
  <c r="K785" i="2" s="1"/>
  <c r="D785" i="2"/>
  <c r="C785" i="2"/>
  <c r="N784" i="2"/>
  <c r="F784" i="2"/>
  <c r="K784" i="2" s="1"/>
  <c r="D784" i="2"/>
  <c r="C784" i="2"/>
  <c r="N783" i="2"/>
  <c r="F783" i="2"/>
  <c r="D783" i="2"/>
  <c r="C783" i="2"/>
  <c r="N782" i="2"/>
  <c r="F782" i="2"/>
  <c r="K782" i="2" s="1"/>
  <c r="D782" i="2"/>
  <c r="C782" i="2"/>
  <c r="N781" i="2"/>
  <c r="F781" i="2"/>
  <c r="D781" i="2"/>
  <c r="C781" i="2"/>
  <c r="N780" i="2"/>
  <c r="F780" i="2"/>
  <c r="D780" i="2"/>
  <c r="C780" i="2"/>
  <c r="N779" i="2"/>
  <c r="F779" i="2"/>
  <c r="K779" i="2" s="1"/>
  <c r="D779" i="2"/>
  <c r="C779" i="2"/>
  <c r="N778" i="2"/>
  <c r="F778" i="2"/>
  <c r="K778" i="2" s="1"/>
  <c r="D778" i="2"/>
  <c r="C778" i="2"/>
  <c r="N777" i="2"/>
  <c r="F777" i="2"/>
  <c r="D777" i="2"/>
  <c r="C777" i="2"/>
  <c r="N776" i="2"/>
  <c r="F776" i="2"/>
  <c r="D776" i="2"/>
  <c r="C776" i="2"/>
  <c r="N775" i="2"/>
  <c r="F775" i="2"/>
  <c r="D775" i="2"/>
  <c r="C775" i="2"/>
  <c r="N774" i="2"/>
  <c r="F774" i="2"/>
  <c r="D774" i="2"/>
  <c r="C774" i="2"/>
  <c r="N773" i="2"/>
  <c r="F773" i="2"/>
  <c r="D773" i="2"/>
  <c r="C773" i="2"/>
  <c r="N772" i="2"/>
  <c r="F772" i="2"/>
  <c r="J772" i="2" s="1"/>
  <c r="L772" i="2" s="1"/>
  <c r="D772" i="2"/>
  <c r="C772" i="2"/>
  <c r="N771" i="2"/>
  <c r="F771" i="2"/>
  <c r="D771" i="2"/>
  <c r="C771" i="2"/>
  <c r="N770" i="2"/>
  <c r="F770" i="2"/>
  <c r="D770" i="2"/>
  <c r="C770" i="2"/>
  <c r="N769" i="2"/>
  <c r="F769" i="2"/>
  <c r="K769" i="2" s="1"/>
  <c r="D769" i="2"/>
  <c r="C769" i="2"/>
  <c r="N768" i="2"/>
  <c r="F768" i="2"/>
  <c r="D768" i="2"/>
  <c r="C768" i="2"/>
  <c r="N767" i="2"/>
  <c r="F767" i="2"/>
  <c r="K767" i="2" s="1"/>
  <c r="D767" i="2"/>
  <c r="C767" i="2"/>
  <c r="N766" i="2"/>
  <c r="F766" i="2"/>
  <c r="D766" i="2"/>
  <c r="C766" i="2"/>
  <c r="N765" i="2"/>
  <c r="F765" i="2"/>
  <c r="K765" i="2" s="1"/>
  <c r="D765" i="2"/>
  <c r="C765" i="2"/>
  <c r="N764" i="2"/>
  <c r="F764" i="2"/>
  <c r="J764" i="2" s="1"/>
  <c r="L764" i="2" s="1"/>
  <c r="D764" i="2"/>
  <c r="C764" i="2"/>
  <c r="N763" i="2"/>
  <c r="F763" i="2"/>
  <c r="K763" i="2" s="1"/>
  <c r="D763" i="2"/>
  <c r="C763" i="2"/>
  <c r="N762" i="2"/>
  <c r="F762" i="2"/>
  <c r="K762" i="2" s="1"/>
  <c r="D762" i="2"/>
  <c r="C762" i="2"/>
  <c r="N761" i="2"/>
  <c r="F761" i="2"/>
  <c r="D761" i="2"/>
  <c r="C761" i="2"/>
  <c r="N760" i="2"/>
  <c r="F760" i="2"/>
  <c r="K760" i="2" s="1"/>
  <c r="D760" i="2"/>
  <c r="C760" i="2"/>
  <c r="N759" i="2"/>
  <c r="F759" i="2"/>
  <c r="D759" i="2"/>
  <c r="C759" i="2"/>
  <c r="N758" i="2"/>
  <c r="F758" i="2"/>
  <c r="D758" i="2"/>
  <c r="C758" i="2"/>
  <c r="N757" i="2"/>
  <c r="F757" i="2"/>
  <c r="K757" i="2" s="1"/>
  <c r="D757" i="2"/>
  <c r="C757" i="2"/>
  <c r="N756" i="2"/>
  <c r="F756" i="2"/>
  <c r="K756" i="2" s="1"/>
  <c r="D756" i="2"/>
  <c r="C756" i="2"/>
  <c r="N755" i="2"/>
  <c r="F755" i="2"/>
  <c r="D755" i="2"/>
  <c r="C755" i="2"/>
  <c r="N754" i="2"/>
  <c r="F754" i="2"/>
  <c r="K754" i="2" s="1"/>
  <c r="D754" i="2"/>
  <c r="C754" i="2"/>
  <c r="N753" i="2"/>
  <c r="F753" i="2"/>
  <c r="D753" i="2"/>
  <c r="C753" i="2"/>
  <c r="N752" i="2"/>
  <c r="F752" i="2"/>
  <c r="K752" i="2" s="1"/>
  <c r="D752" i="2"/>
  <c r="C752" i="2"/>
  <c r="N751" i="2"/>
  <c r="F751" i="2"/>
  <c r="D751" i="2"/>
  <c r="C751" i="2"/>
  <c r="N750" i="2"/>
  <c r="F750" i="2"/>
  <c r="D750" i="2"/>
  <c r="C750" i="2"/>
  <c r="N749" i="2"/>
  <c r="F749" i="2"/>
  <c r="D749" i="2"/>
  <c r="C749" i="2"/>
  <c r="N748" i="2"/>
  <c r="F748" i="2"/>
  <c r="K748" i="2" s="1"/>
  <c r="D748" i="2"/>
  <c r="C748" i="2"/>
  <c r="N747" i="2"/>
  <c r="F747" i="2"/>
  <c r="K747" i="2" s="1"/>
  <c r="D747" i="2"/>
  <c r="C747" i="2"/>
  <c r="N746" i="2"/>
  <c r="F746" i="2"/>
  <c r="J746" i="2" s="1"/>
  <c r="L746" i="2" s="1"/>
  <c r="D746" i="2"/>
  <c r="C746" i="2"/>
  <c r="N745" i="2"/>
  <c r="F745" i="2"/>
  <c r="K745" i="2" s="1"/>
  <c r="D745" i="2"/>
  <c r="C745" i="2"/>
  <c r="N744" i="2"/>
  <c r="F744" i="2"/>
  <c r="K744" i="2" s="1"/>
  <c r="D744" i="2"/>
  <c r="C744" i="2"/>
  <c r="N743" i="2"/>
  <c r="F743" i="2"/>
  <c r="D743" i="2"/>
  <c r="C743" i="2"/>
  <c r="N742" i="2"/>
  <c r="F742" i="2"/>
  <c r="K742" i="2" s="1"/>
  <c r="D742" i="2"/>
  <c r="C742" i="2"/>
  <c r="N741" i="2"/>
  <c r="F741" i="2"/>
  <c r="K741" i="2" s="1"/>
  <c r="D741" i="2"/>
  <c r="C741" i="2"/>
  <c r="N740" i="2"/>
  <c r="F740" i="2"/>
  <c r="D740" i="2"/>
  <c r="C740" i="2"/>
  <c r="N739" i="2"/>
  <c r="F739" i="2"/>
  <c r="D739" i="2"/>
  <c r="C739" i="2"/>
  <c r="N738" i="2"/>
  <c r="F738" i="2"/>
  <c r="K738" i="2" s="1"/>
  <c r="D738" i="2"/>
  <c r="C738" i="2"/>
  <c r="N737" i="2"/>
  <c r="F737" i="2"/>
  <c r="K737" i="2" s="1"/>
  <c r="D737" i="2"/>
  <c r="C737" i="2"/>
  <c r="N736" i="2"/>
  <c r="F736" i="2"/>
  <c r="K736" i="2" s="1"/>
  <c r="D736" i="2"/>
  <c r="C736" i="2"/>
  <c r="N735" i="2"/>
  <c r="F735" i="2"/>
  <c r="K735" i="2" s="1"/>
  <c r="D735" i="2"/>
  <c r="C735" i="2"/>
  <c r="N734" i="2"/>
  <c r="F734" i="2"/>
  <c r="D734" i="2"/>
  <c r="C734" i="2"/>
  <c r="N733" i="2"/>
  <c r="F733" i="2"/>
  <c r="D733" i="2"/>
  <c r="C733" i="2"/>
  <c r="N732" i="2"/>
  <c r="F732" i="2"/>
  <c r="J732" i="2" s="1"/>
  <c r="L732" i="2" s="1"/>
  <c r="D732" i="2"/>
  <c r="C732" i="2"/>
  <c r="N731" i="2"/>
  <c r="F731" i="2"/>
  <c r="D731" i="2"/>
  <c r="C731" i="2"/>
  <c r="N730" i="2"/>
  <c r="F730" i="2"/>
  <c r="D730" i="2"/>
  <c r="C730" i="2"/>
  <c r="N729" i="2"/>
  <c r="F729" i="2"/>
  <c r="K729" i="2" s="1"/>
  <c r="D729" i="2"/>
  <c r="C729" i="2"/>
  <c r="N728" i="2"/>
  <c r="F728" i="2"/>
  <c r="K728" i="2" s="1"/>
  <c r="D728" i="2"/>
  <c r="C728" i="2"/>
  <c r="N727" i="2"/>
  <c r="F727" i="2"/>
  <c r="D727" i="2"/>
  <c r="C727" i="2"/>
  <c r="N726" i="2"/>
  <c r="F726" i="2"/>
  <c r="D726" i="2"/>
  <c r="C726" i="2"/>
  <c r="N725" i="2"/>
  <c r="F725" i="2"/>
  <c r="J725" i="2" s="1"/>
  <c r="L725" i="2" s="1"/>
  <c r="D725" i="2"/>
  <c r="C725" i="2"/>
  <c r="N724" i="2"/>
  <c r="F724" i="2"/>
  <c r="J724" i="2" s="1"/>
  <c r="L724" i="2" s="1"/>
  <c r="D724" i="2"/>
  <c r="C724" i="2"/>
  <c r="N723" i="2"/>
  <c r="F723" i="2"/>
  <c r="J723" i="2" s="1"/>
  <c r="L723" i="2" s="1"/>
  <c r="D723" i="2"/>
  <c r="C723" i="2"/>
  <c r="N722" i="2"/>
  <c r="F722" i="2"/>
  <c r="J722" i="2" s="1"/>
  <c r="L722" i="2" s="1"/>
  <c r="D722" i="2"/>
  <c r="C722" i="2"/>
  <c r="N721" i="2"/>
  <c r="F721" i="2"/>
  <c r="D721" i="2"/>
  <c r="C721" i="2"/>
  <c r="N720" i="2"/>
  <c r="F720" i="2"/>
  <c r="K720" i="2" s="1"/>
  <c r="D720" i="2"/>
  <c r="C720" i="2"/>
  <c r="N719" i="2"/>
  <c r="F719" i="2"/>
  <c r="K719" i="2" s="1"/>
  <c r="D719" i="2"/>
  <c r="C719" i="2"/>
  <c r="N718" i="2"/>
  <c r="F718" i="2"/>
  <c r="D718" i="2"/>
  <c r="C718" i="2"/>
  <c r="N717" i="2"/>
  <c r="F717" i="2"/>
  <c r="K717" i="2" s="1"/>
  <c r="D717" i="2"/>
  <c r="C717" i="2"/>
  <c r="N716" i="2"/>
  <c r="F716" i="2"/>
  <c r="D716" i="2"/>
  <c r="C716" i="2"/>
  <c r="N715" i="2"/>
  <c r="F715" i="2"/>
  <c r="D715" i="2"/>
  <c r="C715" i="2"/>
  <c r="N714" i="2"/>
  <c r="F714" i="2"/>
  <c r="K714" i="2" s="1"/>
  <c r="D714" i="2"/>
  <c r="C714" i="2"/>
  <c r="N713" i="2"/>
  <c r="F713" i="2"/>
  <c r="D713" i="2"/>
  <c r="C713" i="2"/>
  <c r="N712" i="2"/>
  <c r="F712" i="2"/>
  <c r="K712" i="2" s="1"/>
  <c r="D712" i="2"/>
  <c r="C712" i="2"/>
  <c r="N711" i="2"/>
  <c r="F711" i="2"/>
  <c r="D711" i="2"/>
  <c r="C711" i="2"/>
  <c r="N710" i="2"/>
  <c r="F710" i="2"/>
  <c r="D710" i="2"/>
  <c r="C710" i="2"/>
  <c r="N709" i="2"/>
  <c r="F709" i="2"/>
  <c r="D709" i="2"/>
  <c r="C709" i="2"/>
  <c r="N708" i="2"/>
  <c r="F708" i="2"/>
  <c r="D708" i="2"/>
  <c r="C708" i="2"/>
  <c r="N707" i="2"/>
  <c r="F707" i="2"/>
  <c r="K707" i="2" s="1"/>
  <c r="D707" i="2"/>
  <c r="C707" i="2"/>
  <c r="N706" i="2"/>
  <c r="F706" i="2"/>
  <c r="K706" i="2" s="1"/>
  <c r="D706" i="2"/>
  <c r="C706" i="2"/>
  <c r="N705" i="2"/>
  <c r="F705" i="2"/>
  <c r="J705" i="2" s="1"/>
  <c r="L705" i="2" s="1"/>
  <c r="D705" i="2"/>
  <c r="C705" i="2"/>
  <c r="N704" i="2"/>
  <c r="F704" i="2"/>
  <c r="K704" i="2" s="1"/>
  <c r="D704" i="2"/>
  <c r="C704" i="2"/>
  <c r="N703" i="2"/>
  <c r="F703" i="2"/>
  <c r="K703" i="2" s="1"/>
  <c r="D703" i="2"/>
  <c r="C703" i="2"/>
  <c r="N702" i="2"/>
  <c r="F702" i="2"/>
  <c r="D702" i="2"/>
  <c r="C702" i="2"/>
  <c r="N701" i="2"/>
  <c r="F701" i="2"/>
  <c r="K701" i="2" s="1"/>
  <c r="D701" i="2"/>
  <c r="C701" i="2"/>
  <c r="N700" i="2"/>
  <c r="F700" i="2"/>
  <c r="D700" i="2"/>
  <c r="C700" i="2"/>
  <c r="N699" i="2"/>
  <c r="F699" i="2"/>
  <c r="D699" i="2"/>
  <c r="C699" i="2"/>
  <c r="N698" i="2"/>
  <c r="F698" i="2"/>
  <c r="J698" i="2" s="1"/>
  <c r="L698" i="2" s="1"/>
  <c r="D698" i="2"/>
  <c r="C698" i="2"/>
  <c r="N697" i="2"/>
  <c r="F697" i="2"/>
  <c r="K697" i="2" s="1"/>
  <c r="D697" i="2"/>
  <c r="C697" i="2"/>
  <c r="N696" i="2"/>
  <c r="F696" i="2"/>
  <c r="D696" i="2"/>
  <c r="C696" i="2"/>
  <c r="N695" i="2"/>
  <c r="F695" i="2"/>
  <c r="J695" i="2" s="1"/>
  <c r="L695" i="2" s="1"/>
  <c r="D695" i="2"/>
  <c r="C695" i="2"/>
  <c r="N694" i="2"/>
  <c r="F694" i="2"/>
  <c r="D694" i="2"/>
  <c r="C694" i="2"/>
  <c r="N693" i="2"/>
  <c r="F693" i="2"/>
  <c r="D693" i="2"/>
  <c r="C693" i="2"/>
  <c r="N692" i="2"/>
  <c r="F692" i="2"/>
  <c r="J692" i="2" s="1"/>
  <c r="L692" i="2" s="1"/>
  <c r="D692" i="2"/>
  <c r="C692" i="2"/>
  <c r="N691" i="2"/>
  <c r="F691" i="2"/>
  <c r="D691" i="2"/>
  <c r="C691" i="2"/>
  <c r="N690" i="2"/>
  <c r="F690" i="2"/>
  <c r="D690" i="2"/>
  <c r="C690" i="2"/>
  <c r="N689" i="2"/>
  <c r="F689" i="2"/>
  <c r="K689" i="2" s="1"/>
  <c r="D689" i="2"/>
  <c r="C689" i="2"/>
  <c r="N688" i="2"/>
  <c r="F688" i="2"/>
  <c r="K688" i="2" s="1"/>
  <c r="D688" i="2"/>
  <c r="C688" i="2"/>
  <c r="N687" i="2"/>
  <c r="F687" i="2"/>
  <c r="D687" i="2"/>
  <c r="C687" i="2"/>
  <c r="N686" i="2"/>
  <c r="F686" i="2"/>
  <c r="D686" i="2"/>
  <c r="C686" i="2"/>
  <c r="N685" i="2"/>
  <c r="F685" i="2"/>
  <c r="K685" i="2" s="1"/>
  <c r="D685" i="2"/>
  <c r="C685" i="2"/>
  <c r="N684" i="2"/>
  <c r="F684" i="2"/>
  <c r="K684" i="2" s="1"/>
  <c r="D684" i="2"/>
  <c r="C684" i="2"/>
  <c r="N683" i="2"/>
  <c r="F683" i="2"/>
  <c r="K683" i="2" s="1"/>
  <c r="D683" i="2"/>
  <c r="C683" i="2"/>
  <c r="N682" i="2"/>
  <c r="F682" i="2"/>
  <c r="K682" i="2" s="1"/>
  <c r="D682" i="2"/>
  <c r="C682" i="2"/>
  <c r="N681" i="2"/>
  <c r="F681" i="2"/>
  <c r="D681" i="2"/>
  <c r="C681" i="2"/>
  <c r="N680" i="2"/>
  <c r="F680" i="2"/>
  <c r="K680" i="2" s="1"/>
  <c r="D680" i="2"/>
  <c r="C680" i="2"/>
  <c r="N679" i="2"/>
  <c r="F679" i="2"/>
  <c r="J679" i="2" s="1"/>
  <c r="L679" i="2" s="1"/>
  <c r="D679" i="2"/>
  <c r="C679" i="2"/>
  <c r="N678" i="2"/>
  <c r="F678" i="2"/>
  <c r="K678" i="2" s="1"/>
  <c r="D678" i="2"/>
  <c r="C678" i="2"/>
  <c r="N677" i="2"/>
  <c r="F677" i="2"/>
  <c r="K677" i="2" s="1"/>
  <c r="D677" i="2"/>
  <c r="C677" i="2"/>
  <c r="N676" i="2"/>
  <c r="F676" i="2"/>
  <c r="K676" i="2" s="1"/>
  <c r="D676" i="2"/>
  <c r="C676" i="2"/>
  <c r="N675" i="2"/>
  <c r="F675" i="2"/>
  <c r="D675" i="2"/>
  <c r="C675" i="2"/>
  <c r="N674" i="2"/>
  <c r="F674" i="2"/>
  <c r="K674" i="2" s="1"/>
  <c r="D674" i="2"/>
  <c r="C674" i="2"/>
  <c r="N673" i="2"/>
  <c r="F673" i="2"/>
  <c r="D673" i="2"/>
  <c r="C673" i="2"/>
  <c r="N672" i="2"/>
  <c r="F672" i="2"/>
  <c r="D672" i="2"/>
  <c r="C672" i="2"/>
  <c r="N671" i="2"/>
  <c r="F671" i="2"/>
  <c r="K671" i="2" s="1"/>
  <c r="D671" i="2"/>
  <c r="C671" i="2"/>
  <c r="N670" i="2"/>
  <c r="F670" i="2"/>
  <c r="J670" i="2" s="1"/>
  <c r="L670" i="2" s="1"/>
  <c r="D670" i="2"/>
  <c r="C670" i="2"/>
  <c r="N669" i="2"/>
  <c r="F669" i="2"/>
  <c r="J669" i="2" s="1"/>
  <c r="L669" i="2" s="1"/>
  <c r="D669" i="2"/>
  <c r="C669" i="2"/>
  <c r="N668" i="2"/>
  <c r="F668" i="2"/>
  <c r="K668" i="2" s="1"/>
  <c r="D668" i="2"/>
  <c r="C668" i="2"/>
  <c r="N667" i="2"/>
  <c r="F667" i="2"/>
  <c r="K667" i="2" s="1"/>
  <c r="D667" i="2"/>
  <c r="C667" i="2"/>
  <c r="N666" i="2"/>
  <c r="F666" i="2"/>
  <c r="D666" i="2"/>
  <c r="C666" i="2"/>
  <c r="N665" i="2"/>
  <c r="F665" i="2"/>
  <c r="D665" i="2"/>
  <c r="C665" i="2"/>
  <c r="N664" i="2"/>
  <c r="F664" i="2"/>
  <c r="K664" i="2" s="1"/>
  <c r="D664" i="2"/>
  <c r="C664" i="2"/>
  <c r="N663" i="2"/>
  <c r="F663" i="2"/>
  <c r="D663" i="2"/>
  <c r="C663" i="2"/>
  <c r="N662" i="2"/>
  <c r="F662" i="2"/>
  <c r="D662" i="2"/>
  <c r="C662" i="2"/>
  <c r="N661" i="2"/>
  <c r="F661" i="2"/>
  <c r="D661" i="2"/>
  <c r="C661" i="2"/>
  <c r="N660" i="2"/>
  <c r="F660" i="2"/>
  <c r="D660" i="2"/>
  <c r="C660" i="2"/>
  <c r="N659" i="2"/>
  <c r="F659" i="2"/>
  <c r="D659" i="2"/>
  <c r="C659" i="2"/>
  <c r="N658" i="2"/>
  <c r="F658" i="2"/>
  <c r="D658" i="2"/>
  <c r="C658" i="2"/>
  <c r="N657" i="2"/>
  <c r="F657" i="2"/>
  <c r="J657" i="2" s="1"/>
  <c r="L657" i="2" s="1"/>
  <c r="D657" i="2"/>
  <c r="C657" i="2"/>
  <c r="N656" i="2"/>
  <c r="F656" i="2"/>
  <c r="D656" i="2"/>
  <c r="C656" i="2"/>
  <c r="N655" i="2"/>
  <c r="F655" i="2"/>
  <c r="J655" i="2" s="1"/>
  <c r="L655" i="2" s="1"/>
  <c r="D655" i="2"/>
  <c r="C655" i="2"/>
  <c r="N654" i="2"/>
  <c r="F654" i="2"/>
  <c r="D654" i="2"/>
  <c r="C654" i="2"/>
  <c r="N653" i="2"/>
  <c r="F653" i="2"/>
  <c r="D653" i="2"/>
  <c r="C653" i="2"/>
  <c r="N652" i="2"/>
  <c r="F652" i="2"/>
  <c r="D652" i="2"/>
  <c r="C652" i="2"/>
  <c r="N651" i="2"/>
  <c r="F651" i="2"/>
  <c r="J651" i="2" s="1"/>
  <c r="L651" i="2" s="1"/>
  <c r="D651" i="2"/>
  <c r="C651" i="2"/>
  <c r="N650" i="2"/>
  <c r="F650" i="2"/>
  <c r="D650" i="2"/>
  <c r="C650" i="2"/>
  <c r="N649" i="2"/>
  <c r="F649" i="2"/>
  <c r="J649" i="2" s="1"/>
  <c r="L649" i="2" s="1"/>
  <c r="D649" i="2"/>
  <c r="C649" i="2"/>
  <c r="N648" i="2"/>
  <c r="F648" i="2"/>
  <c r="K648" i="2" s="1"/>
  <c r="D648" i="2"/>
  <c r="C648" i="2"/>
  <c r="N647" i="2"/>
  <c r="F647" i="2"/>
  <c r="K647" i="2" s="1"/>
  <c r="D647" i="2"/>
  <c r="C647" i="2"/>
  <c r="N646" i="2"/>
  <c r="F646" i="2"/>
  <c r="K646" i="2" s="1"/>
  <c r="D646" i="2"/>
  <c r="C646" i="2"/>
  <c r="N645" i="2"/>
  <c r="F645" i="2"/>
  <c r="K645" i="2" s="1"/>
  <c r="D645" i="2"/>
  <c r="C645" i="2"/>
  <c r="N644" i="2"/>
  <c r="F644" i="2"/>
  <c r="D644" i="2"/>
  <c r="C644" i="2"/>
  <c r="N643" i="2"/>
  <c r="F643" i="2"/>
  <c r="J643" i="2" s="1"/>
  <c r="L643" i="2" s="1"/>
  <c r="D643" i="2"/>
  <c r="C643" i="2"/>
  <c r="N642" i="2"/>
  <c r="F642" i="2"/>
  <c r="K642" i="2" s="1"/>
  <c r="D642" i="2"/>
  <c r="C642" i="2"/>
  <c r="N641" i="2"/>
  <c r="F641" i="2"/>
  <c r="D641" i="2"/>
  <c r="C641" i="2"/>
  <c r="N640" i="2"/>
  <c r="F640" i="2"/>
  <c r="D640" i="2"/>
  <c r="C640" i="2"/>
  <c r="N639" i="2"/>
  <c r="F639" i="2"/>
  <c r="D639" i="2"/>
  <c r="C639" i="2"/>
  <c r="N638" i="2"/>
  <c r="F638" i="2"/>
  <c r="D638" i="2"/>
  <c r="C638" i="2"/>
  <c r="N637" i="2"/>
  <c r="F637" i="2"/>
  <c r="J637" i="2" s="1"/>
  <c r="L637" i="2" s="1"/>
  <c r="D637" i="2"/>
  <c r="C637" i="2"/>
  <c r="N636" i="2"/>
  <c r="F636" i="2"/>
  <c r="D636" i="2"/>
  <c r="C636" i="2"/>
  <c r="N635" i="2"/>
  <c r="F635" i="2"/>
  <c r="D635" i="2"/>
  <c r="C635" i="2"/>
  <c r="N634" i="2"/>
  <c r="F634" i="2"/>
  <c r="J634" i="2" s="1"/>
  <c r="L634" i="2" s="1"/>
  <c r="D634" i="2"/>
  <c r="C634" i="2"/>
  <c r="N633" i="2"/>
  <c r="F633" i="2"/>
  <c r="D633" i="2"/>
  <c r="C633" i="2"/>
  <c r="N632" i="2"/>
  <c r="F632" i="2"/>
  <c r="K632" i="2" s="1"/>
  <c r="D632" i="2"/>
  <c r="C632" i="2"/>
  <c r="N631" i="2"/>
  <c r="F631" i="2"/>
  <c r="D631" i="2"/>
  <c r="C631" i="2"/>
  <c r="N630" i="2"/>
  <c r="F630" i="2"/>
  <c r="J630" i="2" s="1"/>
  <c r="L630" i="2" s="1"/>
  <c r="D630" i="2"/>
  <c r="C630" i="2"/>
  <c r="N629" i="2"/>
  <c r="F629" i="2"/>
  <c r="D629" i="2"/>
  <c r="C629" i="2"/>
  <c r="N628" i="2"/>
  <c r="F628" i="2"/>
  <c r="D628" i="2"/>
  <c r="C628" i="2"/>
  <c r="N627" i="2"/>
  <c r="F627" i="2"/>
  <c r="D627" i="2"/>
  <c r="C627" i="2"/>
  <c r="N626" i="2"/>
  <c r="F626" i="2"/>
  <c r="J626" i="2" s="1"/>
  <c r="L626" i="2" s="1"/>
  <c r="D626" i="2"/>
  <c r="C626" i="2"/>
  <c r="N625" i="2"/>
  <c r="F625" i="2"/>
  <c r="J625" i="2" s="1"/>
  <c r="L625" i="2" s="1"/>
  <c r="D625" i="2"/>
  <c r="C625" i="2"/>
  <c r="N624" i="2"/>
  <c r="F624" i="2"/>
  <c r="K624" i="2" s="1"/>
  <c r="D624" i="2"/>
  <c r="C624" i="2"/>
  <c r="N623" i="2"/>
  <c r="F623" i="2"/>
  <c r="K623" i="2" s="1"/>
  <c r="D623" i="2"/>
  <c r="C623" i="2"/>
  <c r="N622" i="2"/>
  <c r="F622" i="2"/>
  <c r="K622" i="2" s="1"/>
  <c r="D622" i="2"/>
  <c r="C622" i="2"/>
  <c r="N621" i="2"/>
  <c r="F621" i="2"/>
  <c r="K621" i="2" s="1"/>
  <c r="D621" i="2"/>
  <c r="C621" i="2"/>
  <c r="N620" i="2"/>
  <c r="F620" i="2"/>
  <c r="K620" i="2" s="1"/>
  <c r="D620" i="2"/>
  <c r="C620" i="2"/>
  <c r="N619" i="2"/>
  <c r="F619" i="2"/>
  <c r="D619" i="2"/>
  <c r="C619" i="2"/>
  <c r="N618" i="2"/>
  <c r="F618" i="2"/>
  <c r="K618" i="2" s="1"/>
  <c r="D618" i="2"/>
  <c r="C618" i="2"/>
  <c r="N617" i="2"/>
  <c r="F617" i="2"/>
  <c r="D617" i="2"/>
  <c r="C617" i="2"/>
  <c r="N616" i="2"/>
  <c r="F616" i="2"/>
  <c r="D616" i="2"/>
  <c r="C616" i="2"/>
  <c r="N615" i="2"/>
  <c r="F615" i="2"/>
  <c r="J615" i="2" s="1"/>
  <c r="L615" i="2" s="1"/>
  <c r="D615" i="2"/>
  <c r="C615" i="2"/>
  <c r="N614" i="2"/>
  <c r="F614" i="2"/>
  <c r="K614" i="2" s="1"/>
  <c r="D614" i="2"/>
  <c r="C614" i="2"/>
  <c r="N613" i="2"/>
  <c r="F613" i="2"/>
  <c r="K613" i="2" s="1"/>
  <c r="D613" i="2"/>
  <c r="C613" i="2"/>
  <c r="N612" i="2"/>
  <c r="F612" i="2"/>
  <c r="D612" i="2"/>
  <c r="C612" i="2"/>
  <c r="N611" i="2"/>
  <c r="F611" i="2"/>
  <c r="K611" i="2" s="1"/>
  <c r="D611" i="2"/>
  <c r="C611" i="2"/>
  <c r="N610" i="2"/>
  <c r="F610" i="2"/>
  <c r="D610" i="2"/>
  <c r="C610" i="2"/>
  <c r="N609" i="2"/>
  <c r="F609" i="2"/>
  <c r="K609" i="2" s="1"/>
  <c r="D609" i="2"/>
  <c r="C609" i="2"/>
  <c r="N608" i="2"/>
  <c r="F608" i="2"/>
  <c r="D608" i="2"/>
  <c r="C608" i="2"/>
  <c r="N607" i="2"/>
  <c r="F607" i="2"/>
  <c r="K607" i="2" s="1"/>
  <c r="D607" i="2"/>
  <c r="C607" i="2"/>
  <c r="N606" i="2"/>
  <c r="F606" i="2"/>
  <c r="K606" i="2" s="1"/>
  <c r="D606" i="2"/>
  <c r="C606" i="2"/>
  <c r="N605" i="2"/>
  <c r="F605" i="2"/>
  <c r="K605" i="2" s="1"/>
  <c r="D605" i="2"/>
  <c r="C605" i="2"/>
  <c r="N604" i="2"/>
  <c r="F604" i="2"/>
  <c r="D604" i="2"/>
  <c r="C604" i="2"/>
  <c r="N603" i="2"/>
  <c r="F603" i="2"/>
  <c r="J603" i="2" s="1"/>
  <c r="L603" i="2" s="1"/>
  <c r="D603" i="2"/>
  <c r="C603" i="2"/>
  <c r="N602" i="2"/>
  <c r="F602" i="2"/>
  <c r="K602" i="2" s="1"/>
  <c r="D602" i="2"/>
  <c r="C602" i="2"/>
  <c r="N601" i="2"/>
  <c r="F601" i="2"/>
  <c r="K601" i="2" s="1"/>
  <c r="D601" i="2"/>
  <c r="C601" i="2"/>
  <c r="N600" i="2"/>
  <c r="F600" i="2"/>
  <c r="K600" i="2" s="1"/>
  <c r="D600" i="2"/>
  <c r="C600" i="2"/>
  <c r="N599" i="2"/>
  <c r="F599" i="2"/>
  <c r="D599" i="2"/>
  <c r="C599" i="2"/>
  <c r="N598" i="2"/>
  <c r="F598" i="2"/>
  <c r="K598" i="2" s="1"/>
  <c r="D598" i="2"/>
  <c r="C598" i="2"/>
  <c r="N597" i="2"/>
  <c r="F597" i="2"/>
  <c r="J597" i="2" s="1"/>
  <c r="L597" i="2" s="1"/>
  <c r="D597" i="2"/>
  <c r="C597" i="2"/>
  <c r="N596" i="2"/>
  <c r="F596" i="2"/>
  <c r="D596" i="2"/>
  <c r="C596" i="2"/>
  <c r="N595" i="2"/>
  <c r="F595" i="2"/>
  <c r="K595" i="2" s="1"/>
  <c r="D595" i="2"/>
  <c r="C595" i="2"/>
  <c r="N594" i="2"/>
  <c r="F594" i="2"/>
  <c r="K594" i="2" s="1"/>
  <c r="D594" i="2"/>
  <c r="C594" i="2"/>
  <c r="N593" i="2"/>
  <c r="F593" i="2"/>
  <c r="K593" i="2" s="1"/>
  <c r="D593" i="2"/>
  <c r="C593" i="2"/>
  <c r="N592" i="2"/>
  <c r="F592" i="2"/>
  <c r="J592" i="2" s="1"/>
  <c r="L592" i="2" s="1"/>
  <c r="D592" i="2"/>
  <c r="C592" i="2"/>
  <c r="N591" i="2"/>
  <c r="F591" i="2"/>
  <c r="D591" i="2"/>
  <c r="C591" i="2"/>
  <c r="N590" i="2"/>
  <c r="F590" i="2"/>
  <c r="K590" i="2" s="1"/>
  <c r="D590" i="2"/>
  <c r="C590" i="2"/>
  <c r="N589" i="2"/>
  <c r="F589" i="2"/>
  <c r="D589" i="2"/>
  <c r="C589" i="2"/>
  <c r="N588" i="2"/>
  <c r="F588" i="2"/>
  <c r="D588" i="2"/>
  <c r="C588" i="2"/>
  <c r="N587" i="2"/>
  <c r="F587" i="2"/>
  <c r="K587" i="2" s="1"/>
  <c r="D587" i="2"/>
  <c r="C587" i="2"/>
  <c r="N586" i="2"/>
  <c r="F586" i="2"/>
  <c r="D586" i="2"/>
  <c r="C586" i="2"/>
  <c r="N585" i="2"/>
  <c r="F585" i="2"/>
  <c r="K585" i="2" s="1"/>
  <c r="D585" i="2"/>
  <c r="C585" i="2"/>
  <c r="N584" i="2"/>
  <c r="F584" i="2"/>
  <c r="K584" i="2" s="1"/>
  <c r="D584" i="2"/>
  <c r="C584" i="2"/>
  <c r="N583" i="2"/>
  <c r="F583" i="2"/>
  <c r="K583" i="2" s="1"/>
  <c r="D583" i="2"/>
  <c r="C583" i="2"/>
  <c r="N582" i="2"/>
  <c r="F582" i="2"/>
  <c r="J582" i="2" s="1"/>
  <c r="L582" i="2" s="1"/>
  <c r="D582" i="2"/>
  <c r="C582" i="2"/>
  <c r="N581" i="2"/>
  <c r="F581" i="2"/>
  <c r="J581" i="2" s="1"/>
  <c r="L581" i="2" s="1"/>
  <c r="D581" i="2"/>
  <c r="C581" i="2"/>
  <c r="N580" i="2"/>
  <c r="F580" i="2"/>
  <c r="J580" i="2" s="1"/>
  <c r="L580" i="2" s="1"/>
  <c r="D580" i="2"/>
  <c r="C580" i="2"/>
  <c r="N579" i="2"/>
  <c r="F579" i="2"/>
  <c r="K579" i="2" s="1"/>
  <c r="D579" i="2"/>
  <c r="C579" i="2"/>
  <c r="N578" i="2"/>
  <c r="F578" i="2"/>
  <c r="K578" i="2" s="1"/>
  <c r="D578" i="2"/>
  <c r="C578" i="2"/>
  <c r="N577" i="2"/>
  <c r="F577" i="2"/>
  <c r="K577" i="2" s="1"/>
  <c r="D577" i="2"/>
  <c r="C577" i="2"/>
  <c r="N576" i="2"/>
  <c r="F576" i="2"/>
  <c r="J576" i="2" s="1"/>
  <c r="L576" i="2" s="1"/>
  <c r="D576" i="2"/>
  <c r="C576" i="2"/>
  <c r="N575" i="2"/>
  <c r="F575" i="2"/>
  <c r="K575" i="2" s="1"/>
  <c r="D575" i="2"/>
  <c r="C575" i="2"/>
  <c r="N574" i="2"/>
  <c r="F574" i="2"/>
  <c r="D574" i="2"/>
  <c r="C574" i="2"/>
  <c r="N573" i="2"/>
  <c r="F573" i="2"/>
  <c r="K573" i="2" s="1"/>
  <c r="D573" i="2"/>
  <c r="C573" i="2"/>
  <c r="N572" i="2"/>
  <c r="F572" i="2"/>
  <c r="J572" i="2" s="1"/>
  <c r="L572" i="2" s="1"/>
  <c r="D572" i="2"/>
  <c r="C572" i="2"/>
  <c r="N571" i="2"/>
  <c r="F571" i="2"/>
  <c r="D571" i="2"/>
  <c r="C571" i="2"/>
  <c r="N570" i="2"/>
  <c r="F570" i="2"/>
  <c r="D570" i="2"/>
  <c r="C570" i="2"/>
  <c r="N569" i="2"/>
  <c r="F569" i="2"/>
  <c r="K569" i="2" s="1"/>
  <c r="D569" i="2"/>
  <c r="C569" i="2"/>
  <c r="N568" i="2"/>
  <c r="F568" i="2"/>
  <c r="K568" i="2" s="1"/>
  <c r="D568" i="2"/>
  <c r="C568" i="2"/>
  <c r="N567" i="2"/>
  <c r="F567" i="2"/>
  <c r="K567" i="2" s="1"/>
  <c r="D567" i="2"/>
  <c r="C567" i="2"/>
  <c r="N566" i="2"/>
  <c r="F566" i="2"/>
  <c r="D566" i="2"/>
  <c r="C566" i="2"/>
  <c r="N565" i="2"/>
  <c r="F565" i="2"/>
  <c r="K565" i="2" s="1"/>
  <c r="D565" i="2"/>
  <c r="C565" i="2"/>
  <c r="N564" i="2"/>
  <c r="F564" i="2"/>
  <c r="K564" i="2" s="1"/>
  <c r="D564" i="2"/>
  <c r="C564" i="2"/>
  <c r="N563" i="2"/>
  <c r="F563" i="2"/>
  <c r="K563" i="2" s="1"/>
  <c r="D563" i="2"/>
  <c r="C563" i="2"/>
  <c r="N562" i="2"/>
  <c r="F562" i="2"/>
  <c r="D562" i="2"/>
  <c r="C562" i="2"/>
  <c r="N561" i="2"/>
  <c r="F561" i="2"/>
  <c r="J561" i="2" s="1"/>
  <c r="L561" i="2" s="1"/>
  <c r="D561" i="2"/>
  <c r="C561" i="2"/>
  <c r="N560" i="2"/>
  <c r="F560" i="2"/>
  <c r="K560" i="2" s="1"/>
  <c r="D560" i="2"/>
  <c r="C560" i="2"/>
  <c r="N559" i="2"/>
  <c r="F559" i="2"/>
  <c r="D559" i="2"/>
  <c r="C559" i="2"/>
  <c r="N558" i="2"/>
  <c r="F558" i="2"/>
  <c r="D558" i="2"/>
  <c r="C558" i="2"/>
  <c r="N557" i="2"/>
  <c r="F557" i="2"/>
  <c r="J557" i="2" s="1"/>
  <c r="L557" i="2" s="1"/>
  <c r="D557" i="2"/>
  <c r="C557" i="2"/>
  <c r="N556" i="2"/>
  <c r="F556" i="2"/>
  <c r="D556" i="2"/>
  <c r="C556" i="2"/>
  <c r="N555" i="2"/>
  <c r="F555" i="2"/>
  <c r="J555" i="2" s="1"/>
  <c r="L555" i="2" s="1"/>
  <c r="D555" i="2"/>
  <c r="C555" i="2"/>
  <c r="N554" i="2"/>
  <c r="F554" i="2"/>
  <c r="K554" i="2" s="1"/>
  <c r="D554" i="2"/>
  <c r="C554" i="2"/>
  <c r="N553" i="2"/>
  <c r="F553" i="2"/>
  <c r="K553" i="2" s="1"/>
  <c r="D553" i="2"/>
  <c r="C553" i="2"/>
  <c r="N552" i="2"/>
  <c r="F552" i="2"/>
  <c r="K552" i="2" s="1"/>
  <c r="D552" i="2"/>
  <c r="C552" i="2"/>
  <c r="N551" i="2"/>
  <c r="F551" i="2"/>
  <c r="K551" i="2" s="1"/>
  <c r="D551" i="2"/>
  <c r="C551" i="2"/>
  <c r="N550" i="2"/>
  <c r="F550" i="2"/>
  <c r="K550" i="2" s="1"/>
  <c r="D550" i="2"/>
  <c r="C550" i="2"/>
  <c r="N549" i="2"/>
  <c r="F549" i="2"/>
  <c r="D549" i="2"/>
  <c r="C549" i="2"/>
  <c r="N548" i="2"/>
  <c r="F548" i="2"/>
  <c r="D548" i="2"/>
  <c r="C548" i="2"/>
  <c r="N547" i="2"/>
  <c r="F547" i="2"/>
  <c r="K547" i="2" s="1"/>
  <c r="D547" i="2"/>
  <c r="C547" i="2"/>
  <c r="N546" i="2"/>
  <c r="F546" i="2"/>
  <c r="J546" i="2" s="1"/>
  <c r="L546" i="2" s="1"/>
  <c r="D546" i="2"/>
  <c r="C546" i="2"/>
  <c r="N545" i="2"/>
  <c r="F545" i="2"/>
  <c r="D545" i="2"/>
  <c r="C545" i="2"/>
  <c r="N544" i="2"/>
  <c r="F544" i="2"/>
  <c r="K544" i="2" s="1"/>
  <c r="D544" i="2"/>
  <c r="C544" i="2"/>
  <c r="N543" i="2"/>
  <c r="F543" i="2"/>
  <c r="K543" i="2" s="1"/>
  <c r="D543" i="2"/>
  <c r="C543" i="2"/>
  <c r="N542" i="2"/>
  <c r="F542" i="2"/>
  <c r="K542" i="2" s="1"/>
  <c r="D542" i="2"/>
  <c r="C542" i="2"/>
  <c r="N541" i="2"/>
  <c r="F541" i="2"/>
  <c r="K541" i="2" s="1"/>
  <c r="D541" i="2"/>
  <c r="C541" i="2"/>
  <c r="N540" i="2"/>
  <c r="F540" i="2"/>
  <c r="J540" i="2" s="1"/>
  <c r="L540" i="2" s="1"/>
  <c r="D540" i="2"/>
  <c r="C540" i="2"/>
  <c r="N539" i="2"/>
  <c r="F539" i="2"/>
  <c r="D539" i="2"/>
  <c r="C539" i="2"/>
  <c r="N538" i="2"/>
  <c r="F538" i="2"/>
  <c r="J538" i="2" s="1"/>
  <c r="L538" i="2" s="1"/>
  <c r="D538" i="2"/>
  <c r="C538" i="2"/>
  <c r="N537" i="2"/>
  <c r="F537" i="2"/>
  <c r="D537" i="2"/>
  <c r="C537" i="2"/>
  <c r="N536" i="2"/>
  <c r="F536" i="2"/>
  <c r="K536" i="2" s="1"/>
  <c r="D536" i="2"/>
  <c r="C536" i="2"/>
  <c r="N535" i="2"/>
  <c r="F535" i="2"/>
  <c r="K535" i="2" s="1"/>
  <c r="D535" i="2"/>
  <c r="C535" i="2"/>
  <c r="N534" i="2"/>
  <c r="F534" i="2"/>
  <c r="K534" i="2" s="1"/>
  <c r="D534" i="2"/>
  <c r="C534" i="2"/>
  <c r="N533" i="2"/>
  <c r="F533" i="2"/>
  <c r="K533" i="2" s="1"/>
  <c r="D533" i="2"/>
  <c r="C533" i="2"/>
  <c r="N532" i="2"/>
  <c r="F532" i="2"/>
  <c r="D532" i="2"/>
  <c r="C532" i="2"/>
  <c r="N531" i="2"/>
  <c r="F531" i="2"/>
  <c r="D531" i="2"/>
  <c r="C531" i="2"/>
  <c r="N530" i="2"/>
  <c r="F530" i="2"/>
  <c r="J530" i="2" s="1"/>
  <c r="L530" i="2" s="1"/>
  <c r="D530" i="2"/>
  <c r="C530" i="2"/>
  <c r="N529" i="2"/>
  <c r="F529" i="2"/>
  <c r="J529" i="2" s="1"/>
  <c r="L529" i="2" s="1"/>
  <c r="D529" i="2"/>
  <c r="C529" i="2"/>
  <c r="N528" i="2"/>
  <c r="F528" i="2"/>
  <c r="K528" i="2" s="1"/>
  <c r="D528" i="2"/>
  <c r="C528" i="2"/>
  <c r="N527" i="2"/>
  <c r="F527" i="2"/>
  <c r="D527" i="2"/>
  <c r="C527" i="2"/>
  <c r="N526" i="2"/>
  <c r="F526" i="2"/>
  <c r="K526" i="2" s="1"/>
  <c r="D526" i="2"/>
  <c r="C526" i="2"/>
  <c r="N525" i="2"/>
  <c r="F525" i="2"/>
  <c r="K525" i="2" s="1"/>
  <c r="D525" i="2"/>
  <c r="C525" i="2"/>
  <c r="N524" i="2"/>
  <c r="F524" i="2"/>
  <c r="D524" i="2"/>
  <c r="C524" i="2"/>
  <c r="N523" i="2"/>
  <c r="F523" i="2"/>
  <c r="K523" i="2" s="1"/>
  <c r="D523" i="2"/>
  <c r="C523" i="2"/>
  <c r="N522" i="2"/>
  <c r="F522" i="2"/>
  <c r="K522" i="2" s="1"/>
  <c r="D522" i="2"/>
  <c r="C522" i="2"/>
  <c r="N521" i="2"/>
  <c r="F521" i="2"/>
  <c r="D521" i="2"/>
  <c r="C521" i="2"/>
  <c r="N520" i="2"/>
  <c r="F520" i="2"/>
  <c r="K520" i="2" s="1"/>
  <c r="D520" i="2"/>
  <c r="C520" i="2"/>
  <c r="N519" i="2"/>
  <c r="F519" i="2"/>
  <c r="K519" i="2" s="1"/>
  <c r="D519" i="2"/>
  <c r="C519" i="2"/>
  <c r="N518" i="2"/>
  <c r="F518" i="2"/>
  <c r="D518" i="2"/>
  <c r="C518" i="2"/>
  <c r="N517" i="2"/>
  <c r="F517" i="2"/>
  <c r="K517" i="2" s="1"/>
  <c r="D517" i="2"/>
  <c r="C517" i="2"/>
  <c r="N516" i="2"/>
  <c r="F516" i="2"/>
  <c r="J516" i="2" s="1"/>
  <c r="L516" i="2" s="1"/>
  <c r="D516" i="2"/>
  <c r="C516" i="2"/>
  <c r="N515" i="2"/>
  <c r="F515" i="2"/>
  <c r="J515" i="2" s="1"/>
  <c r="L515" i="2" s="1"/>
  <c r="D515" i="2"/>
  <c r="C515" i="2"/>
  <c r="N514" i="2"/>
  <c r="F514" i="2"/>
  <c r="J514" i="2" s="1"/>
  <c r="L514" i="2" s="1"/>
  <c r="D514" i="2"/>
  <c r="C514" i="2"/>
  <c r="N513" i="2"/>
  <c r="F513" i="2"/>
  <c r="J513" i="2" s="1"/>
  <c r="L513" i="2" s="1"/>
  <c r="D513" i="2"/>
  <c r="C513" i="2"/>
  <c r="N512" i="2"/>
  <c r="F512" i="2"/>
  <c r="K512" i="2" s="1"/>
  <c r="D512" i="2"/>
  <c r="C512" i="2"/>
  <c r="N511" i="2"/>
  <c r="F511" i="2"/>
  <c r="J511" i="2" s="1"/>
  <c r="L511" i="2" s="1"/>
  <c r="D511" i="2"/>
  <c r="C511" i="2"/>
  <c r="N510" i="2"/>
  <c r="F510" i="2"/>
  <c r="D510" i="2"/>
  <c r="C510" i="2"/>
  <c r="N509" i="2"/>
  <c r="F509" i="2"/>
  <c r="K509" i="2" s="1"/>
  <c r="D509" i="2"/>
  <c r="C509" i="2"/>
  <c r="N508" i="2"/>
  <c r="F508" i="2"/>
  <c r="K508" i="2" s="1"/>
  <c r="D508" i="2"/>
  <c r="C508" i="2"/>
  <c r="N507" i="2"/>
  <c r="F507" i="2"/>
  <c r="D507" i="2"/>
  <c r="C507" i="2"/>
  <c r="N506" i="2"/>
  <c r="F506" i="2"/>
  <c r="J506" i="2" s="1"/>
  <c r="L506" i="2" s="1"/>
  <c r="D506" i="2"/>
  <c r="C506" i="2"/>
  <c r="N505" i="2"/>
  <c r="F505" i="2"/>
  <c r="D505" i="2"/>
  <c r="C505" i="2"/>
  <c r="N504" i="2"/>
  <c r="F504" i="2"/>
  <c r="J504" i="2" s="1"/>
  <c r="L504" i="2" s="1"/>
  <c r="D504" i="2"/>
  <c r="C504" i="2"/>
  <c r="N503" i="2"/>
  <c r="F503" i="2"/>
  <c r="D503" i="2"/>
  <c r="C503" i="2"/>
  <c r="N502" i="2"/>
  <c r="F502" i="2"/>
  <c r="D502" i="2"/>
  <c r="C502" i="2"/>
  <c r="N501" i="2"/>
  <c r="F501" i="2"/>
  <c r="J501" i="2" s="1"/>
  <c r="L501" i="2" s="1"/>
  <c r="D501" i="2"/>
  <c r="C501" i="2"/>
  <c r="N500" i="2"/>
  <c r="F500" i="2"/>
  <c r="D500" i="2"/>
  <c r="C500" i="2"/>
  <c r="N499" i="2"/>
  <c r="F499" i="2"/>
  <c r="K499" i="2" s="1"/>
  <c r="D499" i="2"/>
  <c r="C499" i="2"/>
  <c r="N498" i="2"/>
  <c r="F498" i="2"/>
  <c r="K498" i="2" s="1"/>
  <c r="D498" i="2"/>
  <c r="C498" i="2"/>
  <c r="N497" i="2"/>
  <c r="F497" i="2"/>
  <c r="J497" i="2" s="1"/>
  <c r="L497" i="2" s="1"/>
  <c r="D497" i="2"/>
  <c r="C497" i="2"/>
  <c r="N496" i="2"/>
  <c r="F496" i="2"/>
  <c r="D496" i="2"/>
  <c r="C496" i="2"/>
  <c r="N495" i="2"/>
  <c r="F495" i="2"/>
  <c r="K495" i="2" s="1"/>
  <c r="D495" i="2"/>
  <c r="C495" i="2"/>
  <c r="N494" i="2"/>
  <c r="F494" i="2"/>
  <c r="D494" i="2"/>
  <c r="C494" i="2"/>
  <c r="N493" i="2"/>
  <c r="F493" i="2"/>
  <c r="K493" i="2" s="1"/>
  <c r="D493" i="2"/>
  <c r="C493" i="2"/>
  <c r="N492" i="2"/>
  <c r="F492" i="2"/>
  <c r="K492" i="2" s="1"/>
  <c r="D492" i="2"/>
  <c r="C492" i="2"/>
  <c r="N491" i="2"/>
  <c r="F491" i="2"/>
  <c r="K491" i="2" s="1"/>
  <c r="D491" i="2"/>
  <c r="C491" i="2"/>
  <c r="N490" i="2"/>
  <c r="F490" i="2"/>
  <c r="D490" i="2"/>
  <c r="C490" i="2"/>
  <c r="N489" i="2"/>
  <c r="F489" i="2"/>
  <c r="K489" i="2" s="1"/>
  <c r="D489" i="2"/>
  <c r="C489" i="2"/>
  <c r="N488" i="2"/>
  <c r="F488" i="2"/>
  <c r="J488" i="2" s="1"/>
  <c r="L488" i="2" s="1"/>
  <c r="D488" i="2"/>
  <c r="C488" i="2"/>
  <c r="N487" i="2"/>
  <c r="F487" i="2"/>
  <c r="K487" i="2" s="1"/>
  <c r="D487" i="2"/>
  <c r="C487" i="2"/>
  <c r="N486" i="2"/>
  <c r="F486" i="2"/>
  <c r="D486" i="2"/>
  <c r="C486" i="2"/>
  <c r="N485" i="2"/>
  <c r="F485" i="2"/>
  <c r="K485" i="2" s="1"/>
  <c r="D485" i="2"/>
  <c r="C485" i="2"/>
  <c r="N484" i="2"/>
  <c r="F484" i="2"/>
  <c r="J484" i="2" s="1"/>
  <c r="L484" i="2" s="1"/>
  <c r="D484" i="2"/>
  <c r="C484" i="2"/>
  <c r="N483" i="2"/>
  <c r="F483" i="2"/>
  <c r="D483" i="2"/>
  <c r="C483" i="2"/>
  <c r="N482" i="2"/>
  <c r="F482" i="2"/>
  <c r="K482" i="2" s="1"/>
  <c r="D482" i="2"/>
  <c r="C482" i="2"/>
  <c r="N481" i="2"/>
  <c r="F481" i="2"/>
  <c r="K481" i="2" s="1"/>
  <c r="D481" i="2"/>
  <c r="C481" i="2"/>
  <c r="N480" i="2"/>
  <c r="F480" i="2"/>
  <c r="D480" i="2"/>
  <c r="C480" i="2"/>
  <c r="N479" i="2"/>
  <c r="F479" i="2"/>
  <c r="K479" i="2" s="1"/>
  <c r="D479" i="2"/>
  <c r="C479" i="2"/>
  <c r="N478" i="2"/>
  <c r="F478" i="2"/>
  <c r="J478" i="2" s="1"/>
  <c r="L478" i="2" s="1"/>
  <c r="D478" i="2"/>
  <c r="C478" i="2"/>
  <c r="N477" i="2"/>
  <c r="F477" i="2"/>
  <c r="K477" i="2" s="1"/>
  <c r="D477" i="2"/>
  <c r="C477" i="2"/>
  <c r="N476" i="2"/>
  <c r="F476" i="2"/>
  <c r="K476" i="2" s="1"/>
  <c r="D476" i="2"/>
  <c r="C476" i="2"/>
  <c r="N475" i="2"/>
  <c r="F475" i="2"/>
  <c r="D475" i="2"/>
  <c r="C475" i="2"/>
  <c r="N474" i="2"/>
  <c r="F474" i="2"/>
  <c r="J474" i="2" s="1"/>
  <c r="L474" i="2" s="1"/>
  <c r="D474" i="2"/>
  <c r="C474" i="2"/>
  <c r="N473" i="2"/>
  <c r="F473" i="2"/>
  <c r="J473" i="2" s="1"/>
  <c r="L473" i="2" s="1"/>
  <c r="D473" i="2"/>
  <c r="C473" i="2"/>
  <c r="N472" i="2"/>
  <c r="F472" i="2"/>
  <c r="K472" i="2" s="1"/>
  <c r="D472" i="2"/>
  <c r="C472" i="2"/>
  <c r="N471" i="2"/>
  <c r="F471" i="2"/>
  <c r="K471" i="2" s="1"/>
  <c r="D471" i="2"/>
  <c r="C471" i="2"/>
  <c r="N470" i="2"/>
  <c r="F470" i="2"/>
  <c r="K470" i="2" s="1"/>
  <c r="D470" i="2"/>
  <c r="C470" i="2"/>
  <c r="N469" i="2"/>
  <c r="F469" i="2"/>
  <c r="K469" i="2" s="1"/>
  <c r="D469" i="2"/>
  <c r="C469" i="2"/>
  <c r="N468" i="2"/>
  <c r="F468" i="2"/>
  <c r="D468" i="2"/>
  <c r="C468" i="2"/>
  <c r="N467" i="2"/>
  <c r="F467" i="2"/>
  <c r="K467" i="2" s="1"/>
  <c r="D467" i="2"/>
  <c r="C467" i="2"/>
  <c r="N466" i="2"/>
  <c r="F466" i="2"/>
  <c r="D466" i="2"/>
  <c r="C466" i="2"/>
  <c r="N465" i="2"/>
  <c r="F465" i="2"/>
  <c r="J465" i="2" s="1"/>
  <c r="L465" i="2" s="1"/>
  <c r="D465" i="2"/>
  <c r="C465" i="2"/>
  <c r="N464" i="2"/>
  <c r="F464" i="2"/>
  <c r="K464" i="2" s="1"/>
  <c r="D464" i="2"/>
  <c r="C464" i="2"/>
  <c r="N463" i="2"/>
  <c r="F463" i="2"/>
  <c r="K463" i="2" s="1"/>
  <c r="D463" i="2"/>
  <c r="C463" i="2"/>
  <c r="N462" i="2"/>
  <c r="F462" i="2"/>
  <c r="K462" i="2" s="1"/>
  <c r="D462" i="2"/>
  <c r="C462" i="2"/>
  <c r="N461" i="2"/>
  <c r="F461" i="2"/>
  <c r="K461" i="2" s="1"/>
  <c r="D461" i="2"/>
  <c r="C461" i="2"/>
  <c r="N460" i="2"/>
  <c r="F460" i="2"/>
  <c r="D460" i="2"/>
  <c r="C460" i="2"/>
  <c r="N459" i="2"/>
  <c r="F459" i="2"/>
  <c r="J459" i="2" s="1"/>
  <c r="L459" i="2" s="1"/>
  <c r="D459" i="2"/>
  <c r="C459" i="2"/>
  <c r="N458" i="2"/>
  <c r="F458" i="2"/>
  <c r="J458" i="2" s="1"/>
  <c r="L458" i="2" s="1"/>
  <c r="D458" i="2"/>
  <c r="C458" i="2"/>
  <c r="N457" i="2"/>
  <c r="F457" i="2"/>
  <c r="D457" i="2"/>
  <c r="C457" i="2"/>
  <c r="N456" i="2"/>
  <c r="F456" i="2"/>
  <c r="D456" i="2"/>
  <c r="C456" i="2"/>
  <c r="N455" i="2"/>
  <c r="F455" i="2"/>
  <c r="J455" i="2" s="1"/>
  <c r="L455" i="2" s="1"/>
  <c r="D455" i="2"/>
  <c r="C455" i="2"/>
  <c r="N454" i="2"/>
  <c r="F454" i="2"/>
  <c r="K454" i="2" s="1"/>
  <c r="D454" i="2"/>
  <c r="C454" i="2"/>
  <c r="N453" i="2"/>
  <c r="F453" i="2"/>
  <c r="K453" i="2" s="1"/>
  <c r="D453" i="2"/>
  <c r="C453" i="2"/>
  <c r="N452" i="2"/>
  <c r="F452" i="2"/>
  <c r="K452" i="2" s="1"/>
  <c r="D452" i="2"/>
  <c r="C452" i="2"/>
  <c r="N451" i="2"/>
  <c r="F451" i="2"/>
  <c r="J451" i="2" s="1"/>
  <c r="L451" i="2" s="1"/>
  <c r="D451" i="2"/>
  <c r="C451" i="2"/>
  <c r="N450" i="2"/>
  <c r="F450" i="2"/>
  <c r="D450" i="2"/>
  <c r="C450" i="2"/>
  <c r="N449" i="2"/>
  <c r="F449" i="2"/>
  <c r="K449" i="2" s="1"/>
  <c r="D449" i="2"/>
  <c r="C449" i="2"/>
  <c r="N448" i="2"/>
  <c r="F448" i="2"/>
  <c r="K448" i="2" s="1"/>
  <c r="D448" i="2"/>
  <c r="C448" i="2"/>
  <c r="N447" i="2"/>
  <c r="F447" i="2"/>
  <c r="K447" i="2" s="1"/>
  <c r="D447" i="2"/>
  <c r="C447" i="2"/>
  <c r="N446" i="2"/>
  <c r="F446" i="2"/>
  <c r="K446" i="2" s="1"/>
  <c r="D446" i="2"/>
  <c r="C446" i="2"/>
  <c r="N445" i="2"/>
  <c r="F445" i="2"/>
  <c r="D445" i="2"/>
  <c r="C445" i="2"/>
  <c r="N444" i="2"/>
  <c r="F444" i="2"/>
  <c r="K444" i="2" s="1"/>
  <c r="D444" i="2"/>
  <c r="C444" i="2"/>
  <c r="N443" i="2"/>
  <c r="F443" i="2"/>
  <c r="K443" i="2" s="1"/>
  <c r="D443" i="2"/>
  <c r="C443" i="2"/>
  <c r="N442" i="2"/>
  <c r="F442" i="2"/>
  <c r="D442" i="2"/>
  <c r="C442" i="2"/>
  <c r="N441" i="2"/>
  <c r="F441" i="2"/>
  <c r="K441" i="2" s="1"/>
  <c r="D441" i="2"/>
  <c r="C441" i="2"/>
  <c r="N440" i="2"/>
  <c r="F440" i="2"/>
  <c r="K440" i="2" s="1"/>
  <c r="D440" i="2"/>
  <c r="C440" i="2"/>
  <c r="N439" i="2"/>
  <c r="F439" i="2"/>
  <c r="D439" i="2"/>
  <c r="C439" i="2"/>
  <c r="N438" i="2"/>
  <c r="F438" i="2"/>
  <c r="D438" i="2"/>
  <c r="C438" i="2"/>
  <c r="N437" i="2"/>
  <c r="F437" i="2"/>
  <c r="K437" i="2" s="1"/>
  <c r="D437" i="2"/>
  <c r="C437" i="2"/>
  <c r="N436" i="2"/>
  <c r="F436" i="2"/>
  <c r="K436" i="2" s="1"/>
  <c r="D436" i="2"/>
  <c r="C436" i="2"/>
  <c r="N435" i="2"/>
  <c r="F435" i="2"/>
  <c r="D435" i="2"/>
  <c r="C435" i="2"/>
  <c r="N434" i="2"/>
  <c r="F434" i="2"/>
  <c r="K434" i="2" s="1"/>
  <c r="D434" i="2"/>
  <c r="C434" i="2"/>
  <c r="N433" i="2"/>
  <c r="F433" i="2"/>
  <c r="K433" i="2" s="1"/>
  <c r="D433" i="2"/>
  <c r="C433" i="2"/>
  <c r="N432" i="2"/>
  <c r="F432" i="2"/>
  <c r="D432" i="2"/>
  <c r="C432" i="2"/>
  <c r="N431" i="2"/>
  <c r="F431" i="2"/>
  <c r="D431" i="2"/>
  <c r="C431" i="2"/>
  <c r="N430" i="2"/>
  <c r="F430" i="2"/>
  <c r="K430" i="2" s="1"/>
  <c r="D430" i="2"/>
  <c r="C430" i="2"/>
  <c r="N429" i="2"/>
  <c r="F429" i="2"/>
  <c r="D429" i="2"/>
  <c r="C429" i="2"/>
  <c r="N428" i="2"/>
  <c r="F428" i="2"/>
  <c r="D428" i="2"/>
  <c r="C428" i="2"/>
  <c r="N427" i="2"/>
  <c r="F427" i="2"/>
  <c r="K427" i="2" s="1"/>
  <c r="D427" i="2"/>
  <c r="C427" i="2"/>
  <c r="N426" i="2"/>
  <c r="F426" i="2"/>
  <c r="D426" i="2"/>
  <c r="C426" i="2"/>
  <c r="N425" i="2"/>
  <c r="F425" i="2"/>
  <c r="K425" i="2" s="1"/>
  <c r="D425" i="2"/>
  <c r="C425" i="2"/>
  <c r="N424" i="2"/>
  <c r="F424" i="2"/>
  <c r="K424" i="2" s="1"/>
  <c r="D424" i="2"/>
  <c r="C424" i="2"/>
  <c r="N423" i="2"/>
  <c r="F423" i="2"/>
  <c r="D423" i="2"/>
  <c r="C423" i="2"/>
  <c r="N422" i="2"/>
  <c r="F422" i="2"/>
  <c r="D422" i="2"/>
  <c r="C422" i="2"/>
  <c r="N421" i="2"/>
  <c r="F421" i="2"/>
  <c r="J421" i="2" s="1"/>
  <c r="L421" i="2" s="1"/>
  <c r="D421" i="2"/>
  <c r="C421" i="2"/>
  <c r="N420" i="2"/>
  <c r="F420" i="2"/>
  <c r="K420" i="2" s="1"/>
  <c r="D420" i="2"/>
  <c r="C420" i="2"/>
  <c r="N419" i="2"/>
  <c r="F419" i="2"/>
  <c r="J419" i="2" s="1"/>
  <c r="L419" i="2" s="1"/>
  <c r="D419" i="2"/>
  <c r="C419" i="2"/>
  <c r="N418" i="2"/>
  <c r="F418" i="2"/>
  <c r="D418" i="2"/>
  <c r="C418" i="2"/>
  <c r="N417" i="2"/>
  <c r="F417" i="2"/>
  <c r="K417" i="2" s="1"/>
  <c r="D417" i="2"/>
  <c r="C417" i="2"/>
  <c r="N416" i="2"/>
  <c r="F416" i="2"/>
  <c r="D416" i="2"/>
  <c r="C416" i="2"/>
  <c r="N415" i="2"/>
  <c r="F415" i="2"/>
  <c r="D415" i="2"/>
  <c r="C415" i="2"/>
  <c r="N414" i="2"/>
  <c r="F414" i="2"/>
  <c r="J414" i="2" s="1"/>
  <c r="L414" i="2" s="1"/>
  <c r="D414" i="2"/>
  <c r="C414" i="2"/>
  <c r="N413" i="2"/>
  <c r="F413" i="2"/>
  <c r="K413" i="2" s="1"/>
  <c r="D413" i="2"/>
  <c r="C413" i="2"/>
  <c r="N412" i="2"/>
  <c r="F412" i="2"/>
  <c r="D412" i="2"/>
  <c r="C412" i="2"/>
  <c r="N411" i="2"/>
  <c r="F411" i="2"/>
  <c r="K411" i="2" s="1"/>
  <c r="D411" i="2"/>
  <c r="C411" i="2"/>
  <c r="N410" i="2"/>
  <c r="F410" i="2"/>
  <c r="J410" i="2" s="1"/>
  <c r="L410" i="2" s="1"/>
  <c r="D410" i="2"/>
  <c r="C410" i="2"/>
  <c r="N409" i="2"/>
  <c r="F409" i="2"/>
  <c r="K409" i="2" s="1"/>
  <c r="D409" i="2"/>
  <c r="C409" i="2"/>
  <c r="N408" i="2"/>
  <c r="F408" i="2"/>
  <c r="K408" i="2" s="1"/>
  <c r="D408" i="2"/>
  <c r="C408" i="2"/>
  <c r="N407" i="2"/>
  <c r="F407" i="2"/>
  <c r="J407" i="2" s="1"/>
  <c r="L407" i="2" s="1"/>
  <c r="D407" i="2"/>
  <c r="C407" i="2"/>
  <c r="N406" i="2"/>
  <c r="F406" i="2"/>
  <c r="J406" i="2" s="1"/>
  <c r="L406" i="2" s="1"/>
  <c r="D406" i="2"/>
  <c r="C406" i="2"/>
  <c r="N405" i="2"/>
  <c r="F405" i="2"/>
  <c r="J405" i="2" s="1"/>
  <c r="L405" i="2" s="1"/>
  <c r="D405" i="2"/>
  <c r="C405" i="2"/>
  <c r="N404" i="2"/>
  <c r="F404" i="2"/>
  <c r="J404" i="2" s="1"/>
  <c r="L404" i="2" s="1"/>
  <c r="D404" i="2"/>
  <c r="C404" i="2"/>
  <c r="N403" i="2"/>
  <c r="F403" i="2"/>
  <c r="D403" i="2"/>
  <c r="C403" i="2"/>
  <c r="N402" i="2"/>
  <c r="F402" i="2"/>
  <c r="D402" i="2"/>
  <c r="C402" i="2"/>
  <c r="N401" i="2"/>
  <c r="F401" i="2"/>
  <c r="K401" i="2" s="1"/>
  <c r="D401" i="2"/>
  <c r="C401" i="2"/>
  <c r="N400" i="2"/>
  <c r="F400" i="2"/>
  <c r="D400" i="2"/>
  <c r="C400" i="2"/>
  <c r="N399" i="2"/>
  <c r="F399" i="2"/>
  <c r="K399" i="2" s="1"/>
  <c r="D399" i="2"/>
  <c r="C399" i="2"/>
  <c r="N398" i="2"/>
  <c r="F398" i="2"/>
  <c r="D398" i="2"/>
  <c r="C398" i="2"/>
  <c r="N397" i="2"/>
  <c r="F397" i="2"/>
  <c r="K397" i="2" s="1"/>
  <c r="D397" i="2"/>
  <c r="C397" i="2"/>
  <c r="N396" i="2"/>
  <c r="F396" i="2"/>
  <c r="J396" i="2" s="1"/>
  <c r="L396" i="2" s="1"/>
  <c r="D396" i="2"/>
  <c r="C396" i="2"/>
  <c r="N395" i="2"/>
  <c r="F395" i="2"/>
  <c r="K395" i="2" s="1"/>
  <c r="D395" i="2"/>
  <c r="C395" i="2"/>
  <c r="N394" i="2"/>
  <c r="F394" i="2"/>
  <c r="D394" i="2"/>
  <c r="C394" i="2"/>
  <c r="N393" i="2"/>
  <c r="F393" i="2"/>
  <c r="K393" i="2" s="1"/>
  <c r="D393" i="2"/>
  <c r="C393" i="2"/>
  <c r="N392" i="2"/>
  <c r="F392" i="2"/>
  <c r="D392" i="2"/>
  <c r="C392" i="2"/>
  <c r="N391" i="2"/>
  <c r="F391" i="2"/>
  <c r="K391" i="2" s="1"/>
  <c r="D391" i="2"/>
  <c r="C391" i="2"/>
  <c r="N390" i="2"/>
  <c r="F390" i="2"/>
  <c r="J390" i="2" s="1"/>
  <c r="L390" i="2" s="1"/>
  <c r="D390" i="2"/>
  <c r="C390" i="2"/>
  <c r="N389" i="2"/>
  <c r="F389" i="2"/>
  <c r="K389" i="2" s="1"/>
  <c r="D389" i="2"/>
  <c r="C389" i="2"/>
  <c r="N388" i="2"/>
  <c r="F388" i="2"/>
  <c r="D388" i="2"/>
  <c r="C388" i="2"/>
  <c r="N387" i="2"/>
  <c r="F387" i="2"/>
  <c r="J387" i="2" s="1"/>
  <c r="L387" i="2" s="1"/>
  <c r="D387" i="2"/>
  <c r="C387" i="2"/>
  <c r="N386" i="2"/>
  <c r="F386" i="2"/>
  <c r="K386" i="2" s="1"/>
  <c r="D386" i="2"/>
  <c r="C386" i="2"/>
  <c r="N385" i="2"/>
  <c r="F385" i="2"/>
  <c r="J385" i="2" s="1"/>
  <c r="L385" i="2" s="1"/>
  <c r="D385" i="2"/>
  <c r="C385" i="2"/>
  <c r="N384" i="2"/>
  <c r="F384" i="2"/>
  <c r="J384" i="2" s="1"/>
  <c r="L384" i="2" s="1"/>
  <c r="D384" i="2"/>
  <c r="C384" i="2"/>
  <c r="N383" i="2"/>
  <c r="F383" i="2"/>
  <c r="K383" i="2" s="1"/>
  <c r="D383" i="2"/>
  <c r="C383" i="2"/>
  <c r="N382" i="2"/>
  <c r="F382" i="2"/>
  <c r="K382" i="2" s="1"/>
  <c r="D382" i="2"/>
  <c r="C382" i="2"/>
  <c r="N381" i="2"/>
  <c r="F381" i="2"/>
  <c r="K381" i="2" s="1"/>
  <c r="D381" i="2"/>
  <c r="C381" i="2"/>
  <c r="N380" i="2"/>
  <c r="F380" i="2"/>
  <c r="D380" i="2"/>
  <c r="C380" i="2"/>
  <c r="N379" i="2"/>
  <c r="F379" i="2"/>
  <c r="D379" i="2"/>
  <c r="C379" i="2"/>
  <c r="N378" i="2"/>
  <c r="F378" i="2"/>
  <c r="J378" i="2" s="1"/>
  <c r="L378" i="2" s="1"/>
  <c r="D378" i="2"/>
  <c r="C378" i="2"/>
  <c r="N377" i="2"/>
  <c r="F377" i="2"/>
  <c r="J377" i="2" s="1"/>
  <c r="L377" i="2" s="1"/>
  <c r="D377" i="2"/>
  <c r="C377" i="2"/>
  <c r="N376" i="2"/>
  <c r="F376" i="2"/>
  <c r="K376" i="2" s="1"/>
  <c r="D376" i="2"/>
  <c r="C376" i="2"/>
  <c r="N375" i="2"/>
  <c r="F375" i="2"/>
  <c r="D375" i="2"/>
  <c r="C375" i="2"/>
  <c r="N374" i="2"/>
  <c r="F374" i="2"/>
  <c r="D374" i="2"/>
  <c r="C374" i="2"/>
  <c r="N373" i="2"/>
  <c r="F373" i="2"/>
  <c r="K373" i="2" s="1"/>
  <c r="D373" i="2"/>
  <c r="C373" i="2"/>
  <c r="N372" i="2"/>
  <c r="F372" i="2"/>
  <c r="K372" i="2" s="1"/>
  <c r="D372" i="2"/>
  <c r="C372" i="2"/>
  <c r="N371" i="2"/>
  <c r="F371" i="2"/>
  <c r="D371" i="2"/>
  <c r="C371" i="2"/>
  <c r="N370" i="2"/>
  <c r="F370" i="2"/>
  <c r="D370" i="2"/>
  <c r="C370" i="2"/>
  <c r="N369" i="2"/>
  <c r="F369" i="2"/>
  <c r="D369" i="2"/>
  <c r="C369" i="2"/>
  <c r="N368" i="2"/>
  <c r="F368" i="2"/>
  <c r="J368" i="2" s="1"/>
  <c r="L368" i="2" s="1"/>
  <c r="D368" i="2"/>
  <c r="C368" i="2"/>
  <c r="N367" i="2"/>
  <c r="F367" i="2"/>
  <c r="K367" i="2" s="1"/>
  <c r="D367" i="2"/>
  <c r="C367" i="2"/>
  <c r="N366" i="2"/>
  <c r="F366" i="2"/>
  <c r="K366" i="2" s="1"/>
  <c r="D366" i="2"/>
  <c r="C366" i="2"/>
  <c r="N365" i="2"/>
  <c r="F365" i="2"/>
  <c r="K365" i="2" s="1"/>
  <c r="D365" i="2"/>
  <c r="C365" i="2"/>
  <c r="N364" i="2"/>
  <c r="F364" i="2"/>
  <c r="D364" i="2"/>
  <c r="C364" i="2"/>
  <c r="N363" i="2"/>
  <c r="F363" i="2"/>
  <c r="K363" i="2" s="1"/>
  <c r="D363" i="2"/>
  <c r="C363" i="2"/>
  <c r="N362" i="2"/>
  <c r="F362" i="2"/>
  <c r="J362" i="2" s="1"/>
  <c r="L362" i="2" s="1"/>
  <c r="D362" i="2"/>
  <c r="C362" i="2"/>
  <c r="N361" i="2"/>
  <c r="F361" i="2"/>
  <c r="D361" i="2"/>
  <c r="C361" i="2"/>
  <c r="N360" i="2"/>
  <c r="F360" i="2"/>
  <c r="K360" i="2" s="1"/>
  <c r="D360" i="2"/>
  <c r="C360" i="2"/>
  <c r="N359" i="2"/>
  <c r="F359" i="2"/>
  <c r="J359" i="2" s="1"/>
  <c r="L359" i="2" s="1"/>
  <c r="D359" i="2"/>
  <c r="C359" i="2"/>
  <c r="N358" i="2"/>
  <c r="F358" i="2"/>
  <c r="J358" i="2" s="1"/>
  <c r="L358" i="2" s="1"/>
  <c r="D358" i="2"/>
  <c r="C358" i="2"/>
  <c r="N357" i="2"/>
  <c r="F357" i="2"/>
  <c r="J357" i="2" s="1"/>
  <c r="L357" i="2" s="1"/>
  <c r="D357" i="2"/>
  <c r="C357" i="2"/>
  <c r="N356" i="2"/>
  <c r="F356" i="2"/>
  <c r="K356" i="2" s="1"/>
  <c r="D356" i="2"/>
  <c r="C356" i="2"/>
  <c r="N355" i="2"/>
  <c r="F355" i="2"/>
  <c r="D355" i="2"/>
  <c r="C355" i="2"/>
  <c r="N354" i="2"/>
  <c r="F354" i="2"/>
  <c r="D354" i="2"/>
  <c r="C354" i="2"/>
  <c r="N353" i="2"/>
  <c r="F353" i="2"/>
  <c r="J353" i="2" s="1"/>
  <c r="L353" i="2" s="1"/>
  <c r="D353" i="2"/>
  <c r="C353" i="2"/>
  <c r="N352" i="2"/>
  <c r="F352" i="2"/>
  <c r="J352" i="2" s="1"/>
  <c r="L352" i="2" s="1"/>
  <c r="D352" i="2"/>
  <c r="C352" i="2"/>
  <c r="N351" i="2"/>
  <c r="F351" i="2"/>
  <c r="J351" i="2" s="1"/>
  <c r="L351" i="2" s="1"/>
  <c r="D351" i="2"/>
  <c r="C351" i="2"/>
  <c r="N350" i="2"/>
  <c r="F350" i="2"/>
  <c r="J350" i="2" s="1"/>
  <c r="L350" i="2" s="1"/>
  <c r="D350" i="2"/>
  <c r="C350" i="2"/>
  <c r="N349" i="2"/>
  <c r="F349" i="2"/>
  <c r="J349" i="2" s="1"/>
  <c r="L349" i="2" s="1"/>
  <c r="D349" i="2"/>
  <c r="C349" i="2"/>
  <c r="N348" i="2"/>
  <c r="F348" i="2"/>
  <c r="D348" i="2"/>
  <c r="C348" i="2"/>
  <c r="N347" i="2"/>
  <c r="F347" i="2"/>
  <c r="D347" i="2"/>
  <c r="C347" i="2"/>
  <c r="N346" i="2"/>
  <c r="F346" i="2"/>
  <c r="D346" i="2"/>
  <c r="C346" i="2"/>
  <c r="N345" i="2"/>
  <c r="F345" i="2"/>
  <c r="D345" i="2"/>
  <c r="C345" i="2"/>
  <c r="N344" i="2"/>
  <c r="F344" i="2"/>
  <c r="K344" i="2" s="1"/>
  <c r="D344" i="2"/>
  <c r="C344" i="2"/>
  <c r="N343" i="2"/>
  <c r="F343" i="2"/>
  <c r="D343" i="2"/>
  <c r="C343" i="2"/>
  <c r="N342" i="2"/>
  <c r="F342" i="2"/>
  <c r="K342" i="2" s="1"/>
  <c r="D342" i="2"/>
  <c r="C342" i="2"/>
  <c r="N341" i="2"/>
  <c r="F341" i="2"/>
  <c r="D341" i="2"/>
  <c r="C341" i="2"/>
  <c r="N340" i="2"/>
  <c r="F340" i="2"/>
  <c r="K340" i="2" s="1"/>
  <c r="D340" i="2"/>
  <c r="C340" i="2"/>
  <c r="N339" i="2"/>
  <c r="F339" i="2"/>
  <c r="K339" i="2" s="1"/>
  <c r="D339" i="2"/>
  <c r="C339" i="2"/>
  <c r="N338" i="2"/>
  <c r="F338" i="2"/>
  <c r="K338" i="2" s="1"/>
  <c r="D338" i="2"/>
  <c r="C338" i="2"/>
  <c r="N337" i="2"/>
  <c r="F337" i="2"/>
  <c r="K337" i="2" s="1"/>
  <c r="D337" i="2"/>
  <c r="C337" i="2"/>
  <c r="N336" i="2"/>
  <c r="F336" i="2"/>
  <c r="K336" i="2" s="1"/>
  <c r="D336" i="2"/>
  <c r="C336" i="2"/>
  <c r="N335" i="2"/>
  <c r="F335" i="2"/>
  <c r="D335" i="2"/>
  <c r="C335" i="2"/>
  <c r="N334" i="2"/>
  <c r="F334" i="2"/>
  <c r="J334" i="2" s="1"/>
  <c r="L334" i="2" s="1"/>
  <c r="D334" i="2"/>
  <c r="C334" i="2"/>
  <c r="N333" i="2"/>
  <c r="F333" i="2"/>
  <c r="D333" i="2"/>
  <c r="C333" i="2"/>
  <c r="N332" i="2"/>
  <c r="F332" i="2"/>
  <c r="K332" i="2" s="1"/>
  <c r="D332" i="2"/>
  <c r="C332" i="2"/>
  <c r="N331" i="2"/>
  <c r="F331" i="2"/>
  <c r="J331" i="2" s="1"/>
  <c r="L331" i="2" s="1"/>
  <c r="D331" i="2"/>
  <c r="C331" i="2"/>
  <c r="N330" i="2"/>
  <c r="F330" i="2"/>
  <c r="D330" i="2"/>
  <c r="C330" i="2"/>
  <c r="N329" i="2"/>
  <c r="F329" i="2"/>
  <c r="J329" i="2" s="1"/>
  <c r="L329" i="2" s="1"/>
  <c r="D329" i="2"/>
  <c r="C329" i="2"/>
  <c r="N328" i="2"/>
  <c r="F328" i="2"/>
  <c r="D328" i="2"/>
  <c r="C328" i="2"/>
  <c r="N327" i="2"/>
  <c r="F327" i="2"/>
  <c r="K327" i="2" s="1"/>
  <c r="D327" i="2"/>
  <c r="C327" i="2"/>
  <c r="N326" i="2"/>
  <c r="F326" i="2"/>
  <c r="J326" i="2" s="1"/>
  <c r="L326" i="2" s="1"/>
  <c r="D326" i="2"/>
  <c r="C326" i="2"/>
  <c r="N325" i="2"/>
  <c r="F325" i="2"/>
  <c r="D325" i="2"/>
  <c r="C325" i="2"/>
  <c r="N324" i="2"/>
  <c r="F324" i="2"/>
  <c r="J324" i="2" s="1"/>
  <c r="L324" i="2" s="1"/>
  <c r="D324" i="2"/>
  <c r="C324" i="2"/>
  <c r="N323" i="2"/>
  <c r="F323" i="2"/>
  <c r="K323" i="2" s="1"/>
  <c r="D323" i="2"/>
  <c r="C323" i="2"/>
  <c r="N322" i="2"/>
  <c r="F322" i="2"/>
  <c r="D322" i="2"/>
  <c r="C322" i="2"/>
  <c r="N321" i="2"/>
  <c r="F321" i="2"/>
  <c r="J321" i="2" s="1"/>
  <c r="L321" i="2" s="1"/>
  <c r="D321" i="2"/>
  <c r="C321" i="2"/>
  <c r="N320" i="2"/>
  <c r="F320" i="2"/>
  <c r="J320" i="2" s="1"/>
  <c r="L320" i="2" s="1"/>
  <c r="D320" i="2"/>
  <c r="C320" i="2"/>
  <c r="N319" i="2"/>
  <c r="F319" i="2"/>
  <c r="K319" i="2" s="1"/>
  <c r="D319" i="2"/>
  <c r="C319" i="2"/>
  <c r="N318" i="2"/>
  <c r="F318" i="2"/>
  <c r="K318" i="2" s="1"/>
  <c r="D318" i="2"/>
  <c r="C318" i="2"/>
  <c r="N317" i="2"/>
  <c r="F317" i="2"/>
  <c r="K317" i="2" s="1"/>
  <c r="D317" i="2"/>
  <c r="C317" i="2"/>
  <c r="N316" i="2"/>
  <c r="F316" i="2"/>
  <c r="D316" i="2"/>
  <c r="C316" i="2"/>
  <c r="N315" i="2"/>
  <c r="F315" i="2"/>
  <c r="D315" i="2"/>
  <c r="C315" i="2"/>
  <c r="N314" i="2"/>
  <c r="F314" i="2"/>
  <c r="D314" i="2"/>
  <c r="C314" i="2"/>
  <c r="N313" i="2"/>
  <c r="F313" i="2"/>
  <c r="D313" i="2"/>
  <c r="C313" i="2"/>
  <c r="N312" i="2"/>
  <c r="F312" i="2"/>
  <c r="J312" i="2" s="1"/>
  <c r="L312" i="2" s="1"/>
  <c r="D312" i="2"/>
  <c r="C312" i="2"/>
  <c r="N311" i="2"/>
  <c r="F311" i="2"/>
  <c r="K311" i="2" s="1"/>
  <c r="D311" i="2"/>
  <c r="C311" i="2"/>
  <c r="N310" i="2"/>
  <c r="F310" i="2"/>
  <c r="K310" i="2" s="1"/>
  <c r="D310" i="2"/>
  <c r="C310" i="2"/>
  <c r="N309" i="2"/>
  <c r="F309" i="2"/>
  <c r="K309" i="2" s="1"/>
  <c r="D309" i="2"/>
  <c r="C309" i="2"/>
  <c r="N308" i="2"/>
  <c r="F308" i="2"/>
  <c r="D308" i="2"/>
  <c r="C308" i="2"/>
  <c r="N307" i="2"/>
  <c r="F307" i="2"/>
  <c r="D307" i="2"/>
  <c r="C307" i="2"/>
  <c r="N306" i="2"/>
  <c r="F306" i="2"/>
  <c r="D306" i="2"/>
  <c r="C306" i="2"/>
  <c r="N305" i="2"/>
  <c r="F305" i="2"/>
  <c r="J305" i="2" s="1"/>
  <c r="L305" i="2" s="1"/>
  <c r="D305" i="2"/>
  <c r="C305" i="2"/>
  <c r="N304" i="2"/>
  <c r="F304" i="2"/>
  <c r="K304" i="2" s="1"/>
  <c r="D304" i="2"/>
  <c r="C304" i="2"/>
  <c r="N303" i="2"/>
  <c r="F303" i="2"/>
  <c r="D303" i="2"/>
  <c r="C303" i="2"/>
  <c r="N302" i="2"/>
  <c r="F302" i="2"/>
  <c r="D302" i="2"/>
  <c r="C302" i="2"/>
  <c r="N301" i="2"/>
  <c r="F301" i="2"/>
  <c r="D301" i="2"/>
  <c r="C301" i="2"/>
  <c r="N300" i="2"/>
  <c r="F300" i="2"/>
  <c r="J300" i="2" s="1"/>
  <c r="L300" i="2" s="1"/>
  <c r="D300" i="2"/>
  <c r="C300" i="2"/>
  <c r="N299" i="2"/>
  <c r="F299" i="2"/>
  <c r="K299" i="2" s="1"/>
  <c r="D299" i="2"/>
  <c r="C299" i="2"/>
  <c r="N298" i="2"/>
  <c r="F298" i="2"/>
  <c r="K298" i="2" s="1"/>
  <c r="D298" i="2"/>
  <c r="C298" i="2"/>
  <c r="N297" i="2"/>
  <c r="F297" i="2"/>
  <c r="J297" i="2" s="1"/>
  <c r="L297" i="2" s="1"/>
  <c r="D297" i="2"/>
  <c r="C297" i="2"/>
  <c r="N296" i="2"/>
  <c r="F296" i="2"/>
  <c r="K296" i="2" s="1"/>
  <c r="D296" i="2"/>
  <c r="C296" i="2"/>
  <c r="N295" i="2"/>
  <c r="F295" i="2"/>
  <c r="D295" i="2"/>
  <c r="C295" i="2"/>
  <c r="N294" i="2"/>
  <c r="F294" i="2"/>
  <c r="J294" i="2" s="1"/>
  <c r="L294" i="2" s="1"/>
  <c r="D294" i="2"/>
  <c r="C294" i="2"/>
  <c r="N293" i="2"/>
  <c r="F293" i="2"/>
  <c r="D293" i="2"/>
  <c r="C293" i="2"/>
  <c r="N292" i="2"/>
  <c r="F292" i="2"/>
  <c r="K292" i="2" s="1"/>
  <c r="D292" i="2"/>
  <c r="C292" i="2"/>
  <c r="N291" i="2"/>
  <c r="F291" i="2"/>
  <c r="K291" i="2" s="1"/>
  <c r="D291" i="2"/>
  <c r="C291" i="2"/>
  <c r="N290" i="2"/>
  <c r="F290" i="2"/>
  <c r="J290" i="2" s="1"/>
  <c r="L290" i="2" s="1"/>
  <c r="D290" i="2"/>
  <c r="C290" i="2"/>
  <c r="N289" i="2"/>
  <c r="F289" i="2"/>
  <c r="K289" i="2" s="1"/>
  <c r="D289" i="2"/>
  <c r="C289" i="2"/>
  <c r="N288" i="2"/>
  <c r="F288" i="2"/>
  <c r="D288" i="2"/>
  <c r="C288" i="2"/>
  <c r="N287" i="2"/>
  <c r="F287" i="2"/>
  <c r="D287" i="2"/>
  <c r="C287" i="2"/>
  <c r="N286" i="2"/>
  <c r="F286" i="2"/>
  <c r="D286" i="2"/>
  <c r="C286" i="2"/>
  <c r="N285" i="2"/>
  <c r="F285" i="2"/>
  <c r="J285" i="2" s="1"/>
  <c r="L285" i="2" s="1"/>
  <c r="D285" i="2"/>
  <c r="C285" i="2"/>
  <c r="N284" i="2"/>
  <c r="F284" i="2"/>
  <c r="D284" i="2"/>
  <c r="C284" i="2"/>
  <c r="N283" i="2"/>
  <c r="F283" i="2"/>
  <c r="J283" i="2" s="1"/>
  <c r="L283" i="2" s="1"/>
  <c r="D283" i="2"/>
  <c r="C283" i="2"/>
  <c r="N282" i="2"/>
  <c r="F282" i="2"/>
  <c r="D282" i="2"/>
  <c r="C282" i="2"/>
  <c r="N281" i="2"/>
  <c r="F281" i="2"/>
  <c r="D281" i="2"/>
  <c r="C281" i="2"/>
  <c r="N280" i="2"/>
  <c r="F280" i="2"/>
  <c r="K280" i="2" s="1"/>
  <c r="D280" i="2"/>
  <c r="C280" i="2"/>
  <c r="N279" i="2"/>
  <c r="F279" i="2"/>
  <c r="J279" i="2" s="1"/>
  <c r="L279" i="2" s="1"/>
  <c r="D279" i="2"/>
  <c r="C279" i="2"/>
  <c r="N278" i="2"/>
  <c r="F278" i="2"/>
  <c r="J278" i="2" s="1"/>
  <c r="L278" i="2" s="1"/>
  <c r="D278" i="2"/>
  <c r="C278" i="2"/>
  <c r="N277" i="2"/>
  <c r="F277" i="2"/>
  <c r="D277" i="2"/>
  <c r="C277" i="2"/>
  <c r="N276" i="2"/>
  <c r="F276" i="2"/>
  <c r="K276" i="2" s="1"/>
  <c r="D276" i="2"/>
  <c r="C276" i="2"/>
  <c r="N275" i="2"/>
  <c r="F275" i="2"/>
  <c r="K275" i="2" s="1"/>
  <c r="D275" i="2"/>
  <c r="C275" i="2"/>
  <c r="N274" i="2"/>
  <c r="F274" i="2"/>
  <c r="J274" i="2" s="1"/>
  <c r="L274" i="2" s="1"/>
  <c r="D274" i="2"/>
  <c r="C274" i="2"/>
  <c r="N273" i="2"/>
  <c r="F273" i="2"/>
  <c r="D273" i="2"/>
  <c r="C273" i="2"/>
  <c r="N272" i="2"/>
  <c r="F272" i="2"/>
  <c r="J272" i="2" s="1"/>
  <c r="L272" i="2" s="1"/>
  <c r="D272" i="2"/>
  <c r="C272" i="2"/>
  <c r="N271" i="2"/>
  <c r="F271" i="2"/>
  <c r="D271" i="2"/>
  <c r="C271" i="2"/>
  <c r="N270" i="2"/>
  <c r="F270" i="2"/>
  <c r="D270" i="2"/>
  <c r="C270" i="2"/>
  <c r="N269" i="2"/>
  <c r="F269" i="2"/>
  <c r="D269" i="2"/>
  <c r="C269" i="2"/>
  <c r="N268" i="2"/>
  <c r="F268" i="2"/>
  <c r="K268" i="2" s="1"/>
  <c r="D268" i="2"/>
  <c r="C268" i="2"/>
  <c r="N267" i="2"/>
  <c r="F267" i="2"/>
  <c r="D267" i="2"/>
  <c r="C267" i="2"/>
  <c r="N266" i="2"/>
  <c r="F266" i="2"/>
  <c r="K266" i="2" s="1"/>
  <c r="D266" i="2"/>
  <c r="C266" i="2"/>
  <c r="N265" i="2"/>
  <c r="F265" i="2"/>
  <c r="D265" i="2"/>
  <c r="C265" i="2"/>
  <c r="N264" i="2"/>
  <c r="F264" i="2"/>
  <c r="K264" i="2" s="1"/>
  <c r="D264" i="2"/>
  <c r="C264" i="2"/>
  <c r="N263" i="2"/>
  <c r="F263" i="2"/>
  <c r="D263" i="2"/>
  <c r="C263" i="2"/>
  <c r="N262" i="2"/>
  <c r="F262" i="2"/>
  <c r="J262" i="2" s="1"/>
  <c r="L262" i="2" s="1"/>
  <c r="D262" i="2"/>
  <c r="C262" i="2"/>
  <c r="N261" i="2"/>
  <c r="F261" i="2"/>
  <c r="K261" i="2" s="1"/>
  <c r="D261" i="2"/>
  <c r="C261" i="2"/>
  <c r="N260" i="2"/>
  <c r="F260" i="2"/>
  <c r="D260" i="2"/>
  <c r="C260" i="2"/>
  <c r="N259" i="2"/>
  <c r="F259" i="2"/>
  <c r="K259" i="2" s="1"/>
  <c r="D259" i="2"/>
  <c r="C259" i="2"/>
  <c r="N258" i="2"/>
  <c r="F258" i="2"/>
  <c r="K258" i="2" s="1"/>
  <c r="D258" i="2"/>
  <c r="C258" i="2"/>
  <c r="N257" i="2"/>
  <c r="F257" i="2"/>
  <c r="D257" i="2"/>
  <c r="C257" i="2"/>
  <c r="N256" i="2"/>
  <c r="F256" i="2"/>
  <c r="D256" i="2"/>
  <c r="C256" i="2"/>
  <c r="N255" i="2"/>
  <c r="F255" i="2"/>
  <c r="D255" i="2"/>
  <c r="C255" i="2"/>
  <c r="N254" i="2"/>
  <c r="F254" i="2"/>
  <c r="J254" i="2" s="1"/>
  <c r="L254" i="2" s="1"/>
  <c r="D254" i="2"/>
  <c r="C254" i="2"/>
  <c r="N253" i="2"/>
  <c r="F253" i="2"/>
  <c r="D253" i="2"/>
  <c r="C253" i="2"/>
  <c r="N252" i="2"/>
  <c r="F252" i="2"/>
  <c r="D252" i="2"/>
  <c r="C252" i="2"/>
  <c r="N251" i="2"/>
  <c r="F251" i="2"/>
  <c r="J251" i="2" s="1"/>
  <c r="L251" i="2" s="1"/>
  <c r="D251" i="2"/>
  <c r="C251" i="2"/>
  <c r="N250" i="2"/>
  <c r="F250" i="2"/>
  <c r="D250" i="2"/>
  <c r="C250" i="2"/>
  <c r="N249" i="2"/>
  <c r="F249" i="2"/>
  <c r="K249" i="2" s="1"/>
  <c r="D249" i="2"/>
  <c r="C249" i="2"/>
  <c r="N248" i="2"/>
  <c r="F248" i="2"/>
  <c r="D248" i="2"/>
  <c r="C248" i="2"/>
  <c r="N247" i="2"/>
  <c r="F247" i="2"/>
  <c r="K247" i="2" s="1"/>
  <c r="D247" i="2"/>
  <c r="C247" i="2"/>
  <c r="N246" i="2"/>
  <c r="F246" i="2"/>
  <c r="J246" i="2" s="1"/>
  <c r="L246" i="2" s="1"/>
  <c r="D246" i="2"/>
  <c r="C246" i="2"/>
  <c r="N245" i="2"/>
  <c r="F245" i="2"/>
  <c r="K245" i="2" s="1"/>
  <c r="D245" i="2"/>
  <c r="C245" i="2"/>
  <c r="N244" i="2"/>
  <c r="F244" i="2"/>
  <c r="D244" i="2"/>
  <c r="C244" i="2"/>
  <c r="N243" i="2"/>
  <c r="F243" i="2"/>
  <c r="D243" i="2"/>
  <c r="C243" i="2"/>
  <c r="N242" i="2"/>
  <c r="F242" i="2"/>
  <c r="K242" i="2" s="1"/>
  <c r="D242" i="2"/>
  <c r="C242" i="2"/>
  <c r="N241" i="2"/>
  <c r="F241" i="2"/>
  <c r="K241" i="2" s="1"/>
  <c r="D241" i="2"/>
  <c r="C241" i="2"/>
  <c r="N240" i="2"/>
  <c r="F240" i="2"/>
  <c r="K240" i="2" s="1"/>
  <c r="D240" i="2"/>
  <c r="C240" i="2"/>
  <c r="N239" i="2"/>
  <c r="F239" i="2"/>
  <c r="D239" i="2"/>
  <c r="C239" i="2"/>
  <c r="N238" i="2"/>
  <c r="F238" i="2"/>
  <c r="D238" i="2"/>
  <c r="C238" i="2"/>
  <c r="N237" i="2"/>
  <c r="F237" i="2"/>
  <c r="J237" i="2" s="1"/>
  <c r="L237" i="2" s="1"/>
  <c r="D237" i="2"/>
  <c r="C237" i="2"/>
  <c r="N236" i="2"/>
  <c r="F236" i="2"/>
  <c r="D236" i="2"/>
  <c r="C236" i="2"/>
  <c r="N235" i="2"/>
  <c r="F235" i="2"/>
  <c r="D235" i="2"/>
  <c r="C235" i="2"/>
  <c r="N234" i="2"/>
  <c r="F234" i="2"/>
  <c r="J234" i="2" s="1"/>
  <c r="L234" i="2" s="1"/>
  <c r="D234" i="2"/>
  <c r="C234" i="2"/>
  <c r="N233" i="2"/>
  <c r="F233" i="2"/>
  <c r="J233" i="2" s="1"/>
  <c r="L233" i="2" s="1"/>
  <c r="D233" i="2"/>
  <c r="C233" i="2"/>
  <c r="N232" i="2"/>
  <c r="F232" i="2"/>
  <c r="J232" i="2" s="1"/>
  <c r="L232" i="2" s="1"/>
  <c r="D232" i="2"/>
  <c r="C232" i="2"/>
  <c r="N231" i="2"/>
  <c r="F231" i="2"/>
  <c r="D231" i="2"/>
  <c r="C231" i="2"/>
  <c r="N230" i="2"/>
  <c r="F230" i="2"/>
  <c r="J230" i="2" s="1"/>
  <c r="L230" i="2" s="1"/>
  <c r="D230" i="2"/>
  <c r="C230" i="2"/>
  <c r="N229" i="2"/>
  <c r="F229" i="2"/>
  <c r="D229" i="2"/>
  <c r="C229" i="2"/>
  <c r="N228" i="2"/>
  <c r="F228" i="2"/>
  <c r="K228" i="2" s="1"/>
  <c r="D228" i="2"/>
  <c r="C228" i="2"/>
  <c r="N227" i="2"/>
  <c r="F227" i="2"/>
  <c r="D227" i="2"/>
  <c r="C227" i="2"/>
  <c r="N226" i="2"/>
  <c r="F226" i="2"/>
  <c r="D226" i="2"/>
  <c r="C226" i="2"/>
  <c r="N225" i="2"/>
  <c r="F225" i="2"/>
  <c r="D225" i="2"/>
  <c r="C225" i="2"/>
  <c r="N224" i="2"/>
  <c r="F224" i="2"/>
  <c r="K224" i="2" s="1"/>
  <c r="D224" i="2"/>
  <c r="C224" i="2"/>
  <c r="N223" i="2"/>
  <c r="F223" i="2"/>
  <c r="J223" i="2" s="1"/>
  <c r="L223" i="2" s="1"/>
  <c r="D223" i="2"/>
  <c r="C223" i="2"/>
  <c r="N222" i="2"/>
  <c r="F222" i="2"/>
  <c r="D222" i="2"/>
  <c r="C222" i="2"/>
  <c r="N221" i="2"/>
  <c r="F221" i="2"/>
  <c r="D221" i="2"/>
  <c r="C221" i="2"/>
  <c r="N220" i="2"/>
  <c r="F220" i="2"/>
  <c r="K220" i="2" s="1"/>
  <c r="D220" i="2"/>
  <c r="C220" i="2"/>
  <c r="N219" i="2"/>
  <c r="F219" i="2"/>
  <c r="K219" i="2" s="1"/>
  <c r="D219" i="2"/>
  <c r="C219" i="2"/>
  <c r="N218" i="2"/>
  <c r="F218" i="2"/>
  <c r="J218" i="2" s="1"/>
  <c r="L218" i="2" s="1"/>
  <c r="D218" i="2"/>
  <c r="C218" i="2"/>
  <c r="N217" i="2"/>
  <c r="F217" i="2"/>
  <c r="D217" i="2"/>
  <c r="C217" i="2"/>
  <c r="N216" i="2"/>
  <c r="F216" i="2"/>
  <c r="K216" i="2" s="1"/>
  <c r="D216" i="2"/>
  <c r="C216" i="2"/>
  <c r="N215" i="2"/>
  <c r="F215" i="2"/>
  <c r="K215" i="2" s="1"/>
  <c r="D215" i="2"/>
  <c r="C215" i="2"/>
  <c r="N214" i="2"/>
  <c r="F214" i="2"/>
  <c r="J214" i="2" s="1"/>
  <c r="L214" i="2" s="1"/>
  <c r="D214" i="2"/>
  <c r="C214" i="2"/>
  <c r="N213" i="2"/>
  <c r="F213" i="2"/>
  <c r="K213" i="2" s="1"/>
  <c r="D213" i="2"/>
  <c r="C213" i="2"/>
  <c r="N212" i="2"/>
  <c r="F212" i="2"/>
  <c r="K212" i="2" s="1"/>
  <c r="D212" i="2"/>
  <c r="C212" i="2"/>
  <c r="N211" i="2"/>
  <c r="F211" i="2"/>
  <c r="D211" i="2"/>
  <c r="C211" i="2"/>
  <c r="N210" i="2"/>
  <c r="F210" i="2"/>
  <c r="K210" i="2" s="1"/>
  <c r="D210" i="2"/>
  <c r="C210" i="2"/>
  <c r="N209" i="2"/>
  <c r="F209" i="2"/>
  <c r="J209" i="2" s="1"/>
  <c r="L209" i="2" s="1"/>
  <c r="D209" i="2"/>
  <c r="C209" i="2"/>
  <c r="N208" i="2"/>
  <c r="F208" i="2"/>
  <c r="K208" i="2" s="1"/>
  <c r="D208" i="2"/>
  <c r="C208" i="2"/>
  <c r="N207" i="2"/>
  <c r="F207" i="2"/>
  <c r="D207" i="2"/>
  <c r="C207" i="2"/>
  <c r="N206" i="2"/>
  <c r="F206" i="2"/>
  <c r="K206" i="2" s="1"/>
  <c r="D206" i="2"/>
  <c r="C206" i="2"/>
  <c r="N205" i="2"/>
  <c r="F205" i="2"/>
  <c r="J205" i="2" s="1"/>
  <c r="L205" i="2" s="1"/>
  <c r="D205" i="2"/>
  <c r="C205" i="2"/>
  <c r="N204" i="2"/>
  <c r="F204" i="2"/>
  <c r="D204" i="2"/>
  <c r="C204" i="2"/>
  <c r="N203" i="2"/>
  <c r="F203" i="2"/>
  <c r="K203" i="2" s="1"/>
  <c r="D203" i="2"/>
  <c r="C203" i="2"/>
  <c r="N202" i="2"/>
  <c r="F202" i="2"/>
  <c r="D202" i="2"/>
  <c r="C202" i="2"/>
  <c r="N201" i="2"/>
  <c r="F201" i="2"/>
  <c r="D201" i="2"/>
  <c r="C201" i="2"/>
  <c r="N200" i="2"/>
  <c r="F200" i="2"/>
  <c r="K200" i="2" s="1"/>
  <c r="D200" i="2"/>
  <c r="C200" i="2"/>
  <c r="N199" i="2"/>
  <c r="F199" i="2"/>
  <c r="D199" i="2"/>
  <c r="C199" i="2"/>
  <c r="N198" i="2"/>
  <c r="F198" i="2"/>
  <c r="J198" i="2" s="1"/>
  <c r="L198" i="2" s="1"/>
  <c r="D198" i="2"/>
  <c r="C198" i="2"/>
  <c r="N197" i="2"/>
  <c r="F197" i="2"/>
  <c r="J197" i="2" s="1"/>
  <c r="L197" i="2" s="1"/>
  <c r="D197" i="2"/>
  <c r="C197" i="2"/>
  <c r="N196" i="2"/>
  <c r="F196" i="2"/>
  <c r="D196" i="2"/>
  <c r="C196" i="2"/>
  <c r="N195" i="2"/>
  <c r="F195" i="2"/>
  <c r="D195" i="2"/>
  <c r="C195" i="2"/>
  <c r="N194" i="2"/>
  <c r="F194" i="2"/>
  <c r="D194" i="2"/>
  <c r="C194" i="2"/>
  <c r="N193" i="2"/>
  <c r="F193" i="2"/>
  <c r="K193" i="2" s="1"/>
  <c r="D193" i="2"/>
  <c r="C193" i="2"/>
  <c r="N192" i="2"/>
  <c r="F192" i="2"/>
  <c r="D192" i="2"/>
  <c r="C192" i="2"/>
  <c r="N191" i="2"/>
  <c r="F191" i="2"/>
  <c r="K191" i="2" s="1"/>
  <c r="D191" i="2"/>
  <c r="C191" i="2"/>
  <c r="N190" i="2"/>
  <c r="F190" i="2"/>
  <c r="K190" i="2" s="1"/>
  <c r="D190" i="2"/>
  <c r="C190" i="2"/>
  <c r="N189" i="2"/>
  <c r="F189" i="2"/>
  <c r="D189" i="2"/>
  <c r="C189" i="2"/>
  <c r="N188" i="2"/>
  <c r="F188" i="2"/>
  <c r="K188" i="2" s="1"/>
  <c r="D188" i="2"/>
  <c r="C188" i="2"/>
  <c r="N187" i="2"/>
  <c r="F187" i="2"/>
  <c r="D187" i="2"/>
  <c r="C187" i="2"/>
  <c r="N186" i="2"/>
  <c r="F186" i="2"/>
  <c r="J186" i="2" s="1"/>
  <c r="L186" i="2" s="1"/>
  <c r="D186" i="2"/>
  <c r="C186" i="2"/>
  <c r="N185" i="2"/>
  <c r="F185" i="2"/>
  <c r="D185" i="2"/>
  <c r="C185" i="2"/>
  <c r="N184" i="2"/>
  <c r="F184" i="2"/>
  <c r="K184" i="2" s="1"/>
  <c r="D184" i="2"/>
  <c r="C184" i="2"/>
  <c r="N183" i="2"/>
  <c r="F183" i="2"/>
  <c r="D183" i="2"/>
  <c r="C183" i="2"/>
  <c r="N182" i="2"/>
  <c r="F182" i="2"/>
  <c r="D182" i="2"/>
  <c r="C182" i="2"/>
  <c r="N181" i="2"/>
  <c r="F181" i="2"/>
  <c r="K181" i="2" s="1"/>
  <c r="D181" i="2"/>
  <c r="C181" i="2"/>
  <c r="N180" i="2"/>
  <c r="F180" i="2"/>
  <c r="K180" i="2" s="1"/>
  <c r="D180" i="2"/>
  <c r="C180" i="2"/>
  <c r="N179" i="2"/>
  <c r="F179" i="2"/>
  <c r="K179" i="2" s="1"/>
  <c r="D179" i="2"/>
  <c r="C179" i="2"/>
  <c r="N178" i="2"/>
  <c r="F178" i="2"/>
  <c r="J178" i="2" s="1"/>
  <c r="L178" i="2" s="1"/>
  <c r="D178" i="2"/>
  <c r="C178" i="2"/>
  <c r="N177" i="2"/>
  <c r="F177" i="2"/>
  <c r="J177" i="2" s="1"/>
  <c r="L177" i="2" s="1"/>
  <c r="D177" i="2"/>
  <c r="C177" i="2"/>
  <c r="N176" i="2"/>
  <c r="F176" i="2"/>
  <c r="D176" i="2"/>
  <c r="C176" i="2"/>
  <c r="N175" i="2"/>
  <c r="F175" i="2"/>
  <c r="D175" i="2"/>
  <c r="C175" i="2"/>
  <c r="N174" i="2"/>
  <c r="F174" i="2"/>
  <c r="K174" i="2" s="1"/>
  <c r="D174" i="2"/>
  <c r="C174" i="2"/>
  <c r="N173" i="2"/>
  <c r="F173" i="2"/>
  <c r="D173" i="2"/>
  <c r="C173" i="2"/>
  <c r="N172" i="2"/>
  <c r="F172" i="2"/>
  <c r="D172" i="2"/>
  <c r="C172" i="2"/>
  <c r="N171" i="2"/>
  <c r="F171" i="2"/>
  <c r="D171" i="2"/>
  <c r="C171" i="2"/>
  <c r="N170" i="2"/>
  <c r="F170" i="2"/>
  <c r="K170" i="2" s="1"/>
  <c r="D170" i="2"/>
  <c r="C170" i="2"/>
  <c r="N169" i="2"/>
  <c r="F169" i="2"/>
  <c r="J169" i="2" s="1"/>
  <c r="L169" i="2" s="1"/>
  <c r="D169" i="2"/>
  <c r="C169" i="2"/>
  <c r="N168" i="2"/>
  <c r="F168" i="2"/>
  <c r="K168" i="2" s="1"/>
  <c r="D168" i="2"/>
  <c r="C168" i="2"/>
  <c r="N167" i="2"/>
  <c r="F167" i="2"/>
  <c r="K167" i="2" s="1"/>
  <c r="D167" i="2"/>
  <c r="C167" i="2"/>
  <c r="N166" i="2"/>
  <c r="F166" i="2"/>
  <c r="K166" i="2" s="1"/>
  <c r="D166" i="2"/>
  <c r="C166" i="2"/>
  <c r="N165" i="2"/>
  <c r="F165" i="2"/>
  <c r="D165" i="2"/>
  <c r="C165" i="2"/>
  <c r="N164" i="2"/>
  <c r="F164" i="2"/>
  <c r="K164" i="2" s="1"/>
  <c r="D164" i="2"/>
  <c r="C164" i="2"/>
  <c r="N163" i="2"/>
  <c r="F163" i="2"/>
  <c r="J163" i="2" s="1"/>
  <c r="L163" i="2" s="1"/>
  <c r="D163" i="2"/>
  <c r="C163" i="2"/>
  <c r="N162" i="2"/>
  <c r="F162" i="2"/>
  <c r="D162" i="2"/>
  <c r="C162" i="2"/>
  <c r="N161" i="2"/>
  <c r="F161" i="2"/>
  <c r="K161" i="2" s="1"/>
  <c r="D161" i="2"/>
  <c r="C161" i="2"/>
  <c r="N160" i="2"/>
  <c r="F160" i="2"/>
  <c r="K160" i="2" s="1"/>
  <c r="D160" i="2"/>
  <c r="C160" i="2"/>
  <c r="N159" i="2"/>
  <c r="F159" i="2"/>
  <c r="K159" i="2" s="1"/>
  <c r="D159" i="2"/>
  <c r="C159" i="2"/>
  <c r="N158" i="2"/>
  <c r="F158" i="2"/>
  <c r="J158" i="2" s="1"/>
  <c r="L158" i="2" s="1"/>
  <c r="D158" i="2"/>
  <c r="C158" i="2"/>
  <c r="N157" i="2"/>
  <c r="F157" i="2"/>
  <c r="J157" i="2" s="1"/>
  <c r="L157" i="2" s="1"/>
  <c r="D157" i="2"/>
  <c r="C157" i="2"/>
  <c r="N156" i="2"/>
  <c r="F156" i="2"/>
  <c r="K156" i="2" s="1"/>
  <c r="D156" i="2"/>
  <c r="C156" i="2"/>
  <c r="N155" i="2"/>
  <c r="F155" i="2"/>
  <c r="D155" i="2"/>
  <c r="C155" i="2"/>
  <c r="N154" i="2"/>
  <c r="F154" i="2"/>
  <c r="J154" i="2" s="1"/>
  <c r="L154" i="2" s="1"/>
  <c r="D154" i="2"/>
  <c r="C154" i="2"/>
  <c r="N153" i="2"/>
  <c r="F153" i="2"/>
  <c r="D153" i="2"/>
  <c r="C153" i="2"/>
  <c r="N152" i="2"/>
  <c r="F152" i="2"/>
  <c r="K152" i="2" s="1"/>
  <c r="D152" i="2"/>
  <c r="C152" i="2"/>
  <c r="N151" i="2"/>
  <c r="F151" i="2"/>
  <c r="K151" i="2" s="1"/>
  <c r="D151" i="2"/>
  <c r="C151" i="2"/>
  <c r="N150" i="2"/>
  <c r="F150" i="2"/>
  <c r="J150" i="2" s="1"/>
  <c r="L150" i="2" s="1"/>
  <c r="D150" i="2"/>
  <c r="C150" i="2"/>
  <c r="N149" i="2"/>
  <c r="F149" i="2"/>
  <c r="K149" i="2" s="1"/>
  <c r="D149" i="2"/>
  <c r="C149" i="2"/>
  <c r="N148" i="2"/>
  <c r="F148" i="2"/>
  <c r="K148" i="2" s="1"/>
  <c r="D148" i="2"/>
  <c r="C148" i="2"/>
  <c r="N147" i="2"/>
  <c r="F147" i="2"/>
  <c r="J147" i="2" s="1"/>
  <c r="L147" i="2" s="1"/>
  <c r="D147" i="2"/>
  <c r="C147" i="2"/>
  <c r="N146" i="2"/>
  <c r="F146" i="2"/>
  <c r="D146" i="2"/>
  <c r="C146" i="2"/>
  <c r="N145" i="2"/>
  <c r="F145" i="2"/>
  <c r="D145" i="2"/>
  <c r="C145" i="2"/>
  <c r="N144" i="2"/>
  <c r="F144" i="2"/>
  <c r="J144" i="2" s="1"/>
  <c r="L144" i="2" s="1"/>
  <c r="D144" i="2"/>
  <c r="C144" i="2"/>
  <c r="N143" i="2"/>
  <c r="F143" i="2"/>
  <c r="J143" i="2" s="1"/>
  <c r="L143" i="2" s="1"/>
  <c r="D143" i="2"/>
  <c r="C143" i="2"/>
  <c r="N142" i="2"/>
  <c r="F142" i="2"/>
  <c r="D142" i="2"/>
  <c r="C142" i="2"/>
  <c r="N141" i="2"/>
  <c r="F141" i="2"/>
  <c r="J141" i="2" s="1"/>
  <c r="L141" i="2" s="1"/>
  <c r="D141" i="2"/>
  <c r="C141" i="2"/>
  <c r="N140" i="2"/>
  <c r="F140" i="2"/>
  <c r="D140" i="2"/>
  <c r="C140" i="2"/>
  <c r="N139" i="2"/>
  <c r="F139" i="2"/>
  <c r="K139" i="2" s="1"/>
  <c r="D139" i="2"/>
  <c r="C139" i="2"/>
  <c r="N138" i="2"/>
  <c r="F138" i="2"/>
  <c r="D138" i="2"/>
  <c r="C138" i="2"/>
  <c r="N137" i="2"/>
  <c r="F137" i="2"/>
  <c r="J137" i="2" s="1"/>
  <c r="L137" i="2" s="1"/>
  <c r="D137" i="2"/>
  <c r="C137" i="2"/>
  <c r="N136" i="2"/>
  <c r="F136" i="2"/>
  <c r="K136" i="2" s="1"/>
  <c r="D136" i="2"/>
  <c r="C136" i="2"/>
  <c r="N135" i="2"/>
  <c r="F135" i="2"/>
  <c r="J135" i="2" s="1"/>
  <c r="L135" i="2" s="1"/>
  <c r="D135" i="2"/>
  <c r="C135" i="2"/>
  <c r="N134" i="2"/>
  <c r="F134" i="2"/>
  <c r="J134" i="2" s="1"/>
  <c r="L134" i="2" s="1"/>
  <c r="D134" i="2"/>
  <c r="C134" i="2"/>
  <c r="N133" i="2"/>
  <c r="F133" i="2"/>
  <c r="D133" i="2"/>
  <c r="C133" i="2"/>
  <c r="N132" i="2"/>
  <c r="F132" i="2"/>
  <c r="K132" i="2" s="1"/>
  <c r="D132" i="2"/>
  <c r="C132" i="2"/>
  <c r="N131" i="2"/>
  <c r="F131" i="2"/>
  <c r="J131" i="2" s="1"/>
  <c r="L131" i="2" s="1"/>
  <c r="D131" i="2"/>
  <c r="C131" i="2"/>
  <c r="N130" i="2"/>
  <c r="F130" i="2"/>
  <c r="D130" i="2"/>
  <c r="C130" i="2"/>
  <c r="N129" i="2"/>
  <c r="F129" i="2"/>
  <c r="J129" i="2" s="1"/>
  <c r="L129" i="2" s="1"/>
  <c r="D129" i="2"/>
  <c r="C129" i="2"/>
  <c r="N128" i="2"/>
  <c r="F128" i="2"/>
  <c r="K128" i="2" s="1"/>
  <c r="D128" i="2"/>
  <c r="C128" i="2"/>
  <c r="N127" i="2"/>
  <c r="F127" i="2"/>
  <c r="D127" i="2"/>
  <c r="C127" i="2"/>
  <c r="N126" i="2"/>
  <c r="F126" i="2"/>
  <c r="J126" i="2" s="1"/>
  <c r="L126" i="2" s="1"/>
  <c r="D126" i="2"/>
  <c r="C126" i="2"/>
  <c r="N125" i="2"/>
  <c r="F125" i="2"/>
  <c r="J125" i="2" s="1"/>
  <c r="L125" i="2" s="1"/>
  <c r="D125" i="2"/>
  <c r="C125" i="2"/>
  <c r="N124" i="2"/>
  <c r="F124" i="2"/>
  <c r="K124" i="2" s="1"/>
  <c r="D124" i="2"/>
  <c r="C124" i="2"/>
  <c r="N123" i="2"/>
  <c r="F123" i="2"/>
  <c r="K123" i="2" s="1"/>
  <c r="D123" i="2"/>
  <c r="C123" i="2"/>
  <c r="N122" i="2"/>
  <c r="F122" i="2"/>
  <c r="K122" i="2" s="1"/>
  <c r="D122" i="2"/>
  <c r="C122" i="2"/>
  <c r="N121" i="2"/>
  <c r="F121" i="2"/>
  <c r="K121" i="2" s="1"/>
  <c r="D121" i="2"/>
  <c r="C121" i="2"/>
  <c r="N120" i="2"/>
  <c r="F120" i="2"/>
  <c r="K120" i="2" s="1"/>
  <c r="D120" i="2"/>
  <c r="C120" i="2"/>
  <c r="N119" i="2"/>
  <c r="F119" i="2"/>
  <c r="J119" i="2" s="1"/>
  <c r="L119" i="2" s="1"/>
  <c r="D119" i="2"/>
  <c r="C119" i="2"/>
  <c r="N118" i="2"/>
  <c r="F118" i="2"/>
  <c r="D118" i="2"/>
  <c r="C118" i="2"/>
  <c r="N117" i="2"/>
  <c r="F117" i="2"/>
  <c r="K117" i="2" s="1"/>
  <c r="D117" i="2"/>
  <c r="C117" i="2"/>
  <c r="N116" i="2"/>
  <c r="F116" i="2"/>
  <c r="J116" i="2" s="1"/>
  <c r="L116" i="2" s="1"/>
  <c r="D116" i="2"/>
  <c r="C116" i="2"/>
  <c r="N115" i="2"/>
  <c r="F115" i="2"/>
  <c r="D115" i="2"/>
  <c r="C115" i="2"/>
  <c r="N114" i="2"/>
  <c r="F114" i="2"/>
  <c r="K114" i="2" s="1"/>
  <c r="D114" i="2"/>
  <c r="C114" i="2"/>
  <c r="N113" i="2"/>
  <c r="F113" i="2"/>
  <c r="K113" i="2" s="1"/>
  <c r="D113" i="2"/>
  <c r="C113" i="2"/>
  <c r="N112" i="2"/>
  <c r="F112" i="2"/>
  <c r="K112" i="2" s="1"/>
  <c r="D112" i="2"/>
  <c r="C112" i="2"/>
  <c r="N111" i="2"/>
  <c r="F111" i="2"/>
  <c r="K111" i="2" s="1"/>
  <c r="D111" i="2"/>
  <c r="C111" i="2"/>
  <c r="N110" i="2"/>
  <c r="F110" i="2"/>
  <c r="D110" i="2"/>
  <c r="C110" i="2"/>
  <c r="N109" i="2"/>
  <c r="F109" i="2"/>
  <c r="K109" i="2" s="1"/>
  <c r="D109" i="2"/>
  <c r="C109" i="2"/>
  <c r="N108" i="2"/>
  <c r="F108" i="2"/>
  <c r="K108" i="2" s="1"/>
  <c r="D108" i="2"/>
  <c r="C108" i="2"/>
  <c r="N107" i="2"/>
  <c r="F107" i="2"/>
  <c r="K107" i="2" s="1"/>
  <c r="D107" i="2"/>
  <c r="C107" i="2"/>
  <c r="N106" i="2"/>
  <c r="F106" i="2"/>
  <c r="D106" i="2"/>
  <c r="C106" i="2"/>
  <c r="N105" i="2"/>
  <c r="F105" i="2"/>
  <c r="D105" i="2"/>
  <c r="C105" i="2"/>
  <c r="N104" i="2"/>
  <c r="F104" i="2"/>
  <c r="J104" i="2" s="1"/>
  <c r="L104" i="2" s="1"/>
  <c r="D104" i="2"/>
  <c r="C104" i="2"/>
  <c r="N103" i="2"/>
  <c r="F103" i="2"/>
  <c r="D103" i="2"/>
  <c r="C103" i="2"/>
  <c r="N102" i="2"/>
  <c r="F102" i="2"/>
  <c r="D102" i="2"/>
  <c r="C102" i="2"/>
  <c r="N101" i="2"/>
  <c r="F101" i="2"/>
  <c r="K101" i="2" s="1"/>
  <c r="D101" i="2"/>
  <c r="C101" i="2"/>
  <c r="N100" i="2"/>
  <c r="F100" i="2"/>
  <c r="J100" i="2" s="1"/>
  <c r="L100" i="2" s="1"/>
  <c r="D100" i="2"/>
  <c r="C100" i="2"/>
  <c r="N99" i="2"/>
  <c r="F99" i="2"/>
  <c r="D99" i="2"/>
  <c r="C99" i="2"/>
  <c r="N98" i="2"/>
  <c r="F98" i="2"/>
  <c r="J98" i="2" s="1"/>
  <c r="L98" i="2" s="1"/>
  <c r="D98" i="2"/>
  <c r="C98" i="2"/>
  <c r="N97" i="2"/>
  <c r="F97" i="2"/>
  <c r="D97" i="2"/>
  <c r="C97" i="2"/>
  <c r="N96" i="2"/>
  <c r="F96" i="2"/>
  <c r="D96" i="2"/>
  <c r="C96" i="2"/>
  <c r="N95" i="2"/>
  <c r="F95" i="2"/>
  <c r="D95" i="2"/>
  <c r="C95" i="2"/>
  <c r="N94" i="2"/>
  <c r="F94" i="2"/>
  <c r="K94" i="2" s="1"/>
  <c r="D94" i="2"/>
  <c r="C94" i="2"/>
  <c r="N93" i="2"/>
  <c r="F93" i="2"/>
  <c r="D93" i="2"/>
  <c r="C93" i="2"/>
  <c r="N92" i="2"/>
  <c r="F92" i="2"/>
  <c r="K92" i="2" s="1"/>
  <c r="D92" i="2"/>
  <c r="C92" i="2"/>
  <c r="N91" i="2"/>
  <c r="F91" i="2"/>
  <c r="J91" i="2" s="1"/>
  <c r="L91" i="2" s="1"/>
  <c r="D91" i="2"/>
  <c r="C91" i="2"/>
  <c r="N90" i="2"/>
  <c r="F90" i="2"/>
  <c r="K90" i="2" s="1"/>
  <c r="D90" i="2"/>
  <c r="C90" i="2"/>
  <c r="N89" i="2"/>
  <c r="F89" i="2"/>
  <c r="K89" i="2" s="1"/>
  <c r="D89" i="2"/>
  <c r="C89" i="2"/>
  <c r="N88" i="2"/>
  <c r="F88" i="2"/>
  <c r="D88" i="2"/>
  <c r="C88" i="2"/>
  <c r="N87" i="2"/>
  <c r="F87" i="2"/>
  <c r="K87" i="2" s="1"/>
  <c r="D87" i="2"/>
  <c r="C87" i="2"/>
  <c r="N86" i="2"/>
  <c r="F86" i="2"/>
  <c r="K86" i="2" s="1"/>
  <c r="D86" i="2"/>
  <c r="C86" i="2"/>
  <c r="N85" i="2"/>
  <c r="F85" i="2"/>
  <c r="K85" i="2" s="1"/>
  <c r="D85" i="2"/>
  <c r="C85" i="2"/>
  <c r="N84" i="2"/>
  <c r="F84" i="2"/>
  <c r="K84" i="2" s="1"/>
  <c r="D84" i="2"/>
  <c r="C84" i="2"/>
  <c r="N83" i="2"/>
  <c r="F83" i="2"/>
  <c r="D83" i="2"/>
  <c r="C83" i="2"/>
  <c r="N82" i="2"/>
  <c r="F82" i="2"/>
  <c r="J82" i="2" s="1"/>
  <c r="L82" i="2" s="1"/>
  <c r="D82" i="2"/>
  <c r="C82" i="2"/>
  <c r="N81" i="2"/>
  <c r="F81" i="2"/>
  <c r="D81" i="2"/>
  <c r="C81" i="2"/>
  <c r="N80" i="2"/>
  <c r="F80" i="2"/>
  <c r="K80" i="2" s="1"/>
  <c r="D80" i="2"/>
  <c r="C80" i="2"/>
  <c r="N79" i="2"/>
  <c r="F79" i="2"/>
  <c r="K79" i="2" s="1"/>
  <c r="D79" i="2"/>
  <c r="C79" i="2"/>
  <c r="N78" i="2"/>
  <c r="F78" i="2"/>
  <c r="K78" i="2" s="1"/>
  <c r="D78" i="2"/>
  <c r="C78" i="2"/>
  <c r="N77" i="2"/>
  <c r="F77" i="2"/>
  <c r="D77" i="2"/>
  <c r="C77" i="2"/>
  <c r="N76" i="2"/>
  <c r="F76" i="2"/>
  <c r="K76" i="2" s="1"/>
  <c r="D76" i="2"/>
  <c r="C76" i="2"/>
  <c r="N75" i="2"/>
  <c r="F75" i="2"/>
  <c r="D75" i="2"/>
  <c r="C75" i="2"/>
  <c r="N74" i="2"/>
  <c r="F74" i="2"/>
  <c r="J74" i="2" s="1"/>
  <c r="L74" i="2" s="1"/>
  <c r="D74" i="2"/>
  <c r="C74" i="2"/>
  <c r="N73" i="2"/>
  <c r="F73" i="2"/>
  <c r="J73" i="2" s="1"/>
  <c r="L73" i="2" s="1"/>
  <c r="D73" i="2"/>
  <c r="C73" i="2"/>
  <c r="N72" i="2"/>
  <c r="F72" i="2"/>
  <c r="K72" i="2" s="1"/>
  <c r="D72" i="2"/>
  <c r="C72" i="2"/>
  <c r="N71" i="2"/>
  <c r="F71" i="2"/>
  <c r="D71" i="2"/>
  <c r="C71" i="2"/>
  <c r="N70" i="2"/>
  <c r="F70" i="2"/>
  <c r="J70" i="2" s="1"/>
  <c r="L70" i="2" s="1"/>
  <c r="D70" i="2"/>
  <c r="C70" i="2"/>
  <c r="N69" i="2"/>
  <c r="F69" i="2"/>
  <c r="J69" i="2" s="1"/>
  <c r="L69" i="2" s="1"/>
  <c r="D69" i="2"/>
  <c r="C69" i="2"/>
  <c r="N68" i="2"/>
  <c r="F68" i="2"/>
  <c r="K68" i="2" s="1"/>
  <c r="D68" i="2"/>
  <c r="C68" i="2"/>
  <c r="N67" i="2"/>
  <c r="F67" i="2"/>
  <c r="K67" i="2" s="1"/>
  <c r="D67" i="2"/>
  <c r="C67" i="2"/>
  <c r="N66" i="2"/>
  <c r="F66" i="2"/>
  <c r="K66" i="2" s="1"/>
  <c r="D66" i="2"/>
  <c r="C66" i="2"/>
  <c r="N65" i="2"/>
  <c r="F65" i="2"/>
  <c r="K65" i="2" s="1"/>
  <c r="D65" i="2"/>
  <c r="C65" i="2"/>
  <c r="N64" i="2"/>
  <c r="F64" i="2"/>
  <c r="K64" i="2" s="1"/>
  <c r="D64" i="2"/>
  <c r="C64" i="2"/>
  <c r="N63" i="2"/>
  <c r="F63" i="2"/>
  <c r="D63" i="2"/>
  <c r="C63" i="2"/>
  <c r="N62" i="2"/>
  <c r="F62" i="2"/>
  <c r="K62" i="2" s="1"/>
  <c r="D62" i="2"/>
  <c r="C62" i="2"/>
  <c r="N61" i="2"/>
  <c r="F61" i="2"/>
  <c r="J61" i="2" s="1"/>
  <c r="L61" i="2" s="1"/>
  <c r="D61" i="2"/>
  <c r="C61" i="2"/>
  <c r="N60" i="2"/>
  <c r="F60" i="2"/>
  <c r="D60" i="2"/>
  <c r="C60" i="2"/>
  <c r="N59" i="2"/>
  <c r="F59" i="2"/>
  <c r="D59" i="2"/>
  <c r="C59" i="2"/>
  <c r="N58" i="2"/>
  <c r="F58" i="2"/>
  <c r="K58" i="2" s="1"/>
  <c r="D58" i="2"/>
  <c r="C58" i="2"/>
  <c r="N57" i="2"/>
  <c r="F57" i="2"/>
  <c r="D57" i="2"/>
  <c r="C57" i="2"/>
  <c r="N56" i="2"/>
  <c r="F56" i="2"/>
  <c r="K56" i="2" s="1"/>
  <c r="D56" i="2"/>
  <c r="C56" i="2"/>
  <c r="N55" i="2"/>
  <c r="F55" i="2"/>
  <c r="K55" i="2" s="1"/>
  <c r="D55" i="2"/>
  <c r="C55" i="2"/>
  <c r="N54" i="2"/>
  <c r="F54" i="2"/>
  <c r="D54" i="2"/>
  <c r="C54" i="2"/>
  <c r="N53" i="2"/>
  <c r="F53" i="2"/>
  <c r="D53" i="2"/>
  <c r="C53" i="2"/>
  <c r="N52" i="2"/>
  <c r="F52" i="2"/>
  <c r="D52" i="2"/>
  <c r="C52" i="2"/>
  <c r="N51" i="2"/>
  <c r="F51" i="2"/>
  <c r="D51" i="2"/>
  <c r="C51" i="2"/>
  <c r="N50" i="2"/>
  <c r="F50" i="2"/>
  <c r="K50" i="2" s="1"/>
  <c r="D50" i="2"/>
  <c r="C50" i="2"/>
  <c r="N49" i="2"/>
  <c r="F49" i="2"/>
  <c r="K49" i="2" s="1"/>
  <c r="D49" i="2"/>
  <c r="C49" i="2"/>
  <c r="N48" i="2"/>
  <c r="F48" i="2"/>
  <c r="J48" i="2" s="1"/>
  <c r="L48" i="2" s="1"/>
  <c r="D48" i="2"/>
  <c r="C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L976" i="1"/>
  <c r="K976" i="1"/>
  <c r="H976" i="1"/>
  <c r="G976" i="1"/>
  <c r="D976" i="1"/>
  <c r="C976" i="1"/>
  <c r="L975" i="1"/>
  <c r="K975" i="1"/>
  <c r="H975" i="1"/>
  <c r="G975" i="1"/>
  <c r="J975" i="1" s="1"/>
  <c r="D975" i="1"/>
  <c r="C975" i="1"/>
  <c r="L974" i="1"/>
  <c r="K974" i="1"/>
  <c r="H974" i="1"/>
  <c r="G974" i="1"/>
  <c r="M974" i="1" s="1"/>
  <c r="D974" i="1"/>
  <c r="C974" i="1"/>
  <c r="L973" i="1"/>
  <c r="K973" i="1"/>
  <c r="H973" i="1"/>
  <c r="G973" i="1"/>
  <c r="D973" i="1"/>
  <c r="C973" i="1"/>
  <c r="L972" i="1"/>
  <c r="K972" i="1"/>
  <c r="H972" i="1"/>
  <c r="G972" i="1"/>
  <c r="J972" i="1" s="1"/>
  <c r="D972" i="1"/>
  <c r="C972" i="1"/>
  <c r="L971" i="1"/>
  <c r="K971" i="1"/>
  <c r="H971" i="1"/>
  <c r="G971" i="1"/>
  <c r="M971" i="1" s="1"/>
  <c r="D971" i="1"/>
  <c r="C971" i="1"/>
  <c r="L970" i="1"/>
  <c r="K970" i="1"/>
  <c r="H970" i="1"/>
  <c r="G970" i="1"/>
  <c r="M970" i="1" s="1"/>
  <c r="D970" i="1"/>
  <c r="C970" i="1"/>
  <c r="L969" i="1"/>
  <c r="K969" i="1"/>
  <c r="H969" i="1"/>
  <c r="G969" i="1"/>
  <c r="M969" i="1" s="1"/>
  <c r="D969" i="1"/>
  <c r="C969" i="1"/>
  <c r="L968" i="1"/>
  <c r="K968" i="1"/>
  <c r="H968" i="1"/>
  <c r="G968" i="1"/>
  <c r="D968" i="1"/>
  <c r="C968" i="1"/>
  <c r="L967" i="1"/>
  <c r="K967" i="1"/>
  <c r="H967" i="1"/>
  <c r="G967" i="1"/>
  <c r="M967" i="1" s="1"/>
  <c r="D967" i="1"/>
  <c r="C967" i="1"/>
  <c r="L966" i="1"/>
  <c r="K966" i="1"/>
  <c r="H966" i="1"/>
  <c r="G966" i="1"/>
  <c r="D966" i="1"/>
  <c r="C966" i="1"/>
  <c r="L965" i="1"/>
  <c r="K965" i="1"/>
  <c r="H965" i="1"/>
  <c r="G965" i="1"/>
  <c r="I965" i="1" s="1"/>
  <c r="D965" i="1"/>
  <c r="C965" i="1"/>
  <c r="L964" i="1"/>
  <c r="K964" i="1"/>
  <c r="H964" i="1"/>
  <c r="G964" i="1"/>
  <c r="D964" i="1"/>
  <c r="C964" i="1"/>
  <c r="L963" i="1"/>
  <c r="K963" i="1"/>
  <c r="H963" i="1"/>
  <c r="G963" i="1"/>
  <c r="D963" i="1"/>
  <c r="C963" i="1"/>
  <c r="L962" i="1"/>
  <c r="K962" i="1"/>
  <c r="H962" i="1"/>
  <c r="G962" i="1"/>
  <c r="M962" i="1" s="1"/>
  <c r="D962" i="1"/>
  <c r="C962" i="1"/>
  <c r="L961" i="1"/>
  <c r="K961" i="1"/>
  <c r="H961" i="1"/>
  <c r="G961" i="1"/>
  <c r="D961" i="1"/>
  <c r="C961" i="1"/>
  <c r="L960" i="1"/>
  <c r="K960" i="1"/>
  <c r="H960" i="1"/>
  <c r="G960" i="1"/>
  <c r="D960" i="1"/>
  <c r="C960" i="1"/>
  <c r="L959" i="1"/>
  <c r="K959" i="1"/>
  <c r="H959" i="1"/>
  <c r="G959" i="1"/>
  <c r="D959" i="1"/>
  <c r="C959" i="1"/>
  <c r="L958" i="1"/>
  <c r="K958" i="1"/>
  <c r="H958" i="1"/>
  <c r="G958" i="1"/>
  <c r="D958" i="1"/>
  <c r="C958" i="1"/>
  <c r="L957" i="1"/>
  <c r="K957" i="1"/>
  <c r="H957" i="1"/>
  <c r="G957" i="1"/>
  <c r="J957" i="1" s="1"/>
  <c r="D957" i="1"/>
  <c r="C957" i="1"/>
  <c r="L956" i="1"/>
  <c r="K956" i="1"/>
  <c r="H956" i="1"/>
  <c r="G956" i="1"/>
  <c r="D956" i="1"/>
  <c r="C956" i="1"/>
  <c r="L955" i="1"/>
  <c r="K955" i="1"/>
  <c r="H955" i="1"/>
  <c r="G955" i="1"/>
  <c r="D955" i="1"/>
  <c r="C955" i="1"/>
  <c r="L954" i="1"/>
  <c r="K954" i="1"/>
  <c r="H954" i="1"/>
  <c r="G954" i="1"/>
  <c r="D954" i="1"/>
  <c r="C954" i="1"/>
  <c r="L953" i="1"/>
  <c r="K953" i="1"/>
  <c r="H953" i="1"/>
  <c r="G953" i="1"/>
  <c r="D953" i="1"/>
  <c r="C953" i="1"/>
  <c r="L952" i="1"/>
  <c r="K952" i="1"/>
  <c r="H952" i="1"/>
  <c r="G952" i="1"/>
  <c r="M952" i="1" s="1"/>
  <c r="D952" i="1"/>
  <c r="C952" i="1"/>
  <c r="L951" i="1"/>
  <c r="K951" i="1"/>
  <c r="H951" i="1"/>
  <c r="G951" i="1"/>
  <c r="D951" i="1"/>
  <c r="C951" i="1"/>
  <c r="L950" i="1"/>
  <c r="K950" i="1"/>
  <c r="H950" i="1"/>
  <c r="G950" i="1"/>
  <c r="I950" i="1" s="1"/>
  <c r="D950" i="1"/>
  <c r="C950" i="1"/>
  <c r="L949" i="1"/>
  <c r="K949" i="1"/>
  <c r="H949" i="1"/>
  <c r="G949" i="1"/>
  <c r="M949" i="1" s="1"/>
  <c r="D949" i="1"/>
  <c r="C949" i="1"/>
  <c r="L948" i="1"/>
  <c r="K948" i="1"/>
  <c r="H948" i="1"/>
  <c r="G948" i="1"/>
  <c r="M948" i="1" s="1"/>
  <c r="D948" i="1"/>
  <c r="C948" i="1"/>
  <c r="L947" i="1"/>
  <c r="K947" i="1"/>
  <c r="H947" i="1"/>
  <c r="G947" i="1"/>
  <c r="I947" i="1" s="1"/>
  <c r="D947" i="1"/>
  <c r="C947" i="1"/>
  <c r="L946" i="1"/>
  <c r="K946" i="1"/>
  <c r="H946" i="1"/>
  <c r="G946" i="1"/>
  <c r="M946" i="1" s="1"/>
  <c r="D946" i="1"/>
  <c r="C946" i="1"/>
  <c r="L945" i="1"/>
  <c r="K945" i="1"/>
  <c r="H945" i="1"/>
  <c r="G945" i="1"/>
  <c r="D945" i="1"/>
  <c r="C945" i="1"/>
  <c r="L944" i="1"/>
  <c r="K944" i="1"/>
  <c r="H944" i="1"/>
  <c r="G944" i="1"/>
  <c r="J944" i="1" s="1"/>
  <c r="D944" i="1"/>
  <c r="C944" i="1"/>
  <c r="L943" i="1"/>
  <c r="K943" i="1"/>
  <c r="H943" i="1"/>
  <c r="G943" i="1"/>
  <c r="D943" i="1"/>
  <c r="C943" i="1"/>
  <c r="L942" i="1"/>
  <c r="K942" i="1"/>
  <c r="H942" i="1"/>
  <c r="G942" i="1"/>
  <c r="D942" i="1"/>
  <c r="C942" i="1"/>
  <c r="L941" i="1"/>
  <c r="K941" i="1"/>
  <c r="H941" i="1"/>
  <c r="G941" i="1"/>
  <c r="D941" i="1"/>
  <c r="C941" i="1"/>
  <c r="L940" i="1"/>
  <c r="K940" i="1"/>
  <c r="H940" i="1"/>
  <c r="G940" i="1"/>
  <c r="J940" i="1" s="1"/>
  <c r="D940" i="1"/>
  <c r="C940" i="1"/>
  <c r="L939" i="1"/>
  <c r="K939" i="1"/>
  <c r="H939" i="1"/>
  <c r="G939" i="1"/>
  <c r="M939" i="1" s="1"/>
  <c r="D939" i="1"/>
  <c r="C939" i="1"/>
  <c r="L938" i="1"/>
  <c r="K938" i="1"/>
  <c r="H938" i="1"/>
  <c r="G938" i="1"/>
  <c r="I938" i="1" s="1"/>
  <c r="D938" i="1"/>
  <c r="C938" i="1"/>
  <c r="L937" i="1"/>
  <c r="K937" i="1"/>
  <c r="H937" i="1"/>
  <c r="G937" i="1"/>
  <c r="D937" i="1"/>
  <c r="C937" i="1"/>
  <c r="L936" i="1"/>
  <c r="K936" i="1"/>
  <c r="H936" i="1"/>
  <c r="G936" i="1"/>
  <c r="J936" i="1" s="1"/>
  <c r="D936" i="1"/>
  <c r="C936" i="1"/>
  <c r="L935" i="1"/>
  <c r="K935" i="1"/>
  <c r="H935" i="1"/>
  <c r="G935" i="1"/>
  <c r="M935" i="1" s="1"/>
  <c r="D935" i="1"/>
  <c r="C935" i="1"/>
  <c r="L934" i="1"/>
  <c r="K934" i="1"/>
  <c r="H934" i="1"/>
  <c r="G934" i="1"/>
  <c r="J934" i="1" s="1"/>
  <c r="D934" i="1"/>
  <c r="C934" i="1"/>
  <c r="L933" i="1"/>
  <c r="K933" i="1"/>
  <c r="H933" i="1"/>
  <c r="G933" i="1"/>
  <c r="M933" i="1" s="1"/>
  <c r="D933" i="1"/>
  <c r="C933" i="1"/>
  <c r="L932" i="1"/>
  <c r="K932" i="1"/>
  <c r="H932" i="1"/>
  <c r="G932" i="1"/>
  <c r="D932" i="1"/>
  <c r="C932" i="1"/>
  <c r="L931" i="1"/>
  <c r="K931" i="1"/>
  <c r="H931" i="1"/>
  <c r="G931" i="1"/>
  <c r="D931" i="1"/>
  <c r="C931" i="1"/>
  <c r="L930" i="1"/>
  <c r="K930" i="1"/>
  <c r="H930" i="1"/>
  <c r="G930" i="1"/>
  <c r="M930" i="1" s="1"/>
  <c r="D930" i="1"/>
  <c r="C930" i="1"/>
  <c r="L929" i="1"/>
  <c r="K929" i="1"/>
  <c r="H929" i="1"/>
  <c r="G929" i="1"/>
  <c r="I929" i="1" s="1"/>
  <c r="D929" i="1"/>
  <c r="C929" i="1"/>
  <c r="L928" i="1"/>
  <c r="K928" i="1"/>
  <c r="H928" i="1"/>
  <c r="G928" i="1"/>
  <c r="M928" i="1" s="1"/>
  <c r="D928" i="1"/>
  <c r="C928" i="1"/>
  <c r="L927" i="1"/>
  <c r="K927" i="1"/>
  <c r="H927" i="1"/>
  <c r="G927" i="1"/>
  <c r="D927" i="1"/>
  <c r="C927" i="1"/>
  <c r="L926" i="1"/>
  <c r="K926" i="1"/>
  <c r="H926" i="1"/>
  <c r="G926" i="1"/>
  <c r="M926" i="1" s="1"/>
  <c r="D926" i="1"/>
  <c r="C926" i="1"/>
  <c r="L925" i="1"/>
  <c r="K925" i="1"/>
  <c r="H925" i="1"/>
  <c r="G925" i="1"/>
  <c r="M925" i="1" s="1"/>
  <c r="D925" i="1"/>
  <c r="C925" i="1"/>
  <c r="L924" i="1"/>
  <c r="K924" i="1"/>
  <c r="H924" i="1"/>
  <c r="G924" i="1"/>
  <c r="M924" i="1" s="1"/>
  <c r="D924" i="1"/>
  <c r="C924" i="1"/>
  <c r="L923" i="1"/>
  <c r="K923" i="1"/>
  <c r="H923" i="1"/>
  <c r="G923" i="1"/>
  <c r="M923" i="1" s="1"/>
  <c r="D923" i="1"/>
  <c r="C923" i="1"/>
  <c r="L922" i="1"/>
  <c r="K922" i="1"/>
  <c r="H922" i="1"/>
  <c r="G922" i="1"/>
  <c r="I922" i="1" s="1"/>
  <c r="D922" i="1"/>
  <c r="C922" i="1"/>
  <c r="L921" i="1"/>
  <c r="K921" i="1"/>
  <c r="H921" i="1"/>
  <c r="G921" i="1"/>
  <c r="J921" i="1" s="1"/>
  <c r="D921" i="1"/>
  <c r="C921" i="1"/>
  <c r="L920" i="1"/>
  <c r="K920" i="1"/>
  <c r="H920" i="1"/>
  <c r="G920" i="1"/>
  <c r="M920" i="1" s="1"/>
  <c r="D920" i="1"/>
  <c r="C920" i="1"/>
  <c r="L919" i="1"/>
  <c r="K919" i="1"/>
  <c r="H919" i="1"/>
  <c r="G919" i="1"/>
  <c r="D919" i="1"/>
  <c r="C919" i="1"/>
  <c r="L918" i="1"/>
  <c r="K918" i="1"/>
  <c r="H918" i="1"/>
  <c r="G918" i="1"/>
  <c r="J918" i="1" s="1"/>
  <c r="D918" i="1"/>
  <c r="C918" i="1"/>
  <c r="L917" i="1"/>
  <c r="K917" i="1"/>
  <c r="H917" i="1"/>
  <c r="G917" i="1"/>
  <c r="M917" i="1" s="1"/>
  <c r="D917" i="1"/>
  <c r="C917" i="1"/>
  <c r="L916" i="1"/>
  <c r="K916" i="1"/>
  <c r="H916" i="1"/>
  <c r="G916" i="1"/>
  <c r="D916" i="1"/>
  <c r="C916" i="1"/>
  <c r="L915" i="1"/>
  <c r="K915" i="1"/>
  <c r="H915" i="1"/>
  <c r="G915" i="1"/>
  <c r="I915" i="1" s="1"/>
  <c r="D915" i="1"/>
  <c r="C915" i="1"/>
  <c r="L914" i="1"/>
  <c r="K914" i="1"/>
  <c r="H914" i="1"/>
  <c r="G914" i="1"/>
  <c r="M914" i="1" s="1"/>
  <c r="D914" i="1"/>
  <c r="C914" i="1"/>
  <c r="L913" i="1"/>
  <c r="K913" i="1"/>
  <c r="H913" i="1"/>
  <c r="G913" i="1"/>
  <c r="J913" i="1" s="1"/>
  <c r="D913" i="1"/>
  <c r="C913" i="1"/>
  <c r="L912" i="1"/>
  <c r="K912" i="1"/>
  <c r="H912" i="1"/>
  <c r="G912" i="1"/>
  <c r="D912" i="1"/>
  <c r="C912" i="1"/>
  <c r="L911" i="1"/>
  <c r="K911" i="1"/>
  <c r="H911" i="1"/>
  <c r="G911" i="1"/>
  <c r="M911" i="1" s="1"/>
  <c r="D911" i="1"/>
  <c r="C911" i="1"/>
  <c r="L910" i="1"/>
  <c r="K910" i="1"/>
  <c r="H910" i="1"/>
  <c r="G910" i="1"/>
  <c r="M910" i="1" s="1"/>
  <c r="D910" i="1"/>
  <c r="C910" i="1"/>
  <c r="L909" i="1"/>
  <c r="K909" i="1"/>
  <c r="H909" i="1"/>
  <c r="G909" i="1"/>
  <c r="D909" i="1"/>
  <c r="C909" i="1"/>
  <c r="L908" i="1"/>
  <c r="K908" i="1"/>
  <c r="H908" i="1"/>
  <c r="G908" i="1"/>
  <c r="I908" i="1" s="1"/>
  <c r="D908" i="1"/>
  <c r="C908" i="1"/>
  <c r="L907" i="1"/>
  <c r="K907" i="1"/>
  <c r="H907" i="1"/>
  <c r="G907" i="1"/>
  <c r="D907" i="1"/>
  <c r="C907" i="1"/>
  <c r="L906" i="1"/>
  <c r="K906" i="1"/>
  <c r="H906" i="1"/>
  <c r="G906" i="1"/>
  <c r="I906" i="1" s="1"/>
  <c r="D906" i="1"/>
  <c r="C906" i="1"/>
  <c r="L905" i="1"/>
  <c r="K905" i="1"/>
  <c r="H905" i="1"/>
  <c r="G905" i="1"/>
  <c r="M905" i="1" s="1"/>
  <c r="D905" i="1"/>
  <c r="C905" i="1"/>
  <c r="L904" i="1"/>
  <c r="K904" i="1"/>
  <c r="H904" i="1"/>
  <c r="G904" i="1"/>
  <c r="D904" i="1"/>
  <c r="C904" i="1"/>
  <c r="L903" i="1"/>
  <c r="K903" i="1"/>
  <c r="H903" i="1"/>
  <c r="G903" i="1"/>
  <c r="I903" i="1" s="1"/>
  <c r="D903" i="1"/>
  <c r="C903" i="1"/>
  <c r="L902" i="1"/>
  <c r="K902" i="1"/>
  <c r="H902" i="1"/>
  <c r="G902" i="1"/>
  <c r="M902" i="1" s="1"/>
  <c r="D902" i="1"/>
  <c r="C902" i="1"/>
  <c r="L901" i="1"/>
  <c r="K901" i="1"/>
  <c r="H901" i="1"/>
  <c r="G901" i="1"/>
  <c r="D901" i="1"/>
  <c r="C901" i="1"/>
  <c r="L900" i="1"/>
  <c r="K900" i="1"/>
  <c r="H900" i="1"/>
  <c r="G900" i="1"/>
  <c r="M900" i="1" s="1"/>
  <c r="D900" i="1"/>
  <c r="C900" i="1"/>
  <c r="L899" i="1"/>
  <c r="K899" i="1"/>
  <c r="H899" i="1"/>
  <c r="G899" i="1"/>
  <c r="I899" i="1" s="1"/>
  <c r="D899" i="1"/>
  <c r="C899" i="1"/>
  <c r="L898" i="1"/>
  <c r="K898" i="1"/>
  <c r="H898" i="1"/>
  <c r="G898" i="1"/>
  <c r="D898" i="1"/>
  <c r="C898" i="1"/>
  <c r="L897" i="1"/>
  <c r="K897" i="1"/>
  <c r="H897" i="1"/>
  <c r="G897" i="1"/>
  <c r="J897" i="1" s="1"/>
  <c r="D897" i="1"/>
  <c r="C897" i="1"/>
  <c r="L896" i="1"/>
  <c r="K896" i="1"/>
  <c r="H896" i="1"/>
  <c r="G896" i="1"/>
  <c r="D896" i="1"/>
  <c r="C896" i="1"/>
  <c r="L895" i="1"/>
  <c r="K895" i="1"/>
  <c r="H895" i="1"/>
  <c r="G895" i="1"/>
  <c r="I895" i="1" s="1"/>
  <c r="D895" i="1"/>
  <c r="C895" i="1"/>
  <c r="L894" i="1"/>
  <c r="K894" i="1"/>
  <c r="H894" i="1"/>
  <c r="G894" i="1"/>
  <c r="M894" i="1" s="1"/>
  <c r="D894" i="1"/>
  <c r="C894" i="1"/>
  <c r="L893" i="1"/>
  <c r="K893" i="1"/>
  <c r="H893" i="1"/>
  <c r="G893" i="1"/>
  <c r="M893" i="1" s="1"/>
  <c r="D893" i="1"/>
  <c r="C893" i="1"/>
  <c r="L892" i="1"/>
  <c r="K892" i="1"/>
  <c r="H892" i="1"/>
  <c r="G892" i="1"/>
  <c r="J892" i="1" s="1"/>
  <c r="D892" i="1"/>
  <c r="C892" i="1"/>
  <c r="L891" i="1"/>
  <c r="K891" i="1"/>
  <c r="H891" i="1"/>
  <c r="G891" i="1"/>
  <c r="I891" i="1" s="1"/>
  <c r="D891" i="1"/>
  <c r="C891" i="1"/>
  <c r="L890" i="1"/>
  <c r="K890" i="1"/>
  <c r="H890" i="1"/>
  <c r="G890" i="1"/>
  <c r="I890" i="1" s="1"/>
  <c r="D890" i="1"/>
  <c r="C890" i="1"/>
  <c r="L889" i="1"/>
  <c r="K889" i="1"/>
  <c r="H889" i="1"/>
  <c r="G889" i="1"/>
  <c r="I889" i="1" s="1"/>
  <c r="D889" i="1"/>
  <c r="C889" i="1"/>
  <c r="L888" i="1"/>
  <c r="K888" i="1"/>
  <c r="H888" i="1"/>
  <c r="G888" i="1"/>
  <c r="I888" i="1" s="1"/>
  <c r="D888" i="1"/>
  <c r="C888" i="1"/>
  <c r="L887" i="1"/>
  <c r="K887" i="1"/>
  <c r="H887" i="1"/>
  <c r="G887" i="1"/>
  <c r="D887" i="1"/>
  <c r="C887" i="1"/>
  <c r="L886" i="1"/>
  <c r="K886" i="1"/>
  <c r="H886" i="1"/>
  <c r="G886" i="1"/>
  <c r="D886" i="1"/>
  <c r="C886" i="1"/>
  <c r="L885" i="1"/>
  <c r="K885" i="1"/>
  <c r="H885" i="1"/>
  <c r="G885" i="1"/>
  <c r="M885" i="1" s="1"/>
  <c r="D885" i="1"/>
  <c r="C885" i="1"/>
  <c r="L884" i="1"/>
  <c r="K884" i="1"/>
  <c r="H884" i="1"/>
  <c r="G884" i="1"/>
  <c r="J884" i="1" s="1"/>
  <c r="D884" i="1"/>
  <c r="C884" i="1"/>
  <c r="L883" i="1"/>
  <c r="K883" i="1"/>
  <c r="H883" i="1"/>
  <c r="G883" i="1"/>
  <c r="D883" i="1"/>
  <c r="C883" i="1"/>
  <c r="L882" i="1"/>
  <c r="K882" i="1"/>
  <c r="H882" i="1"/>
  <c r="G882" i="1"/>
  <c r="D882" i="1"/>
  <c r="C882" i="1"/>
  <c r="L881" i="1"/>
  <c r="K881" i="1"/>
  <c r="H881" i="1"/>
  <c r="G881" i="1"/>
  <c r="M881" i="1" s="1"/>
  <c r="D881" i="1"/>
  <c r="C881" i="1"/>
  <c r="L880" i="1"/>
  <c r="K880" i="1"/>
  <c r="H880" i="1"/>
  <c r="G880" i="1"/>
  <c r="D880" i="1"/>
  <c r="C880" i="1"/>
  <c r="L879" i="1"/>
  <c r="K879" i="1"/>
  <c r="H879" i="1"/>
  <c r="G879" i="1"/>
  <c r="M879" i="1" s="1"/>
  <c r="D879" i="1"/>
  <c r="C879" i="1"/>
  <c r="L878" i="1"/>
  <c r="K878" i="1"/>
  <c r="H878" i="1"/>
  <c r="G878" i="1"/>
  <c r="I878" i="1" s="1"/>
  <c r="D878" i="1"/>
  <c r="C878" i="1"/>
  <c r="L877" i="1"/>
  <c r="K877" i="1"/>
  <c r="H877" i="1"/>
  <c r="G877" i="1"/>
  <c r="I877" i="1" s="1"/>
  <c r="D877" i="1"/>
  <c r="C877" i="1"/>
  <c r="L876" i="1"/>
  <c r="K876" i="1"/>
  <c r="H876" i="1"/>
  <c r="G876" i="1"/>
  <c r="D876" i="1"/>
  <c r="C876" i="1"/>
  <c r="L875" i="1"/>
  <c r="K875" i="1"/>
  <c r="H875" i="1"/>
  <c r="G875" i="1"/>
  <c r="D875" i="1"/>
  <c r="C875" i="1"/>
  <c r="L874" i="1"/>
  <c r="K874" i="1"/>
  <c r="H874" i="1"/>
  <c r="G874" i="1"/>
  <c r="M874" i="1" s="1"/>
  <c r="D874" i="1"/>
  <c r="C874" i="1"/>
  <c r="L873" i="1"/>
  <c r="K873" i="1"/>
  <c r="H873" i="1"/>
  <c r="G873" i="1"/>
  <c r="M873" i="1" s="1"/>
  <c r="D873" i="1"/>
  <c r="C873" i="1"/>
  <c r="L872" i="1"/>
  <c r="K872" i="1"/>
  <c r="H872" i="1"/>
  <c r="G872" i="1"/>
  <c r="I872" i="1" s="1"/>
  <c r="D872" i="1"/>
  <c r="C872" i="1"/>
  <c r="L871" i="1"/>
  <c r="K871" i="1"/>
  <c r="H871" i="1"/>
  <c r="G871" i="1"/>
  <c r="D871" i="1"/>
  <c r="C871" i="1"/>
  <c r="L870" i="1"/>
  <c r="K870" i="1"/>
  <c r="H870" i="1"/>
  <c r="G870" i="1"/>
  <c r="M870" i="1" s="1"/>
  <c r="D870" i="1"/>
  <c r="C870" i="1"/>
  <c r="L869" i="1"/>
  <c r="K869" i="1"/>
  <c r="H869" i="1"/>
  <c r="G869" i="1"/>
  <c r="M869" i="1" s="1"/>
  <c r="D869" i="1"/>
  <c r="C869" i="1"/>
  <c r="L868" i="1"/>
  <c r="K868" i="1"/>
  <c r="H868" i="1"/>
  <c r="G868" i="1"/>
  <c r="D868" i="1"/>
  <c r="C868" i="1"/>
  <c r="L867" i="1"/>
  <c r="K867" i="1"/>
  <c r="H867" i="1"/>
  <c r="G867" i="1"/>
  <c r="M867" i="1" s="1"/>
  <c r="D867" i="1"/>
  <c r="C867" i="1"/>
  <c r="L866" i="1"/>
  <c r="K866" i="1"/>
  <c r="H866" i="1"/>
  <c r="G866" i="1"/>
  <c r="M866" i="1" s="1"/>
  <c r="D866" i="1"/>
  <c r="C866" i="1"/>
  <c r="L865" i="1"/>
  <c r="K865" i="1"/>
  <c r="H865" i="1"/>
  <c r="G865" i="1"/>
  <c r="I865" i="1" s="1"/>
  <c r="D865" i="1"/>
  <c r="C865" i="1"/>
  <c r="L864" i="1"/>
  <c r="K864" i="1"/>
  <c r="H864" i="1"/>
  <c r="G864" i="1"/>
  <c r="D864" i="1"/>
  <c r="C864" i="1"/>
  <c r="L863" i="1"/>
  <c r="K863" i="1"/>
  <c r="H863" i="1"/>
  <c r="G863" i="1"/>
  <c r="D863" i="1"/>
  <c r="C863" i="1"/>
  <c r="L862" i="1"/>
  <c r="K862" i="1"/>
  <c r="H862" i="1"/>
  <c r="G862" i="1"/>
  <c r="M862" i="1" s="1"/>
  <c r="D862" i="1"/>
  <c r="C862" i="1"/>
  <c r="L861" i="1"/>
  <c r="K861" i="1"/>
  <c r="H861" i="1"/>
  <c r="G861" i="1"/>
  <c r="D861" i="1"/>
  <c r="C861" i="1"/>
  <c r="L860" i="1"/>
  <c r="K860" i="1"/>
  <c r="H860" i="1"/>
  <c r="G860" i="1"/>
  <c r="D860" i="1"/>
  <c r="C860" i="1"/>
  <c r="L859" i="1"/>
  <c r="K859" i="1"/>
  <c r="H859" i="1"/>
  <c r="G859" i="1"/>
  <c r="I859" i="1" s="1"/>
  <c r="D859" i="1"/>
  <c r="C859" i="1"/>
  <c r="L858" i="1"/>
  <c r="K858" i="1"/>
  <c r="H858" i="1"/>
  <c r="G858" i="1"/>
  <c r="J858" i="1" s="1"/>
  <c r="D858" i="1"/>
  <c r="C858" i="1"/>
  <c r="L857" i="1"/>
  <c r="K857" i="1"/>
  <c r="H857" i="1"/>
  <c r="G857" i="1"/>
  <c r="M857" i="1" s="1"/>
  <c r="D857" i="1"/>
  <c r="C857" i="1"/>
  <c r="L856" i="1"/>
  <c r="K856" i="1"/>
  <c r="H856" i="1"/>
  <c r="G856" i="1"/>
  <c r="D856" i="1"/>
  <c r="C856" i="1"/>
  <c r="L855" i="1"/>
  <c r="K855" i="1"/>
  <c r="H855" i="1"/>
  <c r="G855" i="1"/>
  <c r="J855" i="1" s="1"/>
  <c r="D855" i="1"/>
  <c r="C855" i="1"/>
  <c r="L854" i="1"/>
  <c r="K854" i="1"/>
  <c r="H854" i="1"/>
  <c r="G854" i="1"/>
  <c r="M854" i="1" s="1"/>
  <c r="D854" i="1"/>
  <c r="C854" i="1"/>
  <c r="L853" i="1"/>
  <c r="K853" i="1"/>
  <c r="H853" i="1"/>
  <c r="G853" i="1"/>
  <c r="D853" i="1"/>
  <c r="C853" i="1"/>
  <c r="L852" i="1"/>
  <c r="K852" i="1"/>
  <c r="H852" i="1"/>
  <c r="G852" i="1"/>
  <c r="I852" i="1" s="1"/>
  <c r="D852" i="1"/>
  <c r="C852" i="1"/>
  <c r="L851" i="1"/>
  <c r="K851" i="1"/>
  <c r="H851" i="1"/>
  <c r="G851" i="1"/>
  <c r="J851" i="1" s="1"/>
  <c r="D851" i="1"/>
  <c r="C851" i="1"/>
  <c r="L850" i="1"/>
  <c r="K850" i="1"/>
  <c r="H850" i="1"/>
  <c r="G850" i="1"/>
  <c r="M850" i="1" s="1"/>
  <c r="D850" i="1"/>
  <c r="C850" i="1"/>
  <c r="L849" i="1"/>
  <c r="K849" i="1"/>
  <c r="H849" i="1"/>
  <c r="G849" i="1"/>
  <c r="M849" i="1" s="1"/>
  <c r="D849" i="1"/>
  <c r="C849" i="1"/>
  <c r="L848" i="1"/>
  <c r="K848" i="1"/>
  <c r="H848" i="1"/>
  <c r="G848" i="1"/>
  <c r="D848" i="1"/>
  <c r="C848" i="1"/>
  <c r="L847" i="1"/>
  <c r="K847" i="1"/>
  <c r="H847" i="1"/>
  <c r="G847" i="1"/>
  <c r="D847" i="1"/>
  <c r="C847" i="1"/>
  <c r="L846" i="1"/>
  <c r="K846" i="1"/>
  <c r="H846" i="1"/>
  <c r="G846" i="1"/>
  <c r="J846" i="1" s="1"/>
  <c r="D846" i="1"/>
  <c r="C846" i="1"/>
  <c r="L845" i="1"/>
  <c r="K845" i="1"/>
  <c r="H845" i="1"/>
  <c r="G845" i="1"/>
  <c r="I845" i="1" s="1"/>
  <c r="D845" i="1"/>
  <c r="C845" i="1"/>
  <c r="L844" i="1"/>
  <c r="K844" i="1"/>
  <c r="H844" i="1"/>
  <c r="G844" i="1"/>
  <c r="D844" i="1"/>
  <c r="C844" i="1"/>
  <c r="L843" i="1"/>
  <c r="K843" i="1"/>
  <c r="H843" i="1"/>
  <c r="G843" i="1"/>
  <c r="D843" i="1"/>
  <c r="C843" i="1"/>
  <c r="L842" i="1"/>
  <c r="K842" i="1"/>
  <c r="H842" i="1"/>
  <c r="G842" i="1"/>
  <c r="M842" i="1" s="1"/>
  <c r="D842" i="1"/>
  <c r="C842" i="1"/>
  <c r="L841" i="1"/>
  <c r="K841" i="1"/>
  <c r="H841" i="1"/>
  <c r="G841" i="1"/>
  <c r="D841" i="1"/>
  <c r="C841" i="1"/>
  <c r="L840" i="1"/>
  <c r="K840" i="1"/>
  <c r="H840" i="1"/>
  <c r="G840" i="1"/>
  <c r="D840" i="1"/>
  <c r="C840" i="1"/>
  <c r="L839" i="1"/>
  <c r="K839" i="1"/>
  <c r="H839" i="1"/>
  <c r="G839" i="1"/>
  <c r="M839" i="1" s="1"/>
  <c r="D839" i="1"/>
  <c r="C839" i="1"/>
  <c r="L838" i="1"/>
  <c r="K838" i="1"/>
  <c r="H838" i="1"/>
  <c r="G838" i="1"/>
  <c r="D838" i="1"/>
  <c r="C838" i="1"/>
  <c r="L837" i="1"/>
  <c r="K837" i="1"/>
  <c r="H837" i="1"/>
  <c r="G837" i="1"/>
  <c r="M837" i="1" s="1"/>
  <c r="D837" i="1"/>
  <c r="C837" i="1"/>
  <c r="L836" i="1"/>
  <c r="K836" i="1"/>
  <c r="H836" i="1"/>
  <c r="G836" i="1"/>
  <c r="J836" i="1" s="1"/>
  <c r="D836" i="1"/>
  <c r="C836" i="1"/>
  <c r="L835" i="1"/>
  <c r="K835" i="1"/>
  <c r="H835" i="1"/>
  <c r="G835" i="1"/>
  <c r="I835" i="1" s="1"/>
  <c r="D835" i="1"/>
  <c r="C835" i="1"/>
  <c r="L834" i="1"/>
  <c r="K834" i="1"/>
  <c r="H834" i="1"/>
  <c r="G834" i="1"/>
  <c r="D834" i="1"/>
  <c r="C834" i="1"/>
  <c r="L833" i="1"/>
  <c r="K833" i="1"/>
  <c r="H833" i="1"/>
  <c r="G833" i="1"/>
  <c r="J833" i="1" s="1"/>
  <c r="D833" i="1"/>
  <c r="C833" i="1"/>
  <c r="L832" i="1"/>
  <c r="K832" i="1"/>
  <c r="H832" i="1"/>
  <c r="G832" i="1"/>
  <c r="D832" i="1"/>
  <c r="C832" i="1"/>
  <c r="L831" i="1"/>
  <c r="K831" i="1"/>
  <c r="H831" i="1"/>
  <c r="G831" i="1"/>
  <c r="D831" i="1"/>
  <c r="C831" i="1"/>
  <c r="L830" i="1"/>
  <c r="K830" i="1"/>
  <c r="H830" i="1"/>
  <c r="G830" i="1"/>
  <c r="D830" i="1"/>
  <c r="C830" i="1"/>
  <c r="L829" i="1"/>
  <c r="K829" i="1"/>
  <c r="H829" i="1"/>
  <c r="G829" i="1"/>
  <c r="J829" i="1" s="1"/>
  <c r="D829" i="1"/>
  <c r="C829" i="1"/>
  <c r="L828" i="1"/>
  <c r="K828" i="1"/>
  <c r="H828" i="1"/>
  <c r="G828" i="1"/>
  <c r="M828" i="1" s="1"/>
  <c r="D828" i="1"/>
  <c r="C828" i="1"/>
  <c r="L827" i="1"/>
  <c r="K827" i="1"/>
  <c r="H827" i="1"/>
  <c r="G827" i="1"/>
  <c r="M827" i="1" s="1"/>
  <c r="D827" i="1"/>
  <c r="C827" i="1"/>
  <c r="L826" i="1"/>
  <c r="K826" i="1"/>
  <c r="H826" i="1"/>
  <c r="G826" i="1"/>
  <c r="I826" i="1" s="1"/>
  <c r="D826" i="1"/>
  <c r="C826" i="1"/>
  <c r="L825" i="1"/>
  <c r="K825" i="1"/>
  <c r="H825" i="1"/>
  <c r="G825" i="1"/>
  <c r="M825" i="1" s="1"/>
  <c r="D825" i="1"/>
  <c r="C825" i="1"/>
  <c r="L824" i="1"/>
  <c r="K824" i="1"/>
  <c r="H824" i="1"/>
  <c r="G824" i="1"/>
  <c r="D824" i="1"/>
  <c r="C824" i="1"/>
  <c r="L823" i="1"/>
  <c r="K823" i="1"/>
  <c r="H823" i="1"/>
  <c r="G823" i="1"/>
  <c r="I823" i="1" s="1"/>
  <c r="D823" i="1"/>
  <c r="C823" i="1"/>
  <c r="L822" i="1"/>
  <c r="K822" i="1"/>
  <c r="H822" i="1"/>
  <c r="G822" i="1"/>
  <c r="J822" i="1" s="1"/>
  <c r="D822" i="1"/>
  <c r="C822" i="1"/>
  <c r="L821" i="1"/>
  <c r="K821" i="1"/>
  <c r="H821" i="1"/>
  <c r="G821" i="1"/>
  <c r="D821" i="1"/>
  <c r="C821" i="1"/>
  <c r="L820" i="1"/>
  <c r="K820" i="1"/>
  <c r="H820" i="1"/>
  <c r="G820" i="1"/>
  <c r="M820" i="1" s="1"/>
  <c r="D820" i="1"/>
  <c r="C820" i="1"/>
  <c r="L819" i="1"/>
  <c r="K819" i="1"/>
  <c r="H819" i="1"/>
  <c r="G819" i="1"/>
  <c r="J819" i="1" s="1"/>
  <c r="D819" i="1"/>
  <c r="C819" i="1"/>
  <c r="L818" i="1"/>
  <c r="K818" i="1"/>
  <c r="H818" i="1"/>
  <c r="G818" i="1"/>
  <c r="D818" i="1"/>
  <c r="C818" i="1"/>
  <c r="L817" i="1"/>
  <c r="K817" i="1"/>
  <c r="H817" i="1"/>
  <c r="G817" i="1"/>
  <c r="J817" i="1" s="1"/>
  <c r="D817" i="1"/>
  <c r="C817" i="1"/>
  <c r="L816" i="1"/>
  <c r="K816" i="1"/>
  <c r="H816" i="1"/>
  <c r="G816" i="1"/>
  <c r="D816" i="1"/>
  <c r="C816" i="1"/>
  <c r="L815" i="1"/>
  <c r="K815" i="1"/>
  <c r="H815" i="1"/>
  <c r="G815" i="1"/>
  <c r="M815" i="1" s="1"/>
  <c r="D815" i="1"/>
  <c r="C815" i="1"/>
  <c r="L814" i="1"/>
  <c r="K814" i="1"/>
  <c r="H814" i="1"/>
  <c r="G814" i="1"/>
  <c r="D814" i="1"/>
  <c r="C814" i="1"/>
  <c r="L813" i="1"/>
  <c r="K813" i="1"/>
  <c r="H813" i="1"/>
  <c r="G813" i="1"/>
  <c r="D813" i="1"/>
  <c r="C813" i="1"/>
  <c r="L812" i="1"/>
  <c r="K812" i="1"/>
  <c r="H812" i="1"/>
  <c r="G812" i="1"/>
  <c r="D812" i="1"/>
  <c r="C812" i="1"/>
  <c r="L811" i="1"/>
  <c r="K811" i="1"/>
  <c r="H811" i="1"/>
  <c r="G811" i="1"/>
  <c r="I811" i="1" s="1"/>
  <c r="D811" i="1"/>
  <c r="C811" i="1"/>
  <c r="L810" i="1"/>
  <c r="K810" i="1"/>
  <c r="H810" i="1"/>
  <c r="G810" i="1"/>
  <c r="M810" i="1" s="1"/>
  <c r="D810" i="1"/>
  <c r="C810" i="1"/>
  <c r="L809" i="1"/>
  <c r="K809" i="1"/>
  <c r="H809" i="1"/>
  <c r="G809" i="1"/>
  <c r="J809" i="1" s="1"/>
  <c r="D809" i="1"/>
  <c r="C809" i="1"/>
  <c r="L808" i="1"/>
  <c r="K808" i="1"/>
  <c r="H808" i="1"/>
  <c r="G808" i="1"/>
  <c r="J808" i="1" s="1"/>
  <c r="D808" i="1"/>
  <c r="C808" i="1"/>
  <c r="L807" i="1"/>
  <c r="K807" i="1"/>
  <c r="H807" i="1"/>
  <c r="G807" i="1"/>
  <c r="I807" i="1" s="1"/>
  <c r="D807" i="1"/>
  <c r="C807" i="1"/>
  <c r="L806" i="1"/>
  <c r="K806" i="1"/>
  <c r="H806" i="1"/>
  <c r="G806" i="1"/>
  <c r="J806" i="1" s="1"/>
  <c r="D806" i="1"/>
  <c r="C806" i="1"/>
  <c r="L805" i="1"/>
  <c r="K805" i="1"/>
  <c r="H805" i="1"/>
  <c r="G805" i="1"/>
  <c r="J805" i="1" s="1"/>
  <c r="D805" i="1"/>
  <c r="C805" i="1"/>
  <c r="L804" i="1"/>
  <c r="K804" i="1"/>
  <c r="H804" i="1"/>
  <c r="G804" i="1"/>
  <c r="D804" i="1"/>
  <c r="C804" i="1"/>
  <c r="L803" i="1"/>
  <c r="K803" i="1"/>
  <c r="H803" i="1"/>
  <c r="G803" i="1"/>
  <c r="I803" i="1" s="1"/>
  <c r="D803" i="1"/>
  <c r="C803" i="1"/>
  <c r="L802" i="1"/>
  <c r="K802" i="1"/>
  <c r="H802" i="1"/>
  <c r="G802" i="1"/>
  <c r="D802" i="1"/>
  <c r="C802" i="1"/>
  <c r="L801" i="1"/>
  <c r="K801" i="1"/>
  <c r="H801" i="1"/>
  <c r="G801" i="1"/>
  <c r="M801" i="1" s="1"/>
  <c r="D801" i="1"/>
  <c r="C801" i="1"/>
  <c r="L800" i="1"/>
  <c r="K800" i="1"/>
  <c r="H800" i="1"/>
  <c r="G800" i="1"/>
  <c r="I800" i="1" s="1"/>
  <c r="D800" i="1"/>
  <c r="C800" i="1"/>
  <c r="L799" i="1"/>
  <c r="K799" i="1"/>
  <c r="H799" i="1"/>
  <c r="G799" i="1"/>
  <c r="D799" i="1"/>
  <c r="C799" i="1"/>
  <c r="L798" i="1"/>
  <c r="K798" i="1"/>
  <c r="H798" i="1"/>
  <c r="G798" i="1"/>
  <c r="J798" i="1" s="1"/>
  <c r="D798" i="1"/>
  <c r="C798" i="1"/>
  <c r="L797" i="1"/>
  <c r="K797" i="1"/>
  <c r="H797" i="1"/>
  <c r="G797" i="1"/>
  <c r="D797" i="1"/>
  <c r="C797" i="1"/>
  <c r="L796" i="1"/>
  <c r="K796" i="1"/>
  <c r="H796" i="1"/>
  <c r="G796" i="1"/>
  <c r="J796" i="1" s="1"/>
  <c r="D796" i="1"/>
  <c r="C796" i="1"/>
  <c r="L795" i="1"/>
  <c r="K795" i="1"/>
  <c r="H795" i="1"/>
  <c r="G795" i="1"/>
  <c r="J795" i="1" s="1"/>
  <c r="D795" i="1"/>
  <c r="C795" i="1"/>
  <c r="L794" i="1"/>
  <c r="K794" i="1"/>
  <c r="H794" i="1"/>
  <c r="G794" i="1"/>
  <c r="J794" i="1" s="1"/>
  <c r="D794" i="1"/>
  <c r="C794" i="1"/>
  <c r="L793" i="1"/>
  <c r="K793" i="1"/>
  <c r="H793" i="1"/>
  <c r="G793" i="1"/>
  <c r="M793" i="1" s="1"/>
  <c r="D793" i="1"/>
  <c r="C793" i="1"/>
  <c r="L792" i="1"/>
  <c r="K792" i="1"/>
  <c r="H792" i="1"/>
  <c r="G792" i="1"/>
  <c r="D792" i="1"/>
  <c r="C792" i="1"/>
  <c r="L791" i="1"/>
  <c r="K791" i="1"/>
  <c r="H791" i="1"/>
  <c r="G791" i="1"/>
  <c r="M791" i="1" s="1"/>
  <c r="D791" i="1"/>
  <c r="C791" i="1"/>
  <c r="L790" i="1"/>
  <c r="K790" i="1"/>
  <c r="H790" i="1"/>
  <c r="G790" i="1"/>
  <c r="M790" i="1" s="1"/>
  <c r="D790" i="1"/>
  <c r="C790" i="1"/>
  <c r="L789" i="1"/>
  <c r="K789" i="1"/>
  <c r="H789" i="1"/>
  <c r="G789" i="1"/>
  <c r="I789" i="1" s="1"/>
  <c r="D789" i="1"/>
  <c r="C789" i="1"/>
  <c r="L788" i="1"/>
  <c r="K788" i="1"/>
  <c r="H788" i="1"/>
  <c r="G788" i="1"/>
  <c r="J788" i="1" s="1"/>
  <c r="D788" i="1"/>
  <c r="C788" i="1"/>
  <c r="L787" i="1"/>
  <c r="K787" i="1"/>
  <c r="H787" i="1"/>
  <c r="G787" i="1"/>
  <c r="D787" i="1"/>
  <c r="C787" i="1"/>
  <c r="L786" i="1"/>
  <c r="K786" i="1"/>
  <c r="H786" i="1"/>
  <c r="G786" i="1"/>
  <c r="D786" i="1"/>
  <c r="C786" i="1"/>
  <c r="L785" i="1"/>
  <c r="K785" i="1"/>
  <c r="H785" i="1"/>
  <c r="G785" i="1"/>
  <c r="J785" i="1" s="1"/>
  <c r="D785" i="1"/>
  <c r="C785" i="1"/>
  <c r="L784" i="1"/>
  <c r="K784" i="1"/>
  <c r="H784" i="1"/>
  <c r="G784" i="1"/>
  <c r="M784" i="1" s="1"/>
  <c r="D784" i="1"/>
  <c r="C784" i="1"/>
  <c r="L783" i="1"/>
  <c r="K783" i="1"/>
  <c r="H783" i="1"/>
  <c r="G783" i="1"/>
  <c r="J783" i="1" s="1"/>
  <c r="D783" i="1"/>
  <c r="C783" i="1"/>
  <c r="L782" i="1"/>
  <c r="K782" i="1"/>
  <c r="H782" i="1"/>
  <c r="G782" i="1"/>
  <c r="D782" i="1"/>
  <c r="C782" i="1"/>
  <c r="L781" i="1"/>
  <c r="K781" i="1"/>
  <c r="H781" i="1"/>
  <c r="G781" i="1"/>
  <c r="J781" i="1" s="1"/>
  <c r="D781" i="1"/>
  <c r="C781" i="1"/>
  <c r="L780" i="1"/>
  <c r="K780" i="1"/>
  <c r="H780" i="1"/>
  <c r="G780" i="1"/>
  <c r="I780" i="1" s="1"/>
  <c r="D780" i="1"/>
  <c r="C780" i="1"/>
  <c r="L779" i="1"/>
  <c r="K779" i="1"/>
  <c r="H779" i="1"/>
  <c r="G779" i="1"/>
  <c r="J779" i="1" s="1"/>
  <c r="D779" i="1"/>
  <c r="C779" i="1"/>
  <c r="L778" i="1"/>
  <c r="K778" i="1"/>
  <c r="H778" i="1"/>
  <c r="G778" i="1"/>
  <c r="I778" i="1" s="1"/>
  <c r="D778" i="1"/>
  <c r="C778" i="1"/>
  <c r="L777" i="1"/>
  <c r="K777" i="1"/>
  <c r="H777" i="1"/>
  <c r="G777" i="1"/>
  <c r="D777" i="1"/>
  <c r="C777" i="1"/>
  <c r="L776" i="1"/>
  <c r="K776" i="1"/>
  <c r="H776" i="1"/>
  <c r="G776" i="1"/>
  <c r="D776" i="1"/>
  <c r="C776" i="1"/>
  <c r="L775" i="1"/>
  <c r="K775" i="1"/>
  <c r="H775" i="1"/>
  <c r="G775" i="1"/>
  <c r="I775" i="1" s="1"/>
  <c r="D775" i="1"/>
  <c r="C775" i="1"/>
  <c r="L774" i="1"/>
  <c r="K774" i="1"/>
  <c r="H774" i="1"/>
  <c r="G774" i="1"/>
  <c r="D774" i="1"/>
  <c r="C774" i="1"/>
  <c r="L773" i="1"/>
  <c r="K773" i="1"/>
  <c r="H773" i="1"/>
  <c r="G773" i="1"/>
  <c r="M773" i="1" s="1"/>
  <c r="D773" i="1"/>
  <c r="C773" i="1"/>
  <c r="L772" i="1"/>
  <c r="K772" i="1"/>
  <c r="H772" i="1"/>
  <c r="G772" i="1"/>
  <c r="D772" i="1"/>
  <c r="C772" i="1"/>
  <c r="L771" i="1"/>
  <c r="K771" i="1"/>
  <c r="H771" i="1"/>
  <c r="G771" i="1"/>
  <c r="I771" i="1" s="1"/>
  <c r="D771" i="1"/>
  <c r="C771" i="1"/>
  <c r="L770" i="1"/>
  <c r="K770" i="1"/>
  <c r="H770" i="1"/>
  <c r="G770" i="1"/>
  <c r="J770" i="1" s="1"/>
  <c r="D770" i="1"/>
  <c r="C770" i="1"/>
  <c r="L769" i="1"/>
  <c r="K769" i="1"/>
  <c r="H769" i="1"/>
  <c r="G769" i="1"/>
  <c r="M769" i="1" s="1"/>
  <c r="D769" i="1"/>
  <c r="C769" i="1"/>
  <c r="L768" i="1"/>
  <c r="K768" i="1"/>
  <c r="H768" i="1"/>
  <c r="G768" i="1"/>
  <c r="D768" i="1"/>
  <c r="C768" i="1"/>
  <c r="L767" i="1"/>
  <c r="K767" i="1"/>
  <c r="H767" i="1"/>
  <c r="G767" i="1"/>
  <c r="J767" i="1" s="1"/>
  <c r="D767" i="1"/>
  <c r="C767" i="1"/>
  <c r="L766" i="1"/>
  <c r="K766" i="1"/>
  <c r="H766" i="1"/>
  <c r="G766" i="1"/>
  <c r="J766" i="1" s="1"/>
  <c r="D766" i="1"/>
  <c r="C766" i="1"/>
  <c r="L765" i="1"/>
  <c r="K765" i="1"/>
  <c r="H765" i="1"/>
  <c r="G765" i="1"/>
  <c r="M765" i="1" s="1"/>
  <c r="D765" i="1"/>
  <c r="C765" i="1"/>
  <c r="L764" i="1"/>
  <c r="K764" i="1"/>
  <c r="H764" i="1"/>
  <c r="G764" i="1"/>
  <c r="M764" i="1" s="1"/>
  <c r="D764" i="1"/>
  <c r="C764" i="1"/>
  <c r="L763" i="1"/>
  <c r="K763" i="1"/>
  <c r="H763" i="1"/>
  <c r="G763" i="1"/>
  <c r="M763" i="1" s="1"/>
  <c r="D763" i="1"/>
  <c r="C763" i="1"/>
  <c r="L762" i="1"/>
  <c r="K762" i="1"/>
  <c r="H762" i="1"/>
  <c r="G762" i="1"/>
  <c r="D762" i="1"/>
  <c r="C762" i="1"/>
  <c r="L761" i="1"/>
  <c r="K761" i="1"/>
  <c r="H761" i="1"/>
  <c r="G761" i="1"/>
  <c r="I761" i="1" s="1"/>
  <c r="D761" i="1"/>
  <c r="C761" i="1"/>
  <c r="L760" i="1"/>
  <c r="K760" i="1"/>
  <c r="H760" i="1"/>
  <c r="G760" i="1"/>
  <c r="I760" i="1" s="1"/>
  <c r="D760" i="1"/>
  <c r="C760" i="1"/>
  <c r="L759" i="1"/>
  <c r="K759" i="1"/>
  <c r="H759" i="1"/>
  <c r="G759" i="1"/>
  <c r="J759" i="1" s="1"/>
  <c r="D759" i="1"/>
  <c r="C759" i="1"/>
  <c r="L758" i="1"/>
  <c r="K758" i="1"/>
  <c r="H758" i="1"/>
  <c r="G758" i="1"/>
  <c r="I758" i="1" s="1"/>
  <c r="D758" i="1"/>
  <c r="C758" i="1"/>
  <c r="L757" i="1"/>
  <c r="K757" i="1"/>
  <c r="H757" i="1"/>
  <c r="G757" i="1"/>
  <c r="M757" i="1" s="1"/>
  <c r="D757" i="1"/>
  <c r="C757" i="1"/>
  <c r="L756" i="1"/>
  <c r="K756" i="1"/>
  <c r="H756" i="1"/>
  <c r="G756" i="1"/>
  <c r="M756" i="1" s="1"/>
  <c r="D756" i="1"/>
  <c r="C756" i="1"/>
  <c r="L755" i="1"/>
  <c r="K755" i="1"/>
  <c r="H755" i="1"/>
  <c r="G755" i="1"/>
  <c r="I755" i="1" s="1"/>
  <c r="D755" i="1"/>
  <c r="C755" i="1"/>
  <c r="L754" i="1"/>
  <c r="K754" i="1"/>
  <c r="H754" i="1"/>
  <c r="G754" i="1"/>
  <c r="J754" i="1" s="1"/>
  <c r="D754" i="1"/>
  <c r="C754" i="1"/>
  <c r="L753" i="1"/>
  <c r="K753" i="1"/>
  <c r="H753" i="1"/>
  <c r="G753" i="1"/>
  <c r="J753" i="1" s="1"/>
  <c r="D753" i="1"/>
  <c r="C753" i="1"/>
  <c r="L752" i="1"/>
  <c r="K752" i="1"/>
  <c r="H752" i="1"/>
  <c r="G752" i="1"/>
  <c r="M752" i="1" s="1"/>
  <c r="D752" i="1"/>
  <c r="C752" i="1"/>
  <c r="L751" i="1"/>
  <c r="K751" i="1"/>
  <c r="H751" i="1"/>
  <c r="G751" i="1"/>
  <c r="M751" i="1" s="1"/>
  <c r="D751" i="1"/>
  <c r="C751" i="1"/>
  <c r="L750" i="1"/>
  <c r="K750" i="1"/>
  <c r="H750" i="1"/>
  <c r="G750" i="1"/>
  <c r="I750" i="1" s="1"/>
  <c r="D750" i="1"/>
  <c r="C750" i="1"/>
  <c r="L749" i="1"/>
  <c r="K749" i="1"/>
  <c r="H749" i="1"/>
  <c r="G749" i="1"/>
  <c r="D749" i="1"/>
  <c r="C749" i="1"/>
  <c r="L748" i="1"/>
  <c r="K748" i="1"/>
  <c r="H748" i="1"/>
  <c r="G748" i="1"/>
  <c r="J748" i="1" s="1"/>
  <c r="D748" i="1"/>
  <c r="C748" i="1"/>
  <c r="L747" i="1"/>
  <c r="K747" i="1"/>
  <c r="H747" i="1"/>
  <c r="G747" i="1"/>
  <c r="I747" i="1" s="1"/>
  <c r="D747" i="1"/>
  <c r="C747" i="1"/>
  <c r="L746" i="1"/>
  <c r="K746" i="1"/>
  <c r="H746" i="1"/>
  <c r="G746" i="1"/>
  <c r="J746" i="1" s="1"/>
  <c r="D746" i="1"/>
  <c r="C746" i="1"/>
  <c r="L745" i="1"/>
  <c r="K745" i="1"/>
  <c r="H745" i="1"/>
  <c r="G745" i="1"/>
  <c r="D745" i="1"/>
  <c r="C745" i="1"/>
  <c r="L744" i="1"/>
  <c r="K744" i="1"/>
  <c r="H744" i="1"/>
  <c r="G744" i="1"/>
  <c r="M744" i="1" s="1"/>
  <c r="D744" i="1"/>
  <c r="C744" i="1"/>
  <c r="L743" i="1"/>
  <c r="K743" i="1"/>
  <c r="H743" i="1"/>
  <c r="G743" i="1"/>
  <c r="M743" i="1" s="1"/>
  <c r="D743" i="1"/>
  <c r="C743" i="1"/>
  <c r="L742" i="1"/>
  <c r="K742" i="1"/>
  <c r="H742" i="1"/>
  <c r="G742" i="1"/>
  <c r="M742" i="1" s="1"/>
  <c r="D742" i="1"/>
  <c r="C742" i="1"/>
  <c r="L741" i="1"/>
  <c r="K741" i="1"/>
  <c r="H741" i="1"/>
  <c r="G741" i="1"/>
  <c r="J741" i="1" s="1"/>
  <c r="D741" i="1"/>
  <c r="C741" i="1"/>
  <c r="L740" i="1"/>
  <c r="K740" i="1"/>
  <c r="H740" i="1"/>
  <c r="G740" i="1"/>
  <c r="M740" i="1" s="1"/>
  <c r="D740" i="1"/>
  <c r="C740" i="1"/>
  <c r="L739" i="1"/>
  <c r="K739" i="1"/>
  <c r="H739" i="1"/>
  <c r="G739" i="1"/>
  <c r="J739" i="1" s="1"/>
  <c r="D739" i="1"/>
  <c r="C739" i="1"/>
  <c r="L738" i="1"/>
  <c r="K738" i="1"/>
  <c r="H738" i="1"/>
  <c r="G738" i="1"/>
  <c r="M738" i="1" s="1"/>
  <c r="D738" i="1"/>
  <c r="C738" i="1"/>
  <c r="L737" i="1"/>
  <c r="K737" i="1"/>
  <c r="H737" i="1"/>
  <c r="G737" i="1"/>
  <c r="J737" i="1" s="1"/>
  <c r="D737" i="1"/>
  <c r="C737" i="1"/>
  <c r="L736" i="1"/>
  <c r="K736" i="1"/>
  <c r="H736" i="1"/>
  <c r="G736" i="1"/>
  <c r="J736" i="1" s="1"/>
  <c r="D736" i="1"/>
  <c r="C736" i="1"/>
  <c r="L735" i="1"/>
  <c r="K735" i="1"/>
  <c r="H735" i="1"/>
  <c r="G735" i="1"/>
  <c r="D735" i="1"/>
  <c r="C735" i="1"/>
  <c r="L734" i="1"/>
  <c r="K734" i="1"/>
  <c r="H734" i="1"/>
  <c r="G734" i="1"/>
  <c r="D734" i="1"/>
  <c r="C734" i="1"/>
  <c r="L733" i="1"/>
  <c r="K733" i="1"/>
  <c r="H733" i="1"/>
  <c r="G733" i="1"/>
  <c r="M733" i="1" s="1"/>
  <c r="D733" i="1"/>
  <c r="C733" i="1"/>
  <c r="L732" i="1"/>
  <c r="K732" i="1"/>
  <c r="H732" i="1"/>
  <c r="G732" i="1"/>
  <c r="D732" i="1"/>
  <c r="C732" i="1"/>
  <c r="L731" i="1"/>
  <c r="K731" i="1"/>
  <c r="H731" i="1"/>
  <c r="G731" i="1"/>
  <c r="D731" i="1"/>
  <c r="C731" i="1"/>
  <c r="L730" i="1"/>
  <c r="K730" i="1"/>
  <c r="H730" i="1"/>
  <c r="G730" i="1"/>
  <c r="I730" i="1" s="1"/>
  <c r="D730" i="1"/>
  <c r="C730" i="1"/>
  <c r="L729" i="1"/>
  <c r="K729" i="1"/>
  <c r="H729" i="1"/>
  <c r="G729" i="1"/>
  <c r="D729" i="1"/>
  <c r="C729" i="1"/>
  <c r="L728" i="1"/>
  <c r="K728" i="1"/>
  <c r="H728" i="1"/>
  <c r="G728" i="1"/>
  <c r="M728" i="1" s="1"/>
  <c r="D728" i="1"/>
  <c r="C728" i="1"/>
  <c r="L727" i="1"/>
  <c r="K727" i="1"/>
  <c r="H727" i="1"/>
  <c r="G727" i="1"/>
  <c r="D727" i="1"/>
  <c r="C727" i="1"/>
  <c r="L726" i="1"/>
  <c r="K726" i="1"/>
  <c r="H726" i="1"/>
  <c r="G726" i="1"/>
  <c r="J726" i="1" s="1"/>
  <c r="D726" i="1"/>
  <c r="C726" i="1"/>
  <c r="L725" i="1"/>
  <c r="K725" i="1"/>
  <c r="H725" i="1"/>
  <c r="G725" i="1"/>
  <c r="D725" i="1"/>
  <c r="C725" i="1"/>
  <c r="L724" i="1"/>
  <c r="K724" i="1"/>
  <c r="H724" i="1"/>
  <c r="G724" i="1"/>
  <c r="M724" i="1" s="1"/>
  <c r="D724" i="1"/>
  <c r="C724" i="1"/>
  <c r="L723" i="1"/>
  <c r="K723" i="1"/>
  <c r="H723" i="1"/>
  <c r="G723" i="1"/>
  <c r="D723" i="1"/>
  <c r="C723" i="1"/>
  <c r="L722" i="1"/>
  <c r="K722" i="1"/>
  <c r="H722" i="1"/>
  <c r="G722" i="1"/>
  <c r="M722" i="1" s="1"/>
  <c r="D722" i="1"/>
  <c r="C722" i="1"/>
  <c r="L721" i="1"/>
  <c r="K721" i="1"/>
  <c r="H721" i="1"/>
  <c r="G721" i="1"/>
  <c r="I721" i="1" s="1"/>
  <c r="D721" i="1"/>
  <c r="C721" i="1"/>
  <c r="L720" i="1"/>
  <c r="K720" i="1"/>
  <c r="H720" i="1"/>
  <c r="G720" i="1"/>
  <c r="M720" i="1" s="1"/>
  <c r="D720" i="1"/>
  <c r="C720" i="1"/>
  <c r="L719" i="1"/>
  <c r="K719" i="1"/>
  <c r="H719" i="1"/>
  <c r="G719" i="1"/>
  <c r="M719" i="1" s="1"/>
  <c r="D719" i="1"/>
  <c r="C719" i="1"/>
  <c r="L718" i="1"/>
  <c r="K718" i="1"/>
  <c r="H718" i="1"/>
  <c r="G718" i="1"/>
  <c r="M718" i="1" s="1"/>
  <c r="D718" i="1"/>
  <c r="C718" i="1"/>
  <c r="L717" i="1"/>
  <c r="K717" i="1"/>
  <c r="H717" i="1"/>
  <c r="G717" i="1"/>
  <c r="D717" i="1"/>
  <c r="C717" i="1"/>
  <c r="L716" i="1"/>
  <c r="K716" i="1"/>
  <c r="H716" i="1"/>
  <c r="G716" i="1"/>
  <c r="D716" i="1"/>
  <c r="C716" i="1"/>
  <c r="L715" i="1"/>
  <c r="K715" i="1"/>
  <c r="H715" i="1"/>
  <c r="G715" i="1"/>
  <c r="J715" i="1" s="1"/>
  <c r="D715" i="1"/>
  <c r="C715" i="1"/>
  <c r="L714" i="1"/>
  <c r="K714" i="1"/>
  <c r="H714" i="1"/>
  <c r="G714" i="1"/>
  <c r="M714" i="1" s="1"/>
  <c r="D714" i="1"/>
  <c r="C714" i="1"/>
  <c r="L713" i="1"/>
  <c r="K713" i="1"/>
  <c r="H713" i="1"/>
  <c r="G713" i="1"/>
  <c r="M713" i="1" s="1"/>
  <c r="D713" i="1"/>
  <c r="C713" i="1"/>
  <c r="L712" i="1"/>
  <c r="K712" i="1"/>
  <c r="H712" i="1"/>
  <c r="G712" i="1"/>
  <c r="M712" i="1" s="1"/>
  <c r="D712" i="1"/>
  <c r="C712" i="1"/>
  <c r="L711" i="1"/>
  <c r="K711" i="1"/>
  <c r="H711" i="1"/>
  <c r="G711" i="1"/>
  <c r="D711" i="1"/>
  <c r="C711" i="1"/>
  <c r="L710" i="1"/>
  <c r="K710" i="1"/>
  <c r="H710" i="1"/>
  <c r="G710" i="1"/>
  <c r="D710" i="1"/>
  <c r="C710" i="1"/>
  <c r="L709" i="1"/>
  <c r="K709" i="1"/>
  <c r="H709" i="1"/>
  <c r="G709" i="1"/>
  <c r="D709" i="1"/>
  <c r="C709" i="1"/>
  <c r="L708" i="1"/>
  <c r="K708" i="1"/>
  <c r="H708" i="1"/>
  <c r="G708" i="1"/>
  <c r="D708" i="1"/>
  <c r="C708" i="1"/>
  <c r="L707" i="1"/>
  <c r="K707" i="1"/>
  <c r="H707" i="1"/>
  <c r="G707" i="1"/>
  <c r="D707" i="1"/>
  <c r="C707" i="1"/>
  <c r="L706" i="1"/>
  <c r="K706" i="1"/>
  <c r="H706" i="1"/>
  <c r="G706" i="1"/>
  <c r="M706" i="1" s="1"/>
  <c r="D706" i="1"/>
  <c r="C706" i="1"/>
  <c r="L705" i="1"/>
  <c r="K705" i="1"/>
  <c r="H705" i="1"/>
  <c r="G705" i="1"/>
  <c r="M705" i="1" s="1"/>
  <c r="D705" i="1"/>
  <c r="C705" i="1"/>
  <c r="L704" i="1"/>
  <c r="K704" i="1"/>
  <c r="H704" i="1"/>
  <c r="G704" i="1"/>
  <c r="M704" i="1" s="1"/>
  <c r="D704" i="1"/>
  <c r="C704" i="1"/>
  <c r="L703" i="1"/>
  <c r="K703" i="1"/>
  <c r="H703" i="1"/>
  <c r="G703" i="1"/>
  <c r="M703" i="1" s="1"/>
  <c r="D703" i="1"/>
  <c r="C703" i="1"/>
  <c r="L702" i="1"/>
  <c r="K702" i="1"/>
  <c r="H702" i="1"/>
  <c r="G702" i="1"/>
  <c r="I702" i="1" s="1"/>
  <c r="D702" i="1"/>
  <c r="C702" i="1"/>
  <c r="L701" i="1"/>
  <c r="K701" i="1"/>
  <c r="H701" i="1"/>
  <c r="G701" i="1"/>
  <c r="I701" i="1" s="1"/>
  <c r="D701" i="1"/>
  <c r="C701" i="1"/>
  <c r="L700" i="1"/>
  <c r="K700" i="1"/>
  <c r="H700" i="1"/>
  <c r="G700" i="1"/>
  <c r="M700" i="1" s="1"/>
  <c r="D700" i="1"/>
  <c r="C700" i="1"/>
  <c r="L699" i="1"/>
  <c r="K699" i="1"/>
  <c r="H699" i="1"/>
  <c r="G699" i="1"/>
  <c r="M699" i="1" s="1"/>
  <c r="D699" i="1"/>
  <c r="C699" i="1"/>
  <c r="L698" i="1"/>
  <c r="K698" i="1"/>
  <c r="H698" i="1"/>
  <c r="G698" i="1"/>
  <c r="M698" i="1" s="1"/>
  <c r="D698" i="1"/>
  <c r="C698" i="1"/>
  <c r="L697" i="1"/>
  <c r="K697" i="1"/>
  <c r="H697" i="1"/>
  <c r="G697" i="1"/>
  <c r="M697" i="1" s="1"/>
  <c r="D697" i="1"/>
  <c r="C697" i="1"/>
  <c r="L696" i="1"/>
  <c r="K696" i="1"/>
  <c r="H696" i="1"/>
  <c r="G696" i="1"/>
  <c r="I696" i="1" s="1"/>
  <c r="D696" i="1"/>
  <c r="C696" i="1"/>
  <c r="L695" i="1"/>
  <c r="K695" i="1"/>
  <c r="H695" i="1"/>
  <c r="G695" i="1"/>
  <c r="J695" i="1" s="1"/>
  <c r="D695" i="1"/>
  <c r="C695" i="1"/>
  <c r="L694" i="1"/>
  <c r="K694" i="1"/>
  <c r="H694" i="1"/>
  <c r="G694" i="1"/>
  <c r="D694" i="1"/>
  <c r="C694" i="1"/>
  <c r="L693" i="1"/>
  <c r="K693" i="1"/>
  <c r="H693" i="1"/>
  <c r="G693" i="1"/>
  <c r="J693" i="1" s="1"/>
  <c r="D693" i="1"/>
  <c r="C693" i="1"/>
  <c r="L692" i="1"/>
  <c r="K692" i="1"/>
  <c r="H692" i="1"/>
  <c r="G692" i="1"/>
  <c r="J692" i="1" s="1"/>
  <c r="D692" i="1"/>
  <c r="C692" i="1"/>
  <c r="L691" i="1"/>
  <c r="K691" i="1"/>
  <c r="H691" i="1"/>
  <c r="G691" i="1"/>
  <c r="J691" i="1" s="1"/>
  <c r="D691" i="1"/>
  <c r="C691" i="1"/>
  <c r="L690" i="1"/>
  <c r="K690" i="1"/>
  <c r="H690" i="1"/>
  <c r="G690" i="1"/>
  <c r="M690" i="1" s="1"/>
  <c r="D690" i="1"/>
  <c r="C690" i="1"/>
  <c r="L689" i="1"/>
  <c r="K689" i="1"/>
  <c r="H689" i="1"/>
  <c r="G689" i="1"/>
  <c r="D689" i="1"/>
  <c r="C689" i="1"/>
  <c r="L688" i="1"/>
  <c r="K688" i="1"/>
  <c r="H688" i="1"/>
  <c r="G688" i="1"/>
  <c r="D688" i="1"/>
  <c r="C688" i="1"/>
  <c r="L687" i="1"/>
  <c r="K687" i="1"/>
  <c r="H687" i="1"/>
  <c r="G687" i="1"/>
  <c r="I687" i="1" s="1"/>
  <c r="D687" i="1"/>
  <c r="C687" i="1"/>
  <c r="L686" i="1"/>
  <c r="K686" i="1"/>
  <c r="H686" i="1"/>
  <c r="G686" i="1"/>
  <c r="D686" i="1"/>
  <c r="C686" i="1"/>
  <c r="L685" i="1"/>
  <c r="K685" i="1"/>
  <c r="H685" i="1"/>
  <c r="G685" i="1"/>
  <c r="I685" i="1" s="1"/>
  <c r="D685" i="1"/>
  <c r="C685" i="1"/>
  <c r="L684" i="1"/>
  <c r="K684" i="1"/>
  <c r="H684" i="1"/>
  <c r="G684" i="1"/>
  <c r="M684" i="1" s="1"/>
  <c r="D684" i="1"/>
  <c r="C684" i="1"/>
  <c r="L683" i="1"/>
  <c r="K683" i="1"/>
  <c r="H683" i="1"/>
  <c r="G683" i="1"/>
  <c r="D683" i="1"/>
  <c r="C683" i="1"/>
  <c r="L682" i="1"/>
  <c r="K682" i="1"/>
  <c r="H682" i="1"/>
  <c r="G682" i="1"/>
  <c r="M682" i="1" s="1"/>
  <c r="D682" i="1"/>
  <c r="C682" i="1"/>
  <c r="L681" i="1"/>
  <c r="K681" i="1"/>
  <c r="H681" i="1"/>
  <c r="G681" i="1"/>
  <c r="M681" i="1" s="1"/>
  <c r="D681" i="1"/>
  <c r="C681" i="1"/>
  <c r="L680" i="1"/>
  <c r="K680" i="1"/>
  <c r="H680" i="1"/>
  <c r="G680" i="1"/>
  <c r="J680" i="1" s="1"/>
  <c r="D680" i="1"/>
  <c r="C680" i="1"/>
  <c r="L679" i="1"/>
  <c r="K679" i="1"/>
  <c r="H679" i="1"/>
  <c r="G679" i="1"/>
  <c r="I679" i="1" s="1"/>
  <c r="D679" i="1"/>
  <c r="C679" i="1"/>
  <c r="L678" i="1"/>
  <c r="K678" i="1"/>
  <c r="H678" i="1"/>
  <c r="G678" i="1"/>
  <c r="D678" i="1"/>
  <c r="C678" i="1"/>
  <c r="L677" i="1"/>
  <c r="K677" i="1"/>
  <c r="H677" i="1"/>
  <c r="G677" i="1"/>
  <c r="J677" i="1" s="1"/>
  <c r="D677" i="1"/>
  <c r="C677" i="1"/>
  <c r="L676" i="1"/>
  <c r="K676" i="1"/>
  <c r="H676" i="1"/>
  <c r="G676" i="1"/>
  <c r="I676" i="1" s="1"/>
  <c r="D676" i="1"/>
  <c r="C676" i="1"/>
  <c r="L675" i="1"/>
  <c r="K675" i="1"/>
  <c r="H675" i="1"/>
  <c r="G675" i="1"/>
  <c r="M675" i="1" s="1"/>
  <c r="D675" i="1"/>
  <c r="C675" i="1"/>
  <c r="L674" i="1"/>
  <c r="K674" i="1"/>
  <c r="H674" i="1"/>
  <c r="G674" i="1"/>
  <c r="M674" i="1" s="1"/>
  <c r="D674" i="1"/>
  <c r="C674" i="1"/>
  <c r="L673" i="1"/>
  <c r="K673" i="1"/>
  <c r="H673" i="1"/>
  <c r="G673" i="1"/>
  <c r="J673" i="1" s="1"/>
  <c r="D673" i="1"/>
  <c r="C673" i="1"/>
  <c r="L672" i="1"/>
  <c r="K672" i="1"/>
  <c r="H672" i="1"/>
  <c r="G672" i="1"/>
  <c r="D672" i="1"/>
  <c r="C672" i="1"/>
  <c r="L671" i="1"/>
  <c r="K671" i="1"/>
  <c r="H671" i="1"/>
  <c r="G671" i="1"/>
  <c r="J671" i="1" s="1"/>
  <c r="D671" i="1"/>
  <c r="C671" i="1"/>
  <c r="L670" i="1"/>
  <c r="K670" i="1"/>
  <c r="H670" i="1"/>
  <c r="G670" i="1"/>
  <c r="M670" i="1" s="1"/>
  <c r="D670" i="1"/>
  <c r="C670" i="1"/>
  <c r="L669" i="1"/>
  <c r="K669" i="1"/>
  <c r="H669" i="1"/>
  <c r="G669" i="1"/>
  <c r="D669" i="1"/>
  <c r="C669" i="1"/>
  <c r="L668" i="1"/>
  <c r="K668" i="1"/>
  <c r="H668" i="1"/>
  <c r="G668" i="1"/>
  <c r="J668" i="1" s="1"/>
  <c r="D668" i="1"/>
  <c r="C668" i="1"/>
  <c r="L667" i="1"/>
  <c r="K667" i="1"/>
  <c r="H667" i="1"/>
  <c r="G667" i="1"/>
  <c r="M667" i="1" s="1"/>
  <c r="D667" i="1"/>
  <c r="C667" i="1"/>
  <c r="L666" i="1"/>
  <c r="K666" i="1"/>
  <c r="H666" i="1"/>
  <c r="G666" i="1"/>
  <c r="D666" i="1"/>
  <c r="C666" i="1"/>
  <c r="L665" i="1"/>
  <c r="K665" i="1"/>
  <c r="H665" i="1"/>
  <c r="G665" i="1"/>
  <c r="M665" i="1" s="1"/>
  <c r="D665" i="1"/>
  <c r="C665" i="1"/>
  <c r="L664" i="1"/>
  <c r="K664" i="1"/>
  <c r="H664" i="1"/>
  <c r="G664" i="1"/>
  <c r="I664" i="1" s="1"/>
  <c r="D664" i="1"/>
  <c r="C664" i="1"/>
  <c r="L663" i="1"/>
  <c r="K663" i="1"/>
  <c r="H663" i="1"/>
  <c r="G663" i="1"/>
  <c r="D663" i="1"/>
  <c r="C663" i="1"/>
  <c r="L662" i="1"/>
  <c r="K662" i="1"/>
  <c r="H662" i="1"/>
  <c r="G662" i="1"/>
  <c r="D662" i="1"/>
  <c r="C662" i="1"/>
  <c r="L661" i="1"/>
  <c r="K661" i="1"/>
  <c r="H661" i="1"/>
  <c r="G661" i="1"/>
  <c r="M661" i="1" s="1"/>
  <c r="D661" i="1"/>
  <c r="C661" i="1"/>
  <c r="L660" i="1"/>
  <c r="K660" i="1"/>
  <c r="H660" i="1"/>
  <c r="G660" i="1"/>
  <c r="D660" i="1"/>
  <c r="C660" i="1"/>
  <c r="L659" i="1"/>
  <c r="K659" i="1"/>
  <c r="H659" i="1"/>
  <c r="G659" i="1"/>
  <c r="D659" i="1"/>
  <c r="C659" i="1"/>
  <c r="L658" i="1"/>
  <c r="K658" i="1"/>
  <c r="H658" i="1"/>
  <c r="G658" i="1"/>
  <c r="J658" i="1" s="1"/>
  <c r="D658" i="1"/>
  <c r="C658" i="1"/>
  <c r="L657" i="1"/>
  <c r="K657" i="1"/>
  <c r="H657" i="1"/>
  <c r="G657" i="1"/>
  <c r="M657" i="1" s="1"/>
  <c r="D657" i="1"/>
  <c r="C657" i="1"/>
  <c r="L656" i="1"/>
  <c r="K656" i="1"/>
  <c r="H656" i="1"/>
  <c r="G656" i="1"/>
  <c r="D656" i="1"/>
  <c r="C656" i="1"/>
  <c r="L655" i="1"/>
  <c r="K655" i="1"/>
  <c r="H655" i="1"/>
  <c r="G655" i="1"/>
  <c r="I655" i="1" s="1"/>
  <c r="D655" i="1"/>
  <c r="C655" i="1"/>
  <c r="L654" i="1"/>
  <c r="K654" i="1"/>
  <c r="H654" i="1"/>
  <c r="G654" i="1"/>
  <c r="J654" i="1" s="1"/>
  <c r="D654" i="1"/>
  <c r="C654" i="1"/>
  <c r="L653" i="1"/>
  <c r="K653" i="1"/>
  <c r="H653" i="1"/>
  <c r="G653" i="1"/>
  <c r="I653" i="1" s="1"/>
  <c r="D653" i="1"/>
  <c r="C653" i="1"/>
  <c r="L652" i="1"/>
  <c r="K652" i="1"/>
  <c r="H652" i="1"/>
  <c r="G652" i="1"/>
  <c r="I652" i="1" s="1"/>
  <c r="D652" i="1"/>
  <c r="C652" i="1"/>
  <c r="L651" i="1"/>
  <c r="K651" i="1"/>
  <c r="H651" i="1"/>
  <c r="G651" i="1"/>
  <c r="D651" i="1"/>
  <c r="C651" i="1"/>
  <c r="L650" i="1"/>
  <c r="K650" i="1"/>
  <c r="H650" i="1"/>
  <c r="G650" i="1"/>
  <c r="J650" i="1" s="1"/>
  <c r="D650" i="1"/>
  <c r="C650" i="1"/>
  <c r="L649" i="1"/>
  <c r="K649" i="1"/>
  <c r="H649" i="1"/>
  <c r="G649" i="1"/>
  <c r="D649" i="1"/>
  <c r="C649" i="1"/>
  <c r="L648" i="1"/>
  <c r="K648" i="1"/>
  <c r="H648" i="1"/>
  <c r="G648" i="1"/>
  <c r="I648" i="1" s="1"/>
  <c r="D648" i="1"/>
  <c r="C648" i="1"/>
  <c r="L647" i="1"/>
  <c r="K647" i="1"/>
  <c r="H647" i="1"/>
  <c r="G647" i="1"/>
  <c r="I647" i="1" s="1"/>
  <c r="D647" i="1"/>
  <c r="C647" i="1"/>
  <c r="L646" i="1"/>
  <c r="K646" i="1"/>
  <c r="H646" i="1"/>
  <c r="G646" i="1"/>
  <c r="I646" i="1" s="1"/>
  <c r="D646" i="1"/>
  <c r="C646" i="1"/>
  <c r="L645" i="1"/>
  <c r="K645" i="1"/>
  <c r="H645" i="1"/>
  <c r="G645" i="1"/>
  <c r="D645" i="1"/>
  <c r="C645" i="1"/>
  <c r="L644" i="1"/>
  <c r="K644" i="1"/>
  <c r="H644" i="1"/>
  <c r="G644" i="1"/>
  <c r="M644" i="1" s="1"/>
  <c r="D644" i="1"/>
  <c r="C644" i="1"/>
  <c r="L643" i="1"/>
  <c r="K643" i="1"/>
  <c r="H643" i="1"/>
  <c r="G643" i="1"/>
  <c r="I643" i="1" s="1"/>
  <c r="D643" i="1"/>
  <c r="C643" i="1"/>
  <c r="L642" i="1"/>
  <c r="K642" i="1"/>
  <c r="H642" i="1"/>
  <c r="G642" i="1"/>
  <c r="M642" i="1" s="1"/>
  <c r="D642" i="1"/>
  <c r="C642" i="1"/>
  <c r="L641" i="1"/>
  <c r="K641" i="1"/>
  <c r="H641" i="1"/>
  <c r="G641" i="1"/>
  <c r="D641" i="1"/>
  <c r="C641" i="1"/>
  <c r="L640" i="1"/>
  <c r="K640" i="1"/>
  <c r="H640" i="1"/>
  <c r="G640" i="1"/>
  <c r="M640" i="1" s="1"/>
  <c r="D640" i="1"/>
  <c r="C640" i="1"/>
  <c r="L639" i="1"/>
  <c r="K639" i="1"/>
  <c r="H639" i="1"/>
  <c r="G639" i="1"/>
  <c r="J639" i="1" s="1"/>
  <c r="D639" i="1"/>
  <c r="C639" i="1"/>
  <c r="L638" i="1"/>
  <c r="K638" i="1"/>
  <c r="H638" i="1"/>
  <c r="G638" i="1"/>
  <c r="M638" i="1" s="1"/>
  <c r="D638" i="1"/>
  <c r="C638" i="1"/>
  <c r="L637" i="1"/>
  <c r="K637" i="1"/>
  <c r="H637" i="1"/>
  <c r="G637" i="1"/>
  <c r="D637" i="1"/>
  <c r="C637" i="1"/>
  <c r="L636" i="1"/>
  <c r="K636" i="1"/>
  <c r="H636" i="1"/>
  <c r="G636" i="1"/>
  <c r="M636" i="1" s="1"/>
  <c r="D636" i="1"/>
  <c r="C636" i="1"/>
  <c r="L635" i="1"/>
  <c r="K635" i="1"/>
  <c r="H635" i="1"/>
  <c r="G635" i="1"/>
  <c r="I635" i="1" s="1"/>
  <c r="D635" i="1"/>
  <c r="C635" i="1"/>
  <c r="L634" i="1"/>
  <c r="K634" i="1"/>
  <c r="H634" i="1"/>
  <c r="G634" i="1"/>
  <c r="I634" i="1" s="1"/>
  <c r="D634" i="1"/>
  <c r="C634" i="1"/>
  <c r="L633" i="1"/>
  <c r="K633" i="1"/>
  <c r="H633" i="1"/>
  <c r="G633" i="1"/>
  <c r="D633" i="1"/>
  <c r="C633" i="1"/>
  <c r="L632" i="1"/>
  <c r="K632" i="1"/>
  <c r="H632" i="1"/>
  <c r="G632" i="1"/>
  <c r="M632" i="1" s="1"/>
  <c r="D632" i="1"/>
  <c r="C632" i="1"/>
  <c r="L631" i="1"/>
  <c r="K631" i="1"/>
  <c r="H631" i="1"/>
  <c r="G631" i="1"/>
  <c r="D631" i="1"/>
  <c r="C631" i="1"/>
  <c r="L630" i="1"/>
  <c r="K630" i="1"/>
  <c r="H630" i="1"/>
  <c r="G630" i="1"/>
  <c r="D630" i="1"/>
  <c r="C630" i="1"/>
  <c r="L629" i="1"/>
  <c r="K629" i="1"/>
  <c r="H629" i="1"/>
  <c r="G629" i="1"/>
  <c r="M629" i="1" s="1"/>
  <c r="D629" i="1"/>
  <c r="C629" i="1"/>
  <c r="L628" i="1"/>
  <c r="K628" i="1"/>
  <c r="H628" i="1"/>
  <c r="G628" i="1"/>
  <c r="D628" i="1"/>
  <c r="C628" i="1"/>
  <c r="L627" i="1"/>
  <c r="K627" i="1"/>
  <c r="H627" i="1"/>
  <c r="G627" i="1"/>
  <c r="J627" i="1" s="1"/>
  <c r="D627" i="1"/>
  <c r="C627" i="1"/>
  <c r="L626" i="1"/>
  <c r="K626" i="1"/>
  <c r="H626" i="1"/>
  <c r="G626" i="1"/>
  <c r="I626" i="1" s="1"/>
  <c r="D626" i="1"/>
  <c r="C626" i="1"/>
  <c r="L625" i="1"/>
  <c r="K625" i="1"/>
  <c r="H625" i="1"/>
  <c r="G625" i="1"/>
  <c r="J625" i="1" s="1"/>
  <c r="D625" i="1"/>
  <c r="C625" i="1"/>
  <c r="L624" i="1"/>
  <c r="K624" i="1"/>
  <c r="H624" i="1"/>
  <c r="G624" i="1"/>
  <c r="M624" i="1" s="1"/>
  <c r="D624" i="1"/>
  <c r="C624" i="1"/>
  <c r="L623" i="1"/>
  <c r="K623" i="1"/>
  <c r="H623" i="1"/>
  <c r="G623" i="1"/>
  <c r="M623" i="1" s="1"/>
  <c r="D623" i="1"/>
  <c r="C623" i="1"/>
  <c r="L622" i="1"/>
  <c r="K622" i="1"/>
  <c r="H622" i="1"/>
  <c r="G622" i="1"/>
  <c r="J622" i="1" s="1"/>
  <c r="D622" i="1"/>
  <c r="C622" i="1"/>
  <c r="L621" i="1"/>
  <c r="K621" i="1"/>
  <c r="H621" i="1"/>
  <c r="G621" i="1"/>
  <c r="D621" i="1"/>
  <c r="C621" i="1"/>
  <c r="L620" i="1"/>
  <c r="K620" i="1"/>
  <c r="H620" i="1"/>
  <c r="G620" i="1"/>
  <c r="J620" i="1" s="1"/>
  <c r="D620" i="1"/>
  <c r="C620" i="1"/>
  <c r="L619" i="1"/>
  <c r="K619" i="1"/>
  <c r="H619" i="1"/>
  <c r="G619" i="1"/>
  <c r="J619" i="1" s="1"/>
  <c r="D619" i="1"/>
  <c r="C619" i="1"/>
  <c r="L618" i="1"/>
  <c r="K618" i="1"/>
  <c r="H618" i="1"/>
  <c r="G618" i="1"/>
  <c r="D618" i="1"/>
  <c r="C618" i="1"/>
  <c r="L617" i="1"/>
  <c r="K617" i="1"/>
  <c r="H617" i="1"/>
  <c r="G617" i="1"/>
  <c r="J617" i="1" s="1"/>
  <c r="D617" i="1"/>
  <c r="C617" i="1"/>
  <c r="L616" i="1"/>
  <c r="K616" i="1"/>
  <c r="H616" i="1"/>
  <c r="G616" i="1"/>
  <c r="J616" i="1" s="1"/>
  <c r="D616" i="1"/>
  <c r="C616" i="1"/>
  <c r="L615" i="1"/>
  <c r="K615" i="1"/>
  <c r="H615" i="1"/>
  <c r="G615" i="1"/>
  <c r="D615" i="1"/>
  <c r="C615" i="1"/>
  <c r="L614" i="1"/>
  <c r="K614" i="1"/>
  <c r="H614" i="1"/>
  <c r="G614" i="1"/>
  <c r="I614" i="1" s="1"/>
  <c r="D614" i="1"/>
  <c r="C614" i="1"/>
  <c r="L613" i="1"/>
  <c r="K613" i="1"/>
  <c r="H613" i="1"/>
  <c r="G613" i="1"/>
  <c r="M613" i="1" s="1"/>
  <c r="D613" i="1"/>
  <c r="C613" i="1"/>
  <c r="L612" i="1"/>
  <c r="K612" i="1"/>
  <c r="H612" i="1"/>
  <c r="G612" i="1"/>
  <c r="J612" i="1" s="1"/>
  <c r="D612" i="1"/>
  <c r="C612" i="1"/>
  <c r="L611" i="1"/>
  <c r="K611" i="1"/>
  <c r="H611" i="1"/>
  <c r="G611" i="1"/>
  <c r="D611" i="1"/>
  <c r="C611" i="1"/>
  <c r="L610" i="1"/>
  <c r="K610" i="1"/>
  <c r="H610" i="1"/>
  <c r="G610" i="1"/>
  <c r="J610" i="1" s="1"/>
  <c r="D610" i="1"/>
  <c r="C610" i="1"/>
  <c r="L609" i="1"/>
  <c r="K609" i="1"/>
  <c r="H609" i="1"/>
  <c r="G609" i="1"/>
  <c r="D609" i="1"/>
  <c r="C609" i="1"/>
  <c r="L608" i="1"/>
  <c r="K608" i="1"/>
  <c r="H608" i="1"/>
  <c r="G608" i="1"/>
  <c r="J608" i="1" s="1"/>
  <c r="D608" i="1"/>
  <c r="C608" i="1"/>
  <c r="L607" i="1"/>
  <c r="K607" i="1"/>
  <c r="H607" i="1"/>
  <c r="G607" i="1"/>
  <c r="M607" i="1" s="1"/>
  <c r="D607" i="1"/>
  <c r="C607" i="1"/>
  <c r="L606" i="1"/>
  <c r="K606" i="1"/>
  <c r="H606" i="1"/>
  <c r="G606" i="1"/>
  <c r="D606" i="1"/>
  <c r="C606" i="1"/>
  <c r="L605" i="1"/>
  <c r="K605" i="1"/>
  <c r="H605" i="1"/>
  <c r="G605" i="1"/>
  <c r="M605" i="1" s="1"/>
  <c r="D605" i="1"/>
  <c r="C605" i="1"/>
  <c r="L604" i="1"/>
  <c r="K604" i="1"/>
  <c r="H604" i="1"/>
  <c r="G604" i="1"/>
  <c r="M604" i="1" s="1"/>
  <c r="D604" i="1"/>
  <c r="C604" i="1"/>
  <c r="L603" i="1"/>
  <c r="K603" i="1"/>
  <c r="H603" i="1"/>
  <c r="G603" i="1"/>
  <c r="D603" i="1"/>
  <c r="C603" i="1"/>
  <c r="L602" i="1"/>
  <c r="K602" i="1"/>
  <c r="H602" i="1"/>
  <c r="G602" i="1"/>
  <c r="M602" i="1" s="1"/>
  <c r="D602" i="1"/>
  <c r="C602" i="1"/>
  <c r="L601" i="1"/>
  <c r="K601" i="1"/>
  <c r="H601" i="1"/>
  <c r="G601" i="1"/>
  <c r="M601" i="1" s="1"/>
  <c r="D601" i="1"/>
  <c r="C601" i="1"/>
  <c r="L600" i="1"/>
  <c r="K600" i="1"/>
  <c r="H600" i="1"/>
  <c r="G600" i="1"/>
  <c r="M600" i="1" s="1"/>
  <c r="D600" i="1"/>
  <c r="C600" i="1"/>
  <c r="L599" i="1"/>
  <c r="K599" i="1"/>
  <c r="H599" i="1"/>
  <c r="G599" i="1"/>
  <c r="M599" i="1" s="1"/>
  <c r="D599" i="1"/>
  <c r="C599" i="1"/>
  <c r="L598" i="1"/>
  <c r="K598" i="1"/>
  <c r="H598" i="1"/>
  <c r="G598" i="1"/>
  <c r="M598" i="1" s="1"/>
  <c r="D598" i="1"/>
  <c r="C598" i="1"/>
  <c r="L597" i="1"/>
  <c r="K597" i="1"/>
  <c r="H597" i="1"/>
  <c r="G597" i="1"/>
  <c r="D597" i="1"/>
  <c r="C597" i="1"/>
  <c r="L596" i="1"/>
  <c r="K596" i="1"/>
  <c r="H596" i="1"/>
  <c r="G596" i="1"/>
  <c r="M596" i="1" s="1"/>
  <c r="D596" i="1"/>
  <c r="C596" i="1"/>
  <c r="L595" i="1"/>
  <c r="K595" i="1"/>
  <c r="H595" i="1"/>
  <c r="G595" i="1"/>
  <c r="D595" i="1"/>
  <c r="C595" i="1"/>
  <c r="L594" i="1"/>
  <c r="K594" i="1"/>
  <c r="H594" i="1"/>
  <c r="G594" i="1"/>
  <c r="I594" i="1" s="1"/>
  <c r="D594" i="1"/>
  <c r="C594" i="1"/>
  <c r="L593" i="1"/>
  <c r="K593" i="1"/>
  <c r="H593" i="1"/>
  <c r="G593" i="1"/>
  <c r="J593" i="1" s="1"/>
  <c r="D593" i="1"/>
  <c r="C593" i="1"/>
  <c r="L592" i="1"/>
  <c r="K592" i="1"/>
  <c r="H592" i="1"/>
  <c r="G592" i="1"/>
  <c r="D592" i="1"/>
  <c r="C592" i="1"/>
  <c r="L591" i="1"/>
  <c r="K591" i="1"/>
  <c r="H591" i="1"/>
  <c r="G591" i="1"/>
  <c r="M591" i="1" s="1"/>
  <c r="D591" i="1"/>
  <c r="C591" i="1"/>
  <c r="L590" i="1"/>
  <c r="K590" i="1"/>
  <c r="H590" i="1"/>
  <c r="G590" i="1"/>
  <c r="I590" i="1" s="1"/>
  <c r="D590" i="1"/>
  <c r="C590" i="1"/>
  <c r="L589" i="1"/>
  <c r="K589" i="1"/>
  <c r="H589" i="1"/>
  <c r="G589" i="1"/>
  <c r="J589" i="1" s="1"/>
  <c r="D589" i="1"/>
  <c r="C589" i="1"/>
  <c r="L588" i="1"/>
  <c r="K588" i="1"/>
  <c r="H588" i="1"/>
  <c r="G588" i="1"/>
  <c r="D588" i="1"/>
  <c r="C588" i="1"/>
  <c r="L587" i="1"/>
  <c r="K587" i="1"/>
  <c r="H587" i="1"/>
  <c r="G587" i="1"/>
  <c r="D587" i="1"/>
  <c r="C587" i="1"/>
  <c r="L586" i="1"/>
  <c r="K586" i="1"/>
  <c r="H586" i="1"/>
  <c r="G586" i="1"/>
  <c r="I586" i="1" s="1"/>
  <c r="D586" i="1"/>
  <c r="C586" i="1"/>
  <c r="L585" i="1"/>
  <c r="K585" i="1"/>
  <c r="H585" i="1"/>
  <c r="G585" i="1"/>
  <c r="J585" i="1" s="1"/>
  <c r="D585" i="1"/>
  <c r="C585" i="1"/>
  <c r="L584" i="1"/>
  <c r="K584" i="1"/>
  <c r="H584" i="1"/>
  <c r="G584" i="1"/>
  <c r="M584" i="1" s="1"/>
  <c r="D584" i="1"/>
  <c r="C584" i="1"/>
  <c r="L583" i="1"/>
  <c r="K583" i="1"/>
  <c r="H583" i="1"/>
  <c r="G583" i="1"/>
  <c r="I583" i="1" s="1"/>
  <c r="D583" i="1"/>
  <c r="C583" i="1"/>
  <c r="L582" i="1"/>
  <c r="K582" i="1"/>
  <c r="H582" i="1"/>
  <c r="G582" i="1"/>
  <c r="D582" i="1"/>
  <c r="C582" i="1"/>
  <c r="L581" i="1"/>
  <c r="K581" i="1"/>
  <c r="H581" i="1"/>
  <c r="G581" i="1"/>
  <c r="M581" i="1" s="1"/>
  <c r="D581" i="1"/>
  <c r="C581" i="1"/>
  <c r="L580" i="1"/>
  <c r="K580" i="1"/>
  <c r="H580" i="1"/>
  <c r="G580" i="1"/>
  <c r="J580" i="1" s="1"/>
  <c r="D580" i="1"/>
  <c r="C580" i="1"/>
  <c r="L579" i="1"/>
  <c r="K579" i="1"/>
  <c r="H579" i="1"/>
  <c r="G579" i="1"/>
  <c r="M579" i="1" s="1"/>
  <c r="D579" i="1"/>
  <c r="C579" i="1"/>
  <c r="L578" i="1"/>
  <c r="K578" i="1"/>
  <c r="H578" i="1"/>
  <c r="G578" i="1"/>
  <c r="M578" i="1" s="1"/>
  <c r="D578" i="1"/>
  <c r="C578" i="1"/>
  <c r="L577" i="1"/>
  <c r="K577" i="1"/>
  <c r="H577" i="1"/>
  <c r="G577" i="1"/>
  <c r="D577" i="1"/>
  <c r="C577" i="1"/>
  <c r="L576" i="1"/>
  <c r="K576" i="1"/>
  <c r="H576" i="1"/>
  <c r="G576" i="1"/>
  <c r="D576" i="1"/>
  <c r="C576" i="1"/>
  <c r="L575" i="1"/>
  <c r="K575" i="1"/>
  <c r="H575" i="1"/>
  <c r="G575" i="1"/>
  <c r="I575" i="1" s="1"/>
  <c r="D575" i="1"/>
  <c r="C575" i="1"/>
  <c r="L574" i="1"/>
  <c r="K574" i="1"/>
  <c r="H574" i="1"/>
  <c r="G574" i="1"/>
  <c r="M574" i="1" s="1"/>
  <c r="D574" i="1"/>
  <c r="C574" i="1"/>
  <c r="L573" i="1"/>
  <c r="K573" i="1"/>
  <c r="H573" i="1"/>
  <c r="G573" i="1"/>
  <c r="M573" i="1" s="1"/>
  <c r="D573" i="1"/>
  <c r="C573" i="1"/>
  <c r="L572" i="1"/>
  <c r="K572" i="1"/>
  <c r="H572" i="1"/>
  <c r="G572" i="1"/>
  <c r="J572" i="1" s="1"/>
  <c r="D572" i="1"/>
  <c r="C572" i="1"/>
  <c r="L571" i="1"/>
  <c r="K571" i="1"/>
  <c r="H571" i="1"/>
  <c r="G571" i="1"/>
  <c r="D571" i="1"/>
  <c r="C571" i="1"/>
  <c r="L570" i="1"/>
  <c r="K570" i="1"/>
  <c r="H570" i="1"/>
  <c r="G570" i="1"/>
  <c r="M570" i="1" s="1"/>
  <c r="D570" i="1"/>
  <c r="C570" i="1"/>
  <c r="L569" i="1"/>
  <c r="K569" i="1"/>
  <c r="H569" i="1"/>
  <c r="G569" i="1"/>
  <c r="M569" i="1" s="1"/>
  <c r="D569" i="1"/>
  <c r="C569" i="1"/>
  <c r="L568" i="1"/>
  <c r="K568" i="1"/>
  <c r="H568" i="1"/>
  <c r="G568" i="1"/>
  <c r="J568" i="1" s="1"/>
  <c r="D568" i="1"/>
  <c r="C568" i="1"/>
  <c r="L567" i="1"/>
  <c r="K567" i="1"/>
  <c r="H567" i="1"/>
  <c r="G567" i="1"/>
  <c r="J567" i="1" s="1"/>
  <c r="D567" i="1"/>
  <c r="C567" i="1"/>
  <c r="L566" i="1"/>
  <c r="K566" i="1"/>
  <c r="H566" i="1"/>
  <c r="G566" i="1"/>
  <c r="J566" i="1" s="1"/>
  <c r="D566" i="1"/>
  <c r="C566" i="1"/>
  <c r="L565" i="1"/>
  <c r="K565" i="1"/>
  <c r="H565" i="1"/>
  <c r="G565" i="1"/>
  <c r="M565" i="1" s="1"/>
  <c r="D565" i="1"/>
  <c r="C565" i="1"/>
  <c r="L564" i="1"/>
  <c r="K564" i="1"/>
  <c r="H564" i="1"/>
  <c r="G564" i="1"/>
  <c r="M564" i="1" s="1"/>
  <c r="D564" i="1"/>
  <c r="C564" i="1"/>
  <c r="L563" i="1"/>
  <c r="K563" i="1"/>
  <c r="H563" i="1"/>
  <c r="G563" i="1"/>
  <c r="J563" i="1" s="1"/>
  <c r="D563" i="1"/>
  <c r="C563" i="1"/>
  <c r="L562" i="1"/>
  <c r="K562" i="1"/>
  <c r="H562" i="1"/>
  <c r="G562" i="1"/>
  <c r="I562" i="1" s="1"/>
  <c r="D562" i="1"/>
  <c r="C562" i="1"/>
  <c r="L561" i="1"/>
  <c r="K561" i="1"/>
  <c r="H561" i="1"/>
  <c r="G561" i="1"/>
  <c r="M561" i="1" s="1"/>
  <c r="D561" i="1"/>
  <c r="C561" i="1"/>
  <c r="L560" i="1"/>
  <c r="K560" i="1"/>
  <c r="H560" i="1"/>
  <c r="G560" i="1"/>
  <c r="D560" i="1"/>
  <c r="C560" i="1"/>
  <c r="L559" i="1"/>
  <c r="K559" i="1"/>
  <c r="H559" i="1"/>
  <c r="G559" i="1"/>
  <c r="M559" i="1" s="1"/>
  <c r="D559" i="1"/>
  <c r="C559" i="1"/>
  <c r="L558" i="1"/>
  <c r="K558" i="1"/>
  <c r="H558" i="1"/>
  <c r="G558" i="1"/>
  <c r="D558" i="1"/>
  <c r="C558" i="1"/>
  <c r="L557" i="1"/>
  <c r="K557" i="1"/>
  <c r="H557" i="1"/>
  <c r="G557" i="1"/>
  <c r="D557" i="1"/>
  <c r="C557" i="1"/>
  <c r="L556" i="1"/>
  <c r="K556" i="1"/>
  <c r="H556" i="1"/>
  <c r="G556" i="1"/>
  <c r="J556" i="1" s="1"/>
  <c r="D556" i="1"/>
  <c r="C556" i="1"/>
  <c r="L555" i="1"/>
  <c r="K555" i="1"/>
  <c r="H555" i="1"/>
  <c r="G555" i="1"/>
  <c r="M555" i="1" s="1"/>
  <c r="D555" i="1"/>
  <c r="C555" i="1"/>
  <c r="L554" i="1"/>
  <c r="K554" i="1"/>
  <c r="H554" i="1"/>
  <c r="G554" i="1"/>
  <c r="M554" i="1" s="1"/>
  <c r="D554" i="1"/>
  <c r="C554" i="1"/>
  <c r="L553" i="1"/>
  <c r="K553" i="1"/>
  <c r="H553" i="1"/>
  <c r="G553" i="1"/>
  <c r="J553" i="1" s="1"/>
  <c r="D553" i="1"/>
  <c r="C553" i="1"/>
  <c r="L552" i="1"/>
  <c r="K552" i="1"/>
  <c r="H552" i="1"/>
  <c r="G552" i="1"/>
  <c r="M552" i="1" s="1"/>
  <c r="D552" i="1"/>
  <c r="C552" i="1"/>
  <c r="L551" i="1"/>
  <c r="K551" i="1"/>
  <c r="H551" i="1"/>
  <c r="G551" i="1"/>
  <c r="M551" i="1" s="1"/>
  <c r="D551" i="1"/>
  <c r="C551" i="1"/>
  <c r="L550" i="1"/>
  <c r="K550" i="1"/>
  <c r="H550" i="1"/>
  <c r="G550" i="1"/>
  <c r="M550" i="1" s="1"/>
  <c r="D550" i="1"/>
  <c r="C550" i="1"/>
  <c r="L549" i="1"/>
  <c r="K549" i="1"/>
  <c r="H549" i="1"/>
  <c r="G549" i="1"/>
  <c r="I549" i="1" s="1"/>
  <c r="D549" i="1"/>
  <c r="C549" i="1"/>
  <c r="L548" i="1"/>
  <c r="K548" i="1"/>
  <c r="H548" i="1"/>
  <c r="G548" i="1"/>
  <c r="I548" i="1" s="1"/>
  <c r="D548" i="1"/>
  <c r="C548" i="1"/>
  <c r="L547" i="1"/>
  <c r="K547" i="1"/>
  <c r="H547" i="1"/>
  <c r="G547" i="1"/>
  <c r="M547" i="1" s="1"/>
  <c r="D547" i="1"/>
  <c r="C547" i="1"/>
  <c r="L546" i="1"/>
  <c r="K546" i="1"/>
  <c r="H546" i="1"/>
  <c r="G546" i="1"/>
  <c r="D546" i="1"/>
  <c r="C546" i="1"/>
  <c r="L545" i="1"/>
  <c r="K545" i="1"/>
  <c r="H545" i="1"/>
  <c r="G545" i="1"/>
  <c r="M545" i="1" s="1"/>
  <c r="D545" i="1"/>
  <c r="C545" i="1"/>
  <c r="L544" i="1"/>
  <c r="K544" i="1"/>
  <c r="H544" i="1"/>
  <c r="G544" i="1"/>
  <c r="J544" i="1" s="1"/>
  <c r="D544" i="1"/>
  <c r="C544" i="1"/>
  <c r="L543" i="1"/>
  <c r="K543" i="1"/>
  <c r="H543" i="1"/>
  <c r="G543" i="1"/>
  <c r="D543" i="1"/>
  <c r="C543" i="1"/>
  <c r="L542" i="1"/>
  <c r="K542" i="1"/>
  <c r="H542" i="1"/>
  <c r="G542" i="1"/>
  <c r="J542" i="1" s="1"/>
  <c r="D542" i="1"/>
  <c r="C542" i="1"/>
  <c r="L541" i="1"/>
  <c r="K541" i="1"/>
  <c r="H541" i="1"/>
  <c r="G541" i="1"/>
  <c r="M541" i="1" s="1"/>
  <c r="D541" i="1"/>
  <c r="C541" i="1"/>
  <c r="L540" i="1"/>
  <c r="K540" i="1"/>
  <c r="H540" i="1"/>
  <c r="G540" i="1"/>
  <c r="I540" i="1" s="1"/>
  <c r="D540" i="1"/>
  <c r="C540" i="1"/>
  <c r="L539" i="1"/>
  <c r="K539" i="1"/>
  <c r="H539" i="1"/>
  <c r="G539" i="1"/>
  <c r="D539" i="1"/>
  <c r="C539" i="1"/>
  <c r="L538" i="1"/>
  <c r="K538" i="1"/>
  <c r="H538" i="1"/>
  <c r="G538" i="1"/>
  <c r="I538" i="1" s="1"/>
  <c r="D538" i="1"/>
  <c r="C538" i="1"/>
  <c r="L537" i="1"/>
  <c r="K537" i="1"/>
  <c r="H537" i="1"/>
  <c r="G537" i="1"/>
  <c r="J537" i="1" s="1"/>
  <c r="D537" i="1"/>
  <c r="C537" i="1"/>
  <c r="L536" i="1"/>
  <c r="K536" i="1"/>
  <c r="H536" i="1"/>
  <c r="G536" i="1"/>
  <c r="D536" i="1"/>
  <c r="C536" i="1"/>
  <c r="L535" i="1"/>
  <c r="K535" i="1"/>
  <c r="H535" i="1"/>
  <c r="G535" i="1"/>
  <c r="D535" i="1"/>
  <c r="C535" i="1"/>
  <c r="L534" i="1"/>
  <c r="K534" i="1"/>
  <c r="H534" i="1"/>
  <c r="G534" i="1"/>
  <c r="D534" i="1"/>
  <c r="C534" i="1"/>
  <c r="L533" i="1"/>
  <c r="K533" i="1"/>
  <c r="H533" i="1"/>
  <c r="G533" i="1"/>
  <c r="M533" i="1" s="1"/>
  <c r="D533" i="1"/>
  <c r="C533" i="1"/>
  <c r="L532" i="1"/>
  <c r="K532" i="1"/>
  <c r="H532" i="1"/>
  <c r="G532" i="1"/>
  <c r="I532" i="1" s="1"/>
  <c r="D532" i="1"/>
  <c r="C532" i="1"/>
  <c r="L531" i="1"/>
  <c r="K531" i="1"/>
  <c r="H531" i="1"/>
  <c r="G531" i="1"/>
  <c r="I531" i="1" s="1"/>
  <c r="D531" i="1"/>
  <c r="C531" i="1"/>
  <c r="L530" i="1"/>
  <c r="K530" i="1"/>
  <c r="H530" i="1"/>
  <c r="G530" i="1"/>
  <c r="D530" i="1"/>
  <c r="C530" i="1"/>
  <c r="L529" i="1"/>
  <c r="K529" i="1"/>
  <c r="H529" i="1"/>
  <c r="G529" i="1"/>
  <c r="M529" i="1" s="1"/>
  <c r="D529" i="1"/>
  <c r="C529" i="1"/>
  <c r="L528" i="1"/>
  <c r="K528" i="1"/>
  <c r="H528" i="1"/>
  <c r="G528" i="1"/>
  <c r="J528" i="1" s="1"/>
  <c r="D528" i="1"/>
  <c r="C528" i="1"/>
  <c r="L527" i="1"/>
  <c r="K527" i="1"/>
  <c r="H527" i="1"/>
  <c r="G527" i="1"/>
  <c r="D527" i="1"/>
  <c r="C527" i="1"/>
  <c r="L526" i="1"/>
  <c r="K526" i="1"/>
  <c r="H526" i="1"/>
  <c r="G526" i="1"/>
  <c r="D526" i="1"/>
  <c r="C526" i="1"/>
  <c r="L525" i="1"/>
  <c r="K525" i="1"/>
  <c r="H525" i="1"/>
  <c r="G525" i="1"/>
  <c r="M525" i="1" s="1"/>
  <c r="D525" i="1"/>
  <c r="C525" i="1"/>
  <c r="L524" i="1"/>
  <c r="K524" i="1"/>
  <c r="H524" i="1"/>
  <c r="G524" i="1"/>
  <c r="M524" i="1" s="1"/>
  <c r="D524" i="1"/>
  <c r="C524" i="1"/>
  <c r="L523" i="1"/>
  <c r="K523" i="1"/>
  <c r="H523" i="1"/>
  <c r="G523" i="1"/>
  <c r="I523" i="1" s="1"/>
  <c r="D523" i="1"/>
  <c r="C523" i="1"/>
  <c r="L522" i="1"/>
  <c r="K522" i="1"/>
  <c r="H522" i="1"/>
  <c r="G522" i="1"/>
  <c r="M522" i="1" s="1"/>
  <c r="D522" i="1"/>
  <c r="C522" i="1"/>
  <c r="L521" i="1"/>
  <c r="K521" i="1"/>
  <c r="H521" i="1"/>
  <c r="G521" i="1"/>
  <c r="J521" i="1" s="1"/>
  <c r="D521" i="1"/>
  <c r="C521" i="1"/>
  <c r="L520" i="1"/>
  <c r="K520" i="1"/>
  <c r="H520" i="1"/>
  <c r="G520" i="1"/>
  <c r="M520" i="1" s="1"/>
  <c r="D520" i="1"/>
  <c r="C520" i="1"/>
  <c r="L519" i="1"/>
  <c r="K519" i="1"/>
  <c r="H519" i="1"/>
  <c r="G519" i="1"/>
  <c r="D519" i="1"/>
  <c r="C519" i="1"/>
  <c r="L518" i="1"/>
  <c r="K518" i="1"/>
  <c r="H518" i="1"/>
  <c r="G518" i="1"/>
  <c r="M518" i="1" s="1"/>
  <c r="D518" i="1"/>
  <c r="C518" i="1"/>
  <c r="L517" i="1"/>
  <c r="K517" i="1"/>
  <c r="H517" i="1"/>
  <c r="G517" i="1"/>
  <c r="D517" i="1"/>
  <c r="C517" i="1"/>
  <c r="L516" i="1"/>
  <c r="K516" i="1"/>
  <c r="H516" i="1"/>
  <c r="G516" i="1"/>
  <c r="M516" i="1" s="1"/>
  <c r="D516" i="1"/>
  <c r="C516" i="1"/>
  <c r="L515" i="1"/>
  <c r="K515" i="1"/>
  <c r="H515" i="1"/>
  <c r="G515" i="1"/>
  <c r="J515" i="1" s="1"/>
  <c r="D515" i="1"/>
  <c r="C515" i="1"/>
  <c r="L514" i="1"/>
  <c r="K514" i="1"/>
  <c r="H514" i="1"/>
  <c r="G514" i="1"/>
  <c r="J514" i="1" s="1"/>
  <c r="D514" i="1"/>
  <c r="C514" i="1"/>
  <c r="L513" i="1"/>
  <c r="K513" i="1"/>
  <c r="H513" i="1"/>
  <c r="G513" i="1"/>
  <c r="M513" i="1" s="1"/>
  <c r="D513" i="1"/>
  <c r="C513" i="1"/>
  <c r="L512" i="1"/>
  <c r="K512" i="1"/>
  <c r="H512" i="1"/>
  <c r="G512" i="1"/>
  <c r="J512" i="1" s="1"/>
  <c r="D512" i="1"/>
  <c r="C512" i="1"/>
  <c r="L511" i="1"/>
  <c r="K511" i="1"/>
  <c r="H511" i="1"/>
  <c r="G511" i="1"/>
  <c r="I511" i="1" s="1"/>
  <c r="D511" i="1"/>
  <c r="C511" i="1"/>
  <c r="L510" i="1"/>
  <c r="K510" i="1"/>
  <c r="H510" i="1"/>
  <c r="G510" i="1"/>
  <c r="M510" i="1" s="1"/>
  <c r="D510" i="1"/>
  <c r="C510" i="1"/>
  <c r="L509" i="1"/>
  <c r="K509" i="1"/>
  <c r="H509" i="1"/>
  <c r="G509" i="1"/>
  <c r="M509" i="1" s="1"/>
  <c r="D509" i="1"/>
  <c r="C509" i="1"/>
  <c r="L508" i="1"/>
  <c r="K508" i="1"/>
  <c r="H508" i="1"/>
  <c r="G508" i="1"/>
  <c r="I508" i="1" s="1"/>
  <c r="D508" i="1"/>
  <c r="C508" i="1"/>
  <c r="L507" i="1"/>
  <c r="K507" i="1"/>
  <c r="H507" i="1"/>
  <c r="G507" i="1"/>
  <c r="D507" i="1"/>
  <c r="C507" i="1"/>
  <c r="L506" i="1"/>
  <c r="K506" i="1"/>
  <c r="H506" i="1"/>
  <c r="G506" i="1"/>
  <c r="D506" i="1"/>
  <c r="C506" i="1"/>
  <c r="L505" i="1"/>
  <c r="K505" i="1"/>
  <c r="H505" i="1"/>
  <c r="G505" i="1"/>
  <c r="J505" i="1" s="1"/>
  <c r="D505" i="1"/>
  <c r="C505" i="1"/>
  <c r="L504" i="1"/>
  <c r="K504" i="1"/>
  <c r="H504" i="1"/>
  <c r="G504" i="1"/>
  <c r="M504" i="1" s="1"/>
  <c r="D504" i="1"/>
  <c r="C504" i="1"/>
  <c r="L503" i="1"/>
  <c r="K503" i="1"/>
  <c r="H503" i="1"/>
  <c r="G503" i="1"/>
  <c r="J503" i="1" s="1"/>
  <c r="D503" i="1"/>
  <c r="C503" i="1"/>
  <c r="L502" i="1"/>
  <c r="K502" i="1"/>
  <c r="H502" i="1"/>
  <c r="G502" i="1"/>
  <c r="J502" i="1" s="1"/>
  <c r="D502" i="1"/>
  <c r="C502" i="1"/>
  <c r="L501" i="1"/>
  <c r="K501" i="1"/>
  <c r="H501" i="1"/>
  <c r="G501" i="1"/>
  <c r="M501" i="1" s="1"/>
  <c r="D501" i="1"/>
  <c r="C501" i="1"/>
  <c r="L500" i="1"/>
  <c r="K500" i="1"/>
  <c r="H500" i="1"/>
  <c r="G500" i="1"/>
  <c r="D500" i="1"/>
  <c r="C500" i="1"/>
  <c r="L499" i="1"/>
  <c r="K499" i="1"/>
  <c r="H499" i="1"/>
  <c r="G499" i="1"/>
  <c r="M499" i="1" s="1"/>
  <c r="D499" i="1"/>
  <c r="C499" i="1"/>
  <c r="L498" i="1"/>
  <c r="K498" i="1"/>
  <c r="H498" i="1"/>
  <c r="G498" i="1"/>
  <c r="D498" i="1"/>
  <c r="C498" i="1"/>
  <c r="L497" i="1"/>
  <c r="K497" i="1"/>
  <c r="H497" i="1"/>
  <c r="G497" i="1"/>
  <c r="J497" i="1" s="1"/>
  <c r="D497" i="1"/>
  <c r="C497" i="1"/>
  <c r="L496" i="1"/>
  <c r="K496" i="1"/>
  <c r="H496" i="1"/>
  <c r="G496" i="1"/>
  <c r="J496" i="1" s="1"/>
  <c r="D496" i="1"/>
  <c r="C496" i="1"/>
  <c r="L495" i="1"/>
  <c r="K495" i="1"/>
  <c r="H495" i="1"/>
  <c r="G495" i="1"/>
  <c r="D495" i="1"/>
  <c r="C495" i="1"/>
  <c r="L494" i="1"/>
  <c r="K494" i="1"/>
  <c r="H494" i="1"/>
  <c r="G494" i="1"/>
  <c r="J494" i="1" s="1"/>
  <c r="D494" i="1"/>
  <c r="C494" i="1"/>
  <c r="L493" i="1"/>
  <c r="K493" i="1"/>
  <c r="H493" i="1"/>
  <c r="G493" i="1"/>
  <c r="J493" i="1" s="1"/>
  <c r="D493" i="1"/>
  <c r="C493" i="1"/>
  <c r="L492" i="1"/>
  <c r="K492" i="1"/>
  <c r="H492" i="1"/>
  <c r="G492" i="1"/>
  <c r="D492" i="1"/>
  <c r="C492" i="1"/>
  <c r="L491" i="1"/>
  <c r="K491" i="1"/>
  <c r="H491" i="1"/>
  <c r="G491" i="1"/>
  <c r="M491" i="1" s="1"/>
  <c r="D491" i="1"/>
  <c r="C491" i="1"/>
  <c r="L490" i="1"/>
  <c r="K490" i="1"/>
  <c r="H490" i="1"/>
  <c r="G490" i="1"/>
  <c r="M490" i="1" s="1"/>
  <c r="D490" i="1"/>
  <c r="C490" i="1"/>
  <c r="L489" i="1"/>
  <c r="K489" i="1"/>
  <c r="H489" i="1"/>
  <c r="G489" i="1"/>
  <c r="M489" i="1" s="1"/>
  <c r="D489" i="1"/>
  <c r="C489" i="1"/>
  <c r="L488" i="1"/>
  <c r="K488" i="1"/>
  <c r="H488" i="1"/>
  <c r="G488" i="1"/>
  <c r="M488" i="1" s="1"/>
  <c r="D488" i="1"/>
  <c r="C488" i="1"/>
  <c r="L487" i="1"/>
  <c r="K487" i="1"/>
  <c r="H487" i="1"/>
  <c r="G487" i="1"/>
  <c r="J487" i="1" s="1"/>
  <c r="D487" i="1"/>
  <c r="C487" i="1"/>
  <c r="L486" i="1"/>
  <c r="K486" i="1"/>
  <c r="H486" i="1"/>
  <c r="G486" i="1"/>
  <c r="J486" i="1" s="1"/>
  <c r="D486" i="1"/>
  <c r="C486" i="1"/>
  <c r="L485" i="1"/>
  <c r="K485" i="1"/>
  <c r="H485" i="1"/>
  <c r="G485" i="1"/>
  <c r="M485" i="1" s="1"/>
  <c r="D485" i="1"/>
  <c r="C485" i="1"/>
  <c r="L484" i="1"/>
  <c r="K484" i="1"/>
  <c r="H484" i="1"/>
  <c r="G484" i="1"/>
  <c r="J484" i="1" s="1"/>
  <c r="D484" i="1"/>
  <c r="C484" i="1"/>
  <c r="L483" i="1"/>
  <c r="K483" i="1"/>
  <c r="H483" i="1"/>
  <c r="G483" i="1"/>
  <c r="M483" i="1" s="1"/>
  <c r="D483" i="1"/>
  <c r="C483" i="1"/>
  <c r="L482" i="1"/>
  <c r="K482" i="1"/>
  <c r="H482" i="1"/>
  <c r="G482" i="1"/>
  <c r="I482" i="1" s="1"/>
  <c r="D482" i="1"/>
  <c r="C482" i="1"/>
  <c r="L481" i="1"/>
  <c r="K481" i="1"/>
  <c r="H481" i="1"/>
  <c r="G481" i="1"/>
  <c r="I481" i="1" s="1"/>
  <c r="D481" i="1"/>
  <c r="C481" i="1"/>
  <c r="L480" i="1"/>
  <c r="K480" i="1"/>
  <c r="H480" i="1"/>
  <c r="G480" i="1"/>
  <c r="D480" i="1"/>
  <c r="C480" i="1"/>
  <c r="L479" i="1"/>
  <c r="K479" i="1"/>
  <c r="H479" i="1"/>
  <c r="G479" i="1"/>
  <c r="M479" i="1" s="1"/>
  <c r="D479" i="1"/>
  <c r="C479" i="1"/>
  <c r="L478" i="1"/>
  <c r="K478" i="1"/>
  <c r="H478" i="1"/>
  <c r="G478" i="1"/>
  <c r="I478" i="1" s="1"/>
  <c r="D478" i="1"/>
  <c r="C478" i="1"/>
  <c r="L477" i="1"/>
  <c r="K477" i="1"/>
  <c r="H477" i="1"/>
  <c r="G477" i="1"/>
  <c r="J477" i="1" s="1"/>
  <c r="D477" i="1"/>
  <c r="C477" i="1"/>
  <c r="L476" i="1"/>
  <c r="K476" i="1"/>
  <c r="H476" i="1"/>
  <c r="G476" i="1"/>
  <c r="M476" i="1" s="1"/>
  <c r="D476" i="1"/>
  <c r="C476" i="1"/>
  <c r="L475" i="1"/>
  <c r="K475" i="1"/>
  <c r="H475" i="1"/>
  <c r="G475" i="1"/>
  <c r="I475" i="1" s="1"/>
  <c r="D475" i="1"/>
  <c r="C475" i="1"/>
  <c r="L474" i="1"/>
  <c r="K474" i="1"/>
  <c r="H474" i="1"/>
  <c r="G474" i="1"/>
  <c r="D474" i="1"/>
  <c r="C474" i="1"/>
  <c r="L473" i="1"/>
  <c r="K473" i="1"/>
  <c r="H473" i="1"/>
  <c r="G473" i="1"/>
  <c r="I473" i="1" s="1"/>
  <c r="D473" i="1"/>
  <c r="C473" i="1"/>
  <c r="L472" i="1"/>
  <c r="K472" i="1"/>
  <c r="H472" i="1"/>
  <c r="G472" i="1"/>
  <c r="M472" i="1" s="1"/>
  <c r="D472" i="1"/>
  <c r="C472" i="1"/>
  <c r="L471" i="1"/>
  <c r="K471" i="1"/>
  <c r="H471" i="1"/>
  <c r="G471" i="1"/>
  <c r="M471" i="1" s="1"/>
  <c r="D471" i="1"/>
  <c r="C471" i="1"/>
  <c r="L470" i="1"/>
  <c r="K470" i="1"/>
  <c r="H470" i="1"/>
  <c r="G470" i="1"/>
  <c r="M470" i="1" s="1"/>
  <c r="D470" i="1"/>
  <c r="C470" i="1"/>
  <c r="L469" i="1"/>
  <c r="K469" i="1"/>
  <c r="H469" i="1"/>
  <c r="G469" i="1"/>
  <c r="M469" i="1" s="1"/>
  <c r="D469" i="1"/>
  <c r="C469" i="1"/>
  <c r="L468" i="1"/>
  <c r="K468" i="1"/>
  <c r="H468" i="1"/>
  <c r="G468" i="1"/>
  <c r="M468" i="1" s="1"/>
  <c r="D468" i="1"/>
  <c r="C468" i="1"/>
  <c r="L467" i="1"/>
  <c r="K467" i="1"/>
  <c r="H467" i="1"/>
  <c r="G467" i="1"/>
  <c r="J467" i="1" s="1"/>
  <c r="D467" i="1"/>
  <c r="C467" i="1"/>
  <c r="L466" i="1"/>
  <c r="K466" i="1"/>
  <c r="H466" i="1"/>
  <c r="G466" i="1"/>
  <c r="I466" i="1" s="1"/>
  <c r="D466" i="1"/>
  <c r="C466" i="1"/>
  <c r="L465" i="1"/>
  <c r="K465" i="1"/>
  <c r="H465" i="1"/>
  <c r="G465" i="1"/>
  <c r="M465" i="1" s="1"/>
  <c r="D465" i="1"/>
  <c r="C465" i="1"/>
  <c r="L464" i="1"/>
  <c r="K464" i="1"/>
  <c r="H464" i="1"/>
  <c r="G464" i="1"/>
  <c r="J464" i="1" s="1"/>
  <c r="D464" i="1"/>
  <c r="C464" i="1"/>
  <c r="L463" i="1"/>
  <c r="K463" i="1"/>
  <c r="H463" i="1"/>
  <c r="G463" i="1"/>
  <c r="M463" i="1" s="1"/>
  <c r="D463" i="1"/>
  <c r="C463" i="1"/>
  <c r="L462" i="1"/>
  <c r="K462" i="1"/>
  <c r="H462" i="1"/>
  <c r="G462" i="1"/>
  <c r="D462" i="1"/>
  <c r="C462" i="1"/>
  <c r="L461" i="1"/>
  <c r="K461" i="1"/>
  <c r="H461" i="1"/>
  <c r="G461" i="1"/>
  <c r="M461" i="1" s="1"/>
  <c r="D461" i="1"/>
  <c r="C461" i="1"/>
  <c r="L460" i="1"/>
  <c r="K460" i="1"/>
  <c r="H460" i="1"/>
  <c r="G460" i="1"/>
  <c r="M460" i="1" s="1"/>
  <c r="D460" i="1"/>
  <c r="C460" i="1"/>
  <c r="L459" i="1"/>
  <c r="K459" i="1"/>
  <c r="H459" i="1"/>
  <c r="G459" i="1"/>
  <c r="M459" i="1" s="1"/>
  <c r="D459" i="1"/>
  <c r="C459" i="1"/>
  <c r="L458" i="1"/>
  <c r="K458" i="1"/>
  <c r="H458" i="1"/>
  <c r="G458" i="1"/>
  <c r="J458" i="1" s="1"/>
  <c r="D458" i="1"/>
  <c r="C458" i="1"/>
  <c r="L457" i="1"/>
  <c r="K457" i="1"/>
  <c r="H457" i="1"/>
  <c r="G457" i="1"/>
  <c r="J457" i="1" s="1"/>
  <c r="D457" i="1"/>
  <c r="C457" i="1"/>
  <c r="L456" i="1"/>
  <c r="K456" i="1"/>
  <c r="H456" i="1"/>
  <c r="G456" i="1"/>
  <c r="M456" i="1" s="1"/>
  <c r="D456" i="1"/>
  <c r="C456" i="1"/>
  <c r="L455" i="1"/>
  <c r="K455" i="1"/>
  <c r="H455" i="1"/>
  <c r="G455" i="1"/>
  <c r="J455" i="1" s="1"/>
  <c r="D455" i="1"/>
  <c r="C455" i="1"/>
  <c r="L454" i="1"/>
  <c r="K454" i="1"/>
  <c r="H454" i="1"/>
  <c r="G454" i="1"/>
  <c r="D454" i="1"/>
  <c r="C454" i="1"/>
  <c r="L453" i="1"/>
  <c r="K453" i="1"/>
  <c r="H453" i="1"/>
  <c r="G453" i="1"/>
  <c r="M453" i="1" s="1"/>
  <c r="D453" i="1"/>
  <c r="C453" i="1"/>
  <c r="L452" i="1"/>
  <c r="K452" i="1"/>
  <c r="H452" i="1"/>
  <c r="G452" i="1"/>
  <c r="J452" i="1" s="1"/>
  <c r="D452" i="1"/>
  <c r="C452" i="1"/>
  <c r="L451" i="1"/>
  <c r="K451" i="1"/>
  <c r="H451" i="1"/>
  <c r="G451" i="1"/>
  <c r="I451" i="1" s="1"/>
  <c r="D451" i="1"/>
  <c r="C451" i="1"/>
  <c r="L450" i="1"/>
  <c r="K450" i="1"/>
  <c r="H450" i="1"/>
  <c r="G450" i="1"/>
  <c r="J450" i="1" s="1"/>
  <c r="D450" i="1"/>
  <c r="C450" i="1"/>
  <c r="L449" i="1"/>
  <c r="K449" i="1"/>
  <c r="H449" i="1"/>
  <c r="G449" i="1"/>
  <c r="M449" i="1" s="1"/>
  <c r="D449" i="1"/>
  <c r="C449" i="1"/>
  <c r="L448" i="1"/>
  <c r="K448" i="1"/>
  <c r="H448" i="1"/>
  <c r="G448" i="1"/>
  <c r="M448" i="1" s="1"/>
  <c r="D448" i="1"/>
  <c r="C448" i="1"/>
  <c r="L447" i="1"/>
  <c r="K447" i="1"/>
  <c r="H447" i="1"/>
  <c r="G447" i="1"/>
  <c r="J447" i="1" s="1"/>
  <c r="D447" i="1"/>
  <c r="C447" i="1"/>
  <c r="L446" i="1"/>
  <c r="K446" i="1"/>
  <c r="H446" i="1"/>
  <c r="G446" i="1"/>
  <c r="I446" i="1" s="1"/>
  <c r="D446" i="1"/>
  <c r="C446" i="1"/>
  <c r="L445" i="1"/>
  <c r="K445" i="1"/>
  <c r="H445" i="1"/>
  <c r="G445" i="1"/>
  <c r="I445" i="1" s="1"/>
  <c r="D445" i="1"/>
  <c r="C445" i="1"/>
  <c r="L444" i="1"/>
  <c r="K444" i="1"/>
  <c r="H444" i="1"/>
  <c r="G444" i="1"/>
  <c r="I444" i="1" s="1"/>
  <c r="D444" i="1"/>
  <c r="C444" i="1"/>
  <c r="L443" i="1"/>
  <c r="K443" i="1"/>
  <c r="H443" i="1"/>
  <c r="G443" i="1"/>
  <c r="M443" i="1" s="1"/>
  <c r="D443" i="1"/>
  <c r="C443" i="1"/>
  <c r="L442" i="1"/>
  <c r="K442" i="1"/>
  <c r="H442" i="1"/>
  <c r="G442" i="1"/>
  <c r="J442" i="1" s="1"/>
  <c r="D442" i="1"/>
  <c r="C442" i="1"/>
  <c r="L441" i="1"/>
  <c r="K441" i="1"/>
  <c r="H441" i="1"/>
  <c r="G441" i="1"/>
  <c r="D441" i="1"/>
  <c r="C441" i="1"/>
  <c r="L440" i="1"/>
  <c r="K440" i="1"/>
  <c r="H440" i="1"/>
  <c r="G440" i="1"/>
  <c r="M440" i="1" s="1"/>
  <c r="D440" i="1"/>
  <c r="C440" i="1"/>
  <c r="L439" i="1"/>
  <c r="K439" i="1"/>
  <c r="H439" i="1"/>
  <c r="G439" i="1"/>
  <c r="M439" i="1" s="1"/>
  <c r="D439" i="1"/>
  <c r="C439" i="1"/>
  <c r="L438" i="1"/>
  <c r="K438" i="1"/>
  <c r="H438" i="1"/>
  <c r="G438" i="1"/>
  <c r="M438" i="1" s="1"/>
  <c r="D438" i="1"/>
  <c r="C438" i="1"/>
  <c r="L437" i="1"/>
  <c r="K437" i="1"/>
  <c r="H437" i="1"/>
  <c r="G437" i="1"/>
  <c r="J437" i="1" s="1"/>
  <c r="D437" i="1"/>
  <c r="C437" i="1"/>
  <c r="L436" i="1"/>
  <c r="K436" i="1"/>
  <c r="H436" i="1"/>
  <c r="G436" i="1"/>
  <c r="M436" i="1" s="1"/>
  <c r="D436" i="1"/>
  <c r="C436" i="1"/>
  <c r="L435" i="1"/>
  <c r="K435" i="1"/>
  <c r="H435" i="1"/>
  <c r="G435" i="1"/>
  <c r="J435" i="1" s="1"/>
  <c r="D435" i="1"/>
  <c r="C435" i="1"/>
  <c r="L434" i="1"/>
  <c r="K434" i="1"/>
  <c r="H434" i="1"/>
  <c r="G434" i="1"/>
  <c r="D434" i="1"/>
  <c r="C434" i="1"/>
  <c r="L433" i="1"/>
  <c r="K433" i="1"/>
  <c r="H433" i="1"/>
  <c r="G433" i="1"/>
  <c r="J433" i="1" s="1"/>
  <c r="D433" i="1"/>
  <c r="C433" i="1"/>
  <c r="L432" i="1"/>
  <c r="K432" i="1"/>
  <c r="H432" i="1"/>
  <c r="G432" i="1"/>
  <c r="I432" i="1" s="1"/>
  <c r="D432" i="1"/>
  <c r="C432" i="1"/>
  <c r="L431" i="1"/>
  <c r="K431" i="1"/>
  <c r="H431" i="1"/>
  <c r="G431" i="1"/>
  <c r="J431" i="1" s="1"/>
  <c r="D431" i="1"/>
  <c r="C431" i="1"/>
  <c r="L430" i="1"/>
  <c r="K430" i="1"/>
  <c r="H430" i="1"/>
  <c r="G430" i="1"/>
  <c r="M430" i="1" s="1"/>
  <c r="D430" i="1"/>
  <c r="C430" i="1"/>
  <c r="L429" i="1"/>
  <c r="K429" i="1"/>
  <c r="H429" i="1"/>
  <c r="G429" i="1"/>
  <c r="J429" i="1" s="1"/>
  <c r="D429" i="1"/>
  <c r="C429" i="1"/>
  <c r="L428" i="1"/>
  <c r="K428" i="1"/>
  <c r="H428" i="1"/>
  <c r="G428" i="1"/>
  <c r="D428" i="1"/>
  <c r="C428" i="1"/>
  <c r="L427" i="1"/>
  <c r="K427" i="1"/>
  <c r="H427" i="1"/>
  <c r="G427" i="1"/>
  <c r="D427" i="1"/>
  <c r="C427" i="1"/>
  <c r="L426" i="1"/>
  <c r="K426" i="1"/>
  <c r="H426" i="1"/>
  <c r="G426" i="1"/>
  <c r="I426" i="1" s="1"/>
  <c r="D426" i="1"/>
  <c r="C426" i="1"/>
  <c r="L425" i="1"/>
  <c r="K425" i="1"/>
  <c r="H425" i="1"/>
  <c r="G425" i="1"/>
  <c r="M425" i="1" s="1"/>
  <c r="D425" i="1"/>
  <c r="C425" i="1"/>
  <c r="L424" i="1"/>
  <c r="K424" i="1"/>
  <c r="H424" i="1"/>
  <c r="G424" i="1"/>
  <c r="D424" i="1"/>
  <c r="C424" i="1"/>
  <c r="L423" i="1"/>
  <c r="K423" i="1"/>
  <c r="H423" i="1"/>
  <c r="G423" i="1"/>
  <c r="M423" i="1" s="1"/>
  <c r="D423" i="1"/>
  <c r="C423" i="1"/>
  <c r="L422" i="1"/>
  <c r="K422" i="1"/>
  <c r="H422" i="1"/>
  <c r="G422" i="1"/>
  <c r="D422" i="1"/>
  <c r="C422" i="1"/>
  <c r="L421" i="1"/>
  <c r="K421" i="1"/>
  <c r="H421" i="1"/>
  <c r="G421" i="1"/>
  <c r="D421" i="1"/>
  <c r="C421" i="1"/>
  <c r="L420" i="1"/>
  <c r="K420" i="1"/>
  <c r="H420" i="1"/>
  <c r="G420" i="1"/>
  <c r="D420" i="1"/>
  <c r="C420" i="1"/>
  <c r="L419" i="1"/>
  <c r="K419" i="1"/>
  <c r="H419" i="1"/>
  <c r="G419" i="1"/>
  <c r="M419" i="1" s="1"/>
  <c r="D419" i="1"/>
  <c r="C419" i="1"/>
  <c r="L418" i="1"/>
  <c r="K418" i="1"/>
  <c r="H418" i="1"/>
  <c r="G418" i="1"/>
  <c r="I418" i="1" s="1"/>
  <c r="D418" i="1"/>
  <c r="C418" i="1"/>
  <c r="L417" i="1"/>
  <c r="K417" i="1"/>
  <c r="H417" i="1"/>
  <c r="G417" i="1"/>
  <c r="I417" i="1" s="1"/>
  <c r="D417" i="1"/>
  <c r="C417" i="1"/>
  <c r="L416" i="1"/>
  <c r="K416" i="1"/>
  <c r="H416" i="1"/>
  <c r="G416" i="1"/>
  <c r="J416" i="1" s="1"/>
  <c r="D416" i="1"/>
  <c r="C416" i="1"/>
  <c r="L415" i="1"/>
  <c r="K415" i="1"/>
  <c r="H415" i="1"/>
  <c r="G415" i="1"/>
  <c r="D415" i="1"/>
  <c r="C415" i="1"/>
  <c r="L414" i="1"/>
  <c r="K414" i="1"/>
  <c r="H414" i="1"/>
  <c r="G414" i="1"/>
  <c r="M414" i="1" s="1"/>
  <c r="D414" i="1"/>
  <c r="C414" i="1"/>
  <c r="L413" i="1"/>
  <c r="K413" i="1"/>
  <c r="H413" i="1"/>
  <c r="G413" i="1"/>
  <c r="M413" i="1" s="1"/>
  <c r="D413" i="1"/>
  <c r="C413" i="1"/>
  <c r="L412" i="1"/>
  <c r="K412" i="1"/>
  <c r="H412" i="1"/>
  <c r="G412" i="1"/>
  <c r="J412" i="1" s="1"/>
  <c r="D412" i="1"/>
  <c r="C412" i="1"/>
  <c r="L411" i="1"/>
  <c r="K411" i="1"/>
  <c r="H411" i="1"/>
  <c r="G411" i="1"/>
  <c r="I411" i="1" s="1"/>
  <c r="D411" i="1"/>
  <c r="C411" i="1"/>
  <c r="L410" i="1"/>
  <c r="K410" i="1"/>
  <c r="H410" i="1"/>
  <c r="G410" i="1"/>
  <c r="D410" i="1"/>
  <c r="C410" i="1"/>
  <c r="L409" i="1"/>
  <c r="K409" i="1"/>
  <c r="H409" i="1"/>
  <c r="G409" i="1"/>
  <c r="J409" i="1" s="1"/>
  <c r="D409" i="1"/>
  <c r="C409" i="1"/>
  <c r="L408" i="1"/>
  <c r="K408" i="1"/>
  <c r="H408" i="1"/>
  <c r="G408" i="1"/>
  <c r="M408" i="1" s="1"/>
  <c r="D408" i="1"/>
  <c r="C408" i="1"/>
  <c r="L407" i="1"/>
  <c r="K407" i="1"/>
  <c r="H407" i="1"/>
  <c r="G407" i="1"/>
  <c r="D407" i="1"/>
  <c r="C407" i="1"/>
  <c r="L406" i="1"/>
  <c r="K406" i="1"/>
  <c r="H406" i="1"/>
  <c r="G406" i="1"/>
  <c r="I406" i="1" s="1"/>
  <c r="D406" i="1"/>
  <c r="C406" i="1"/>
  <c r="L405" i="1"/>
  <c r="K405" i="1"/>
  <c r="H405" i="1"/>
  <c r="G405" i="1"/>
  <c r="M405" i="1" s="1"/>
  <c r="D405" i="1"/>
  <c r="C405" i="1"/>
  <c r="L404" i="1"/>
  <c r="K404" i="1"/>
  <c r="H404" i="1"/>
  <c r="G404" i="1"/>
  <c r="M404" i="1" s="1"/>
  <c r="D404" i="1"/>
  <c r="C404" i="1"/>
  <c r="L403" i="1"/>
  <c r="K403" i="1"/>
  <c r="H403" i="1"/>
  <c r="G403" i="1"/>
  <c r="I403" i="1" s="1"/>
  <c r="D403" i="1"/>
  <c r="C403" i="1"/>
  <c r="L402" i="1"/>
  <c r="K402" i="1"/>
  <c r="H402" i="1"/>
  <c r="G402" i="1"/>
  <c r="M402" i="1" s="1"/>
  <c r="D402" i="1"/>
  <c r="C402" i="1"/>
  <c r="L401" i="1"/>
  <c r="K401" i="1"/>
  <c r="H401" i="1"/>
  <c r="G401" i="1"/>
  <c r="D401" i="1"/>
  <c r="C401" i="1"/>
  <c r="L400" i="1"/>
  <c r="K400" i="1"/>
  <c r="H400" i="1"/>
  <c r="G400" i="1"/>
  <c r="I400" i="1" s="1"/>
  <c r="D400" i="1"/>
  <c r="C400" i="1"/>
  <c r="L399" i="1"/>
  <c r="K399" i="1"/>
  <c r="H399" i="1"/>
  <c r="G399" i="1"/>
  <c r="J399" i="1" s="1"/>
  <c r="D399" i="1"/>
  <c r="C399" i="1"/>
  <c r="L398" i="1"/>
  <c r="K398" i="1"/>
  <c r="H398" i="1"/>
  <c r="G398" i="1"/>
  <c r="J398" i="1" s="1"/>
  <c r="D398" i="1"/>
  <c r="C398" i="1"/>
  <c r="L397" i="1"/>
  <c r="K397" i="1"/>
  <c r="H397" i="1"/>
  <c r="G397" i="1"/>
  <c r="D397" i="1"/>
  <c r="C397" i="1"/>
  <c r="L396" i="1"/>
  <c r="K396" i="1"/>
  <c r="H396" i="1"/>
  <c r="G396" i="1"/>
  <c r="M396" i="1" s="1"/>
  <c r="D396" i="1"/>
  <c r="C396" i="1"/>
  <c r="L395" i="1"/>
  <c r="K395" i="1"/>
  <c r="H395" i="1"/>
  <c r="G395" i="1"/>
  <c r="M395" i="1" s="1"/>
  <c r="D395" i="1"/>
  <c r="C395" i="1"/>
  <c r="L394" i="1"/>
  <c r="K394" i="1"/>
  <c r="H394" i="1"/>
  <c r="G394" i="1"/>
  <c r="M394" i="1" s="1"/>
  <c r="D394" i="1"/>
  <c r="C394" i="1"/>
  <c r="L393" i="1"/>
  <c r="K393" i="1"/>
  <c r="H393" i="1"/>
  <c r="G393" i="1"/>
  <c r="D393" i="1"/>
  <c r="C393" i="1"/>
  <c r="L392" i="1"/>
  <c r="K392" i="1"/>
  <c r="H392" i="1"/>
  <c r="G392" i="1"/>
  <c r="M392" i="1" s="1"/>
  <c r="D392" i="1"/>
  <c r="C392" i="1"/>
  <c r="L391" i="1"/>
  <c r="K391" i="1"/>
  <c r="H391" i="1"/>
  <c r="G391" i="1"/>
  <c r="D391" i="1"/>
  <c r="C391" i="1"/>
  <c r="L390" i="1"/>
  <c r="K390" i="1"/>
  <c r="H390" i="1"/>
  <c r="G390" i="1"/>
  <c r="D390" i="1"/>
  <c r="C390" i="1"/>
  <c r="L389" i="1"/>
  <c r="K389" i="1"/>
  <c r="H389" i="1"/>
  <c r="G389" i="1"/>
  <c r="D389" i="1"/>
  <c r="C389" i="1"/>
  <c r="L388" i="1"/>
  <c r="K388" i="1"/>
  <c r="H388" i="1"/>
  <c r="G388" i="1"/>
  <c r="M388" i="1" s="1"/>
  <c r="D388" i="1"/>
  <c r="C388" i="1"/>
  <c r="L387" i="1"/>
  <c r="K387" i="1"/>
  <c r="H387" i="1"/>
  <c r="G387" i="1"/>
  <c r="M387" i="1" s="1"/>
  <c r="D387" i="1"/>
  <c r="C387" i="1"/>
  <c r="L386" i="1"/>
  <c r="K386" i="1"/>
  <c r="H386" i="1"/>
  <c r="G386" i="1"/>
  <c r="D386" i="1"/>
  <c r="C386" i="1"/>
  <c r="L385" i="1"/>
  <c r="K385" i="1"/>
  <c r="H385" i="1"/>
  <c r="G385" i="1"/>
  <c r="M385" i="1" s="1"/>
  <c r="D385" i="1"/>
  <c r="C385" i="1"/>
  <c r="L384" i="1"/>
  <c r="K384" i="1"/>
  <c r="H384" i="1"/>
  <c r="G384" i="1"/>
  <c r="M384" i="1" s="1"/>
  <c r="D384" i="1"/>
  <c r="C384" i="1"/>
  <c r="L383" i="1"/>
  <c r="K383" i="1"/>
  <c r="H383" i="1"/>
  <c r="G383" i="1"/>
  <c r="I383" i="1" s="1"/>
  <c r="D383" i="1"/>
  <c r="C383" i="1"/>
  <c r="L382" i="1"/>
  <c r="K382" i="1"/>
  <c r="H382" i="1"/>
  <c r="G382" i="1"/>
  <c r="D382" i="1"/>
  <c r="C382" i="1"/>
  <c r="L381" i="1"/>
  <c r="K381" i="1"/>
  <c r="H381" i="1"/>
  <c r="G381" i="1"/>
  <c r="J381" i="1" s="1"/>
  <c r="D381" i="1"/>
  <c r="C381" i="1"/>
  <c r="L380" i="1"/>
  <c r="K380" i="1"/>
  <c r="H380" i="1"/>
  <c r="G380" i="1"/>
  <c r="I380" i="1" s="1"/>
  <c r="D380" i="1"/>
  <c r="C380" i="1"/>
  <c r="L379" i="1"/>
  <c r="K379" i="1"/>
  <c r="H379" i="1"/>
  <c r="G379" i="1"/>
  <c r="J379" i="1" s="1"/>
  <c r="D379" i="1"/>
  <c r="C379" i="1"/>
  <c r="L378" i="1"/>
  <c r="K378" i="1"/>
  <c r="H378" i="1"/>
  <c r="G378" i="1"/>
  <c r="D378" i="1"/>
  <c r="C378" i="1"/>
  <c r="L377" i="1"/>
  <c r="K377" i="1"/>
  <c r="H377" i="1"/>
  <c r="G377" i="1"/>
  <c r="J377" i="1" s="1"/>
  <c r="D377" i="1"/>
  <c r="C377" i="1"/>
  <c r="L376" i="1"/>
  <c r="K376" i="1"/>
  <c r="H376" i="1"/>
  <c r="G376" i="1"/>
  <c r="J376" i="1" s="1"/>
  <c r="D376" i="1"/>
  <c r="C376" i="1"/>
  <c r="L375" i="1"/>
  <c r="K375" i="1"/>
  <c r="H375" i="1"/>
  <c r="G375" i="1"/>
  <c r="M375" i="1" s="1"/>
  <c r="D375" i="1"/>
  <c r="C375" i="1"/>
  <c r="L374" i="1"/>
  <c r="K374" i="1"/>
  <c r="H374" i="1"/>
  <c r="G374" i="1"/>
  <c r="M374" i="1" s="1"/>
  <c r="D374" i="1"/>
  <c r="C374" i="1"/>
  <c r="L373" i="1"/>
  <c r="K373" i="1"/>
  <c r="H373" i="1"/>
  <c r="G373" i="1"/>
  <c r="M373" i="1" s="1"/>
  <c r="D373" i="1"/>
  <c r="C373" i="1"/>
  <c r="L372" i="1"/>
  <c r="K372" i="1"/>
  <c r="H372" i="1"/>
  <c r="G372" i="1"/>
  <c r="J372" i="1" s="1"/>
  <c r="D372" i="1"/>
  <c r="C372" i="1"/>
  <c r="L371" i="1"/>
  <c r="K371" i="1"/>
  <c r="H371" i="1"/>
  <c r="G371" i="1"/>
  <c r="I371" i="1" s="1"/>
  <c r="D371" i="1"/>
  <c r="C371" i="1"/>
  <c r="L370" i="1"/>
  <c r="K370" i="1"/>
  <c r="H370" i="1"/>
  <c r="G370" i="1"/>
  <c r="I370" i="1" s="1"/>
  <c r="D370" i="1"/>
  <c r="C370" i="1"/>
  <c r="L369" i="1"/>
  <c r="K369" i="1"/>
  <c r="H369" i="1"/>
  <c r="G369" i="1"/>
  <c r="M369" i="1" s="1"/>
  <c r="D369" i="1"/>
  <c r="C369" i="1"/>
  <c r="L368" i="1"/>
  <c r="K368" i="1"/>
  <c r="H368" i="1"/>
  <c r="G368" i="1"/>
  <c r="I368" i="1" s="1"/>
  <c r="D368" i="1"/>
  <c r="C368" i="1"/>
  <c r="L367" i="1"/>
  <c r="K367" i="1"/>
  <c r="H367" i="1"/>
  <c r="G367" i="1"/>
  <c r="M367" i="1" s="1"/>
  <c r="D367" i="1"/>
  <c r="C367" i="1"/>
  <c r="L366" i="1"/>
  <c r="K366" i="1"/>
  <c r="H366" i="1"/>
  <c r="G366" i="1"/>
  <c r="D366" i="1"/>
  <c r="C366" i="1"/>
  <c r="L365" i="1"/>
  <c r="K365" i="1"/>
  <c r="H365" i="1"/>
  <c r="G365" i="1"/>
  <c r="M365" i="1" s="1"/>
  <c r="D365" i="1"/>
  <c r="C365" i="1"/>
  <c r="L364" i="1"/>
  <c r="K364" i="1"/>
  <c r="H364" i="1"/>
  <c r="G364" i="1"/>
  <c r="D364" i="1"/>
  <c r="C364" i="1"/>
  <c r="L363" i="1"/>
  <c r="K363" i="1"/>
  <c r="H363" i="1"/>
  <c r="G363" i="1"/>
  <c r="M363" i="1" s="1"/>
  <c r="D363" i="1"/>
  <c r="C363" i="1"/>
  <c r="L362" i="1"/>
  <c r="K362" i="1"/>
  <c r="H362" i="1"/>
  <c r="G362" i="1"/>
  <c r="J362" i="1" s="1"/>
  <c r="D362" i="1"/>
  <c r="C362" i="1"/>
  <c r="L361" i="1"/>
  <c r="K361" i="1"/>
  <c r="H361" i="1"/>
  <c r="G361" i="1"/>
  <c r="I361" i="1" s="1"/>
  <c r="D361" i="1"/>
  <c r="C361" i="1"/>
  <c r="L360" i="1"/>
  <c r="K360" i="1"/>
  <c r="H360" i="1"/>
  <c r="G360" i="1"/>
  <c r="I360" i="1" s="1"/>
  <c r="D360" i="1"/>
  <c r="C360" i="1"/>
  <c r="L359" i="1"/>
  <c r="K359" i="1"/>
  <c r="H359" i="1"/>
  <c r="G359" i="1"/>
  <c r="M359" i="1" s="1"/>
  <c r="D359" i="1"/>
  <c r="C359" i="1"/>
  <c r="L358" i="1"/>
  <c r="K358" i="1"/>
  <c r="H358" i="1"/>
  <c r="G358" i="1"/>
  <c r="D358" i="1"/>
  <c r="C358" i="1"/>
  <c r="L357" i="1"/>
  <c r="K357" i="1"/>
  <c r="H357" i="1"/>
  <c r="G357" i="1"/>
  <c r="D357" i="1"/>
  <c r="C357" i="1"/>
  <c r="L356" i="1"/>
  <c r="K356" i="1"/>
  <c r="H356" i="1"/>
  <c r="G356" i="1"/>
  <c r="D356" i="1"/>
  <c r="C356" i="1"/>
  <c r="L355" i="1"/>
  <c r="K355" i="1"/>
  <c r="H355" i="1"/>
  <c r="G355" i="1"/>
  <c r="D355" i="1"/>
  <c r="C355" i="1"/>
  <c r="L354" i="1"/>
  <c r="K354" i="1"/>
  <c r="H354" i="1"/>
  <c r="G354" i="1"/>
  <c r="M354" i="1" s="1"/>
  <c r="D354" i="1"/>
  <c r="C354" i="1"/>
  <c r="L353" i="1"/>
  <c r="K353" i="1"/>
  <c r="H353" i="1"/>
  <c r="G353" i="1"/>
  <c r="J353" i="1" s="1"/>
  <c r="D353" i="1"/>
  <c r="C353" i="1"/>
  <c r="L352" i="1"/>
  <c r="K352" i="1"/>
  <c r="H352" i="1"/>
  <c r="G352" i="1"/>
  <c r="J352" i="1" s="1"/>
  <c r="D352" i="1"/>
  <c r="C352" i="1"/>
  <c r="L351" i="1"/>
  <c r="K351" i="1"/>
  <c r="H351" i="1"/>
  <c r="G351" i="1"/>
  <c r="I351" i="1" s="1"/>
  <c r="D351" i="1"/>
  <c r="C351" i="1"/>
  <c r="L350" i="1"/>
  <c r="K350" i="1"/>
  <c r="H350" i="1"/>
  <c r="G350" i="1"/>
  <c r="M350" i="1" s="1"/>
  <c r="D350" i="1"/>
  <c r="C350" i="1"/>
  <c r="L349" i="1"/>
  <c r="K349" i="1"/>
  <c r="H349" i="1"/>
  <c r="G349" i="1"/>
  <c r="J349" i="1" s="1"/>
  <c r="D349" i="1"/>
  <c r="C349" i="1"/>
  <c r="L348" i="1"/>
  <c r="K348" i="1"/>
  <c r="H348" i="1"/>
  <c r="G348" i="1"/>
  <c r="J348" i="1" s="1"/>
  <c r="D348" i="1"/>
  <c r="C348" i="1"/>
  <c r="L347" i="1"/>
  <c r="K347" i="1"/>
  <c r="H347" i="1"/>
  <c r="G347" i="1"/>
  <c r="J347" i="1" s="1"/>
  <c r="D347" i="1"/>
  <c r="C347" i="1"/>
  <c r="L346" i="1"/>
  <c r="K346" i="1"/>
  <c r="H346" i="1"/>
  <c r="G346" i="1"/>
  <c r="D346" i="1"/>
  <c r="C346" i="1"/>
  <c r="L345" i="1"/>
  <c r="K345" i="1"/>
  <c r="H345" i="1"/>
  <c r="G345" i="1"/>
  <c r="M345" i="1" s="1"/>
  <c r="D345" i="1"/>
  <c r="C345" i="1"/>
  <c r="L344" i="1"/>
  <c r="K344" i="1"/>
  <c r="H344" i="1"/>
  <c r="G344" i="1"/>
  <c r="J344" i="1" s="1"/>
  <c r="D344" i="1"/>
  <c r="C344" i="1"/>
  <c r="L343" i="1"/>
  <c r="K343" i="1"/>
  <c r="H343" i="1"/>
  <c r="G343" i="1"/>
  <c r="M343" i="1" s="1"/>
  <c r="D343" i="1"/>
  <c r="C343" i="1"/>
  <c r="L342" i="1"/>
  <c r="K342" i="1"/>
  <c r="H342" i="1"/>
  <c r="G342" i="1"/>
  <c r="I342" i="1" s="1"/>
  <c r="D342" i="1"/>
  <c r="C342" i="1"/>
  <c r="L341" i="1"/>
  <c r="K341" i="1"/>
  <c r="H341" i="1"/>
  <c r="G341" i="1"/>
  <c r="J341" i="1" s="1"/>
  <c r="D341" i="1"/>
  <c r="C341" i="1"/>
  <c r="L340" i="1"/>
  <c r="K340" i="1"/>
  <c r="H340" i="1"/>
  <c r="G340" i="1"/>
  <c r="I340" i="1" s="1"/>
  <c r="D340" i="1"/>
  <c r="C340" i="1"/>
  <c r="L339" i="1"/>
  <c r="K339" i="1"/>
  <c r="H339" i="1"/>
  <c r="G339" i="1"/>
  <c r="M339" i="1" s="1"/>
  <c r="D339" i="1"/>
  <c r="C339" i="1"/>
  <c r="L338" i="1"/>
  <c r="K338" i="1"/>
  <c r="H338" i="1"/>
  <c r="G338" i="1"/>
  <c r="M338" i="1" s="1"/>
  <c r="D338" i="1"/>
  <c r="C338" i="1"/>
  <c r="L337" i="1"/>
  <c r="K337" i="1"/>
  <c r="H337" i="1"/>
  <c r="G337" i="1"/>
  <c r="D337" i="1"/>
  <c r="C337" i="1"/>
  <c r="L336" i="1"/>
  <c r="K336" i="1"/>
  <c r="H336" i="1"/>
  <c r="G336" i="1"/>
  <c r="M336" i="1" s="1"/>
  <c r="D336" i="1"/>
  <c r="C336" i="1"/>
  <c r="L335" i="1"/>
  <c r="K335" i="1"/>
  <c r="H335" i="1"/>
  <c r="G335" i="1"/>
  <c r="M335" i="1" s="1"/>
  <c r="D335" i="1"/>
  <c r="C335" i="1"/>
  <c r="L334" i="1"/>
  <c r="K334" i="1"/>
  <c r="H334" i="1"/>
  <c r="G334" i="1"/>
  <c r="J334" i="1" s="1"/>
  <c r="D334" i="1"/>
  <c r="C334" i="1"/>
  <c r="L333" i="1"/>
  <c r="K333" i="1"/>
  <c r="H333" i="1"/>
  <c r="G333" i="1"/>
  <c r="M333" i="1" s="1"/>
  <c r="D333" i="1"/>
  <c r="C333" i="1"/>
  <c r="L332" i="1"/>
  <c r="K332" i="1"/>
  <c r="H332" i="1"/>
  <c r="G332" i="1"/>
  <c r="I332" i="1" s="1"/>
  <c r="D332" i="1"/>
  <c r="C332" i="1"/>
  <c r="L331" i="1"/>
  <c r="K331" i="1"/>
  <c r="H331" i="1"/>
  <c r="G331" i="1"/>
  <c r="M331" i="1" s="1"/>
  <c r="D331" i="1"/>
  <c r="C331" i="1"/>
  <c r="L330" i="1"/>
  <c r="K330" i="1"/>
  <c r="H330" i="1"/>
  <c r="G330" i="1"/>
  <c r="D330" i="1"/>
  <c r="C330" i="1"/>
  <c r="L329" i="1"/>
  <c r="K329" i="1"/>
  <c r="H329" i="1"/>
  <c r="G329" i="1"/>
  <c r="M329" i="1" s="1"/>
  <c r="D329" i="1"/>
  <c r="C329" i="1"/>
  <c r="L328" i="1"/>
  <c r="K328" i="1"/>
  <c r="H328" i="1"/>
  <c r="G328" i="1"/>
  <c r="I328" i="1" s="1"/>
  <c r="D328" i="1"/>
  <c r="C328" i="1"/>
  <c r="L327" i="1"/>
  <c r="K327" i="1"/>
  <c r="H327" i="1"/>
  <c r="G327" i="1"/>
  <c r="J327" i="1" s="1"/>
  <c r="D327" i="1"/>
  <c r="C327" i="1"/>
  <c r="L326" i="1"/>
  <c r="K326" i="1"/>
  <c r="H326" i="1"/>
  <c r="G326" i="1"/>
  <c r="I326" i="1" s="1"/>
  <c r="D326" i="1"/>
  <c r="C326" i="1"/>
  <c r="L325" i="1"/>
  <c r="K325" i="1"/>
  <c r="H325" i="1"/>
  <c r="G325" i="1"/>
  <c r="J325" i="1" s="1"/>
  <c r="D325" i="1"/>
  <c r="C325" i="1"/>
  <c r="L324" i="1"/>
  <c r="K324" i="1"/>
  <c r="H324" i="1"/>
  <c r="G324" i="1"/>
  <c r="M324" i="1" s="1"/>
  <c r="D324" i="1"/>
  <c r="C324" i="1"/>
  <c r="L323" i="1"/>
  <c r="K323" i="1"/>
  <c r="H323" i="1"/>
  <c r="G323" i="1"/>
  <c r="M323" i="1" s="1"/>
  <c r="D323" i="1"/>
  <c r="C323" i="1"/>
  <c r="L322" i="1"/>
  <c r="K322" i="1"/>
  <c r="H322" i="1"/>
  <c r="G322" i="1"/>
  <c r="J322" i="1" s="1"/>
  <c r="D322" i="1"/>
  <c r="C322" i="1"/>
  <c r="L321" i="1"/>
  <c r="K321" i="1"/>
  <c r="H321" i="1"/>
  <c r="G321" i="1"/>
  <c r="I321" i="1" s="1"/>
  <c r="D321" i="1"/>
  <c r="C321" i="1"/>
  <c r="L320" i="1"/>
  <c r="K320" i="1"/>
  <c r="H320" i="1"/>
  <c r="G320" i="1"/>
  <c r="J320" i="1" s="1"/>
  <c r="D320" i="1"/>
  <c r="C320" i="1"/>
  <c r="L319" i="1"/>
  <c r="K319" i="1"/>
  <c r="H319" i="1"/>
  <c r="G319" i="1"/>
  <c r="I319" i="1" s="1"/>
  <c r="D319" i="1"/>
  <c r="C319" i="1"/>
  <c r="L318" i="1"/>
  <c r="K318" i="1"/>
  <c r="H318" i="1"/>
  <c r="G318" i="1"/>
  <c r="D318" i="1"/>
  <c r="C318" i="1"/>
  <c r="L317" i="1"/>
  <c r="K317" i="1"/>
  <c r="H317" i="1"/>
  <c r="G317" i="1"/>
  <c r="J317" i="1" s="1"/>
  <c r="D317" i="1"/>
  <c r="C317" i="1"/>
  <c r="L316" i="1"/>
  <c r="K316" i="1"/>
  <c r="H316" i="1"/>
  <c r="G316" i="1"/>
  <c r="M316" i="1" s="1"/>
  <c r="D316" i="1"/>
  <c r="C316" i="1"/>
  <c r="L315" i="1"/>
  <c r="K315" i="1"/>
  <c r="H315" i="1"/>
  <c r="G315" i="1"/>
  <c r="M315" i="1" s="1"/>
  <c r="D315" i="1"/>
  <c r="C315" i="1"/>
  <c r="L314" i="1"/>
  <c r="K314" i="1"/>
  <c r="H314" i="1"/>
  <c r="G314" i="1"/>
  <c r="M314" i="1" s="1"/>
  <c r="D314" i="1"/>
  <c r="C314" i="1"/>
  <c r="L313" i="1"/>
  <c r="K313" i="1"/>
  <c r="H313" i="1"/>
  <c r="G313" i="1"/>
  <c r="M313" i="1" s="1"/>
  <c r="D313" i="1"/>
  <c r="C313" i="1"/>
  <c r="L312" i="1"/>
  <c r="K312" i="1"/>
  <c r="H312" i="1"/>
  <c r="G312" i="1"/>
  <c r="D312" i="1"/>
  <c r="C312" i="1"/>
  <c r="L311" i="1"/>
  <c r="K311" i="1"/>
  <c r="H311" i="1"/>
  <c r="G311" i="1"/>
  <c r="M311" i="1" s="1"/>
  <c r="D311" i="1"/>
  <c r="C311" i="1"/>
  <c r="L310" i="1"/>
  <c r="K310" i="1"/>
  <c r="H310" i="1"/>
  <c r="G310" i="1"/>
  <c r="M310" i="1" s="1"/>
  <c r="D310" i="1"/>
  <c r="C310" i="1"/>
  <c r="L309" i="1"/>
  <c r="K309" i="1"/>
  <c r="H309" i="1"/>
  <c r="G309" i="1"/>
  <c r="I309" i="1" s="1"/>
  <c r="D309" i="1"/>
  <c r="C309" i="1"/>
  <c r="L308" i="1"/>
  <c r="K308" i="1"/>
  <c r="H308" i="1"/>
  <c r="G308" i="1"/>
  <c r="M308" i="1" s="1"/>
  <c r="D308" i="1"/>
  <c r="C308" i="1"/>
  <c r="L307" i="1"/>
  <c r="K307" i="1"/>
  <c r="H307" i="1"/>
  <c r="G307" i="1"/>
  <c r="M307" i="1" s="1"/>
  <c r="D307" i="1"/>
  <c r="C307" i="1"/>
  <c r="L306" i="1"/>
  <c r="K306" i="1"/>
  <c r="H306" i="1"/>
  <c r="G306" i="1"/>
  <c r="J306" i="1" s="1"/>
  <c r="D306" i="1"/>
  <c r="C306" i="1"/>
  <c r="L305" i="1"/>
  <c r="K305" i="1"/>
  <c r="H305" i="1"/>
  <c r="G305" i="1"/>
  <c r="I305" i="1" s="1"/>
  <c r="D305" i="1"/>
  <c r="C305" i="1"/>
  <c r="L304" i="1"/>
  <c r="K304" i="1"/>
  <c r="H304" i="1"/>
  <c r="G304" i="1"/>
  <c r="J304" i="1" s="1"/>
  <c r="D304" i="1"/>
  <c r="C304" i="1"/>
  <c r="L303" i="1"/>
  <c r="K303" i="1"/>
  <c r="H303" i="1"/>
  <c r="G303" i="1"/>
  <c r="J303" i="1" s="1"/>
  <c r="D303" i="1"/>
  <c r="C303" i="1"/>
  <c r="L302" i="1"/>
  <c r="K302" i="1"/>
  <c r="H302" i="1"/>
  <c r="G302" i="1"/>
  <c r="I302" i="1" s="1"/>
  <c r="D302" i="1"/>
  <c r="C302" i="1"/>
  <c r="L301" i="1"/>
  <c r="K301" i="1"/>
  <c r="H301" i="1"/>
  <c r="G301" i="1"/>
  <c r="M301" i="1" s="1"/>
  <c r="D301" i="1"/>
  <c r="C301" i="1"/>
  <c r="L300" i="1"/>
  <c r="K300" i="1"/>
  <c r="H300" i="1"/>
  <c r="G300" i="1"/>
  <c r="M300" i="1" s="1"/>
  <c r="D300" i="1"/>
  <c r="C300" i="1"/>
  <c r="L299" i="1"/>
  <c r="K299" i="1"/>
  <c r="H299" i="1"/>
  <c r="G299" i="1"/>
  <c r="D299" i="1"/>
  <c r="C299" i="1"/>
  <c r="L298" i="1"/>
  <c r="K298" i="1"/>
  <c r="H298" i="1"/>
  <c r="G298" i="1"/>
  <c r="M298" i="1" s="1"/>
  <c r="D298" i="1"/>
  <c r="C298" i="1"/>
  <c r="L297" i="1"/>
  <c r="K297" i="1"/>
  <c r="H297" i="1"/>
  <c r="G297" i="1"/>
  <c r="D297" i="1"/>
  <c r="C297" i="1"/>
  <c r="L296" i="1"/>
  <c r="K296" i="1"/>
  <c r="H296" i="1"/>
  <c r="G296" i="1"/>
  <c r="M296" i="1" s="1"/>
  <c r="D296" i="1"/>
  <c r="C296" i="1"/>
  <c r="L295" i="1"/>
  <c r="K295" i="1"/>
  <c r="H295" i="1"/>
  <c r="G295" i="1"/>
  <c r="M295" i="1" s="1"/>
  <c r="D295" i="1"/>
  <c r="C295" i="1"/>
  <c r="L294" i="1"/>
  <c r="K294" i="1"/>
  <c r="H294" i="1"/>
  <c r="G294" i="1"/>
  <c r="I294" i="1" s="1"/>
  <c r="D294" i="1"/>
  <c r="C294" i="1"/>
  <c r="L293" i="1"/>
  <c r="K293" i="1"/>
  <c r="H293" i="1"/>
  <c r="G293" i="1"/>
  <c r="J293" i="1" s="1"/>
  <c r="D293" i="1"/>
  <c r="C293" i="1"/>
  <c r="L292" i="1"/>
  <c r="K292" i="1"/>
  <c r="H292" i="1"/>
  <c r="G292" i="1"/>
  <c r="J292" i="1" s="1"/>
  <c r="D292" i="1"/>
  <c r="C292" i="1"/>
  <c r="L291" i="1"/>
  <c r="K291" i="1"/>
  <c r="H291" i="1"/>
  <c r="G291" i="1"/>
  <c r="D291" i="1"/>
  <c r="C291" i="1"/>
  <c r="L290" i="1"/>
  <c r="K290" i="1"/>
  <c r="H290" i="1"/>
  <c r="G290" i="1"/>
  <c r="M290" i="1" s="1"/>
  <c r="D290" i="1"/>
  <c r="C290" i="1"/>
  <c r="L289" i="1"/>
  <c r="K289" i="1"/>
  <c r="H289" i="1"/>
  <c r="G289" i="1"/>
  <c r="D289" i="1"/>
  <c r="C289" i="1"/>
  <c r="L288" i="1"/>
  <c r="K288" i="1"/>
  <c r="H288" i="1"/>
  <c r="G288" i="1"/>
  <c r="M288" i="1" s="1"/>
  <c r="D288" i="1"/>
  <c r="C288" i="1"/>
  <c r="L287" i="1"/>
  <c r="K287" i="1"/>
  <c r="H287" i="1"/>
  <c r="G287" i="1"/>
  <c r="M287" i="1" s="1"/>
  <c r="D287" i="1"/>
  <c r="C287" i="1"/>
  <c r="L286" i="1"/>
  <c r="K286" i="1"/>
  <c r="H286" i="1"/>
  <c r="G286" i="1"/>
  <c r="M286" i="1" s="1"/>
  <c r="D286" i="1"/>
  <c r="C286" i="1"/>
  <c r="L285" i="1"/>
  <c r="K285" i="1"/>
  <c r="H285" i="1"/>
  <c r="G285" i="1"/>
  <c r="M285" i="1" s="1"/>
  <c r="D285" i="1"/>
  <c r="C285" i="1"/>
  <c r="L284" i="1"/>
  <c r="K284" i="1"/>
  <c r="H284" i="1"/>
  <c r="G284" i="1"/>
  <c r="M284" i="1" s="1"/>
  <c r="D284" i="1"/>
  <c r="C284" i="1"/>
  <c r="L283" i="1"/>
  <c r="K283" i="1"/>
  <c r="H283" i="1"/>
  <c r="G283" i="1"/>
  <c r="J283" i="1" s="1"/>
  <c r="D283" i="1"/>
  <c r="C283" i="1"/>
  <c r="L282" i="1"/>
  <c r="K282" i="1"/>
  <c r="H282" i="1"/>
  <c r="G282" i="1"/>
  <c r="M282" i="1" s="1"/>
  <c r="D282" i="1"/>
  <c r="C282" i="1"/>
  <c r="L281" i="1"/>
  <c r="K281" i="1"/>
  <c r="H281" i="1"/>
  <c r="G281" i="1"/>
  <c r="D281" i="1"/>
  <c r="C281" i="1"/>
  <c r="L280" i="1"/>
  <c r="K280" i="1"/>
  <c r="H280" i="1"/>
  <c r="G280" i="1"/>
  <c r="M280" i="1" s="1"/>
  <c r="D280" i="1"/>
  <c r="C280" i="1"/>
  <c r="L279" i="1"/>
  <c r="K279" i="1"/>
  <c r="H279" i="1"/>
  <c r="G279" i="1"/>
  <c r="I279" i="1" s="1"/>
  <c r="D279" i="1"/>
  <c r="C279" i="1"/>
  <c r="L278" i="1"/>
  <c r="K278" i="1"/>
  <c r="H278" i="1"/>
  <c r="G278" i="1"/>
  <c r="J278" i="1" s="1"/>
  <c r="D278" i="1"/>
  <c r="C278" i="1"/>
  <c r="L277" i="1"/>
  <c r="K277" i="1"/>
  <c r="H277" i="1"/>
  <c r="G277" i="1"/>
  <c r="J277" i="1" s="1"/>
  <c r="D277" i="1"/>
  <c r="C277" i="1"/>
  <c r="L276" i="1"/>
  <c r="K276" i="1"/>
  <c r="H276" i="1"/>
  <c r="G276" i="1"/>
  <c r="I276" i="1" s="1"/>
  <c r="D276" i="1"/>
  <c r="C276" i="1"/>
  <c r="L275" i="1"/>
  <c r="K275" i="1"/>
  <c r="H275" i="1"/>
  <c r="G275" i="1"/>
  <c r="M275" i="1" s="1"/>
  <c r="D275" i="1"/>
  <c r="C275" i="1"/>
  <c r="L274" i="1"/>
  <c r="K274" i="1"/>
  <c r="H274" i="1"/>
  <c r="G274" i="1"/>
  <c r="I274" i="1" s="1"/>
  <c r="D274" i="1"/>
  <c r="C274" i="1"/>
  <c r="L273" i="1"/>
  <c r="K273" i="1"/>
  <c r="H273" i="1"/>
  <c r="G273" i="1"/>
  <c r="J273" i="1" s="1"/>
  <c r="D273" i="1"/>
  <c r="C273" i="1"/>
  <c r="L272" i="1"/>
  <c r="K272" i="1"/>
  <c r="H272" i="1"/>
  <c r="G272" i="1"/>
  <c r="J272" i="1" s="1"/>
  <c r="D272" i="1"/>
  <c r="C272" i="1"/>
  <c r="L271" i="1"/>
  <c r="K271" i="1"/>
  <c r="H271" i="1"/>
  <c r="G271" i="1"/>
  <c r="D271" i="1"/>
  <c r="C271" i="1"/>
  <c r="L270" i="1"/>
  <c r="K270" i="1"/>
  <c r="H270" i="1"/>
  <c r="G270" i="1"/>
  <c r="D270" i="1"/>
  <c r="C270" i="1"/>
  <c r="L269" i="1"/>
  <c r="K269" i="1"/>
  <c r="H269" i="1"/>
  <c r="G269" i="1"/>
  <c r="M269" i="1" s="1"/>
  <c r="D269" i="1"/>
  <c r="C269" i="1"/>
  <c r="L268" i="1"/>
  <c r="K268" i="1"/>
  <c r="H268" i="1"/>
  <c r="G268" i="1"/>
  <c r="M268" i="1" s="1"/>
  <c r="D268" i="1"/>
  <c r="C268" i="1"/>
  <c r="L267" i="1"/>
  <c r="K267" i="1"/>
  <c r="H267" i="1"/>
  <c r="G267" i="1"/>
  <c r="D267" i="1"/>
  <c r="C267" i="1"/>
  <c r="L266" i="1"/>
  <c r="K266" i="1"/>
  <c r="H266" i="1"/>
  <c r="G266" i="1"/>
  <c r="I266" i="1" s="1"/>
  <c r="D266" i="1"/>
  <c r="C266" i="1"/>
  <c r="L265" i="1"/>
  <c r="K265" i="1"/>
  <c r="H265" i="1"/>
  <c r="G265" i="1"/>
  <c r="I265" i="1" s="1"/>
  <c r="D265" i="1"/>
  <c r="C265" i="1"/>
  <c r="L264" i="1"/>
  <c r="K264" i="1"/>
  <c r="H264" i="1"/>
  <c r="G264" i="1"/>
  <c r="J264" i="1" s="1"/>
  <c r="D264" i="1"/>
  <c r="C264" i="1"/>
  <c r="L263" i="1"/>
  <c r="K263" i="1"/>
  <c r="H263" i="1"/>
  <c r="G263" i="1"/>
  <c r="J263" i="1" s="1"/>
  <c r="D263" i="1"/>
  <c r="C263" i="1"/>
  <c r="L262" i="1"/>
  <c r="K262" i="1"/>
  <c r="H262" i="1"/>
  <c r="G262" i="1"/>
  <c r="M262" i="1" s="1"/>
  <c r="D262" i="1"/>
  <c r="C262" i="1"/>
  <c r="L261" i="1"/>
  <c r="K261" i="1"/>
  <c r="H261" i="1"/>
  <c r="G261" i="1"/>
  <c r="M261" i="1" s="1"/>
  <c r="D261" i="1"/>
  <c r="C261" i="1"/>
  <c r="L260" i="1"/>
  <c r="K260" i="1"/>
  <c r="H260" i="1"/>
  <c r="G260" i="1"/>
  <c r="M260" i="1" s="1"/>
  <c r="D260" i="1"/>
  <c r="C260" i="1"/>
  <c r="L259" i="1"/>
  <c r="K259" i="1"/>
  <c r="H259" i="1"/>
  <c r="G259" i="1"/>
  <c r="M259" i="1" s="1"/>
  <c r="D259" i="1"/>
  <c r="C259" i="1"/>
  <c r="L258" i="1"/>
  <c r="K258" i="1"/>
  <c r="H258" i="1"/>
  <c r="G258" i="1"/>
  <c r="I258" i="1" s="1"/>
  <c r="D258" i="1"/>
  <c r="C258" i="1"/>
  <c r="L257" i="1"/>
  <c r="K257" i="1"/>
  <c r="H257" i="1"/>
  <c r="G257" i="1"/>
  <c r="J257" i="1" s="1"/>
  <c r="D257" i="1"/>
  <c r="C257" i="1"/>
  <c r="L256" i="1"/>
  <c r="K256" i="1"/>
  <c r="H256" i="1"/>
  <c r="G256" i="1"/>
  <c r="J256" i="1" s="1"/>
  <c r="D256" i="1"/>
  <c r="C256" i="1"/>
  <c r="L255" i="1"/>
  <c r="K255" i="1"/>
  <c r="H255" i="1"/>
  <c r="G255" i="1"/>
  <c r="M255" i="1" s="1"/>
  <c r="D255" i="1"/>
  <c r="C255" i="1"/>
  <c r="L254" i="1"/>
  <c r="K254" i="1"/>
  <c r="H254" i="1"/>
  <c r="G254" i="1"/>
  <c r="J254" i="1" s="1"/>
  <c r="D254" i="1"/>
  <c r="C254" i="1"/>
  <c r="L253" i="1"/>
  <c r="K253" i="1"/>
  <c r="H253" i="1"/>
  <c r="G253" i="1"/>
  <c r="D253" i="1"/>
  <c r="C253" i="1"/>
  <c r="L252" i="1"/>
  <c r="K252" i="1"/>
  <c r="H252" i="1"/>
  <c r="G252" i="1"/>
  <c r="M252" i="1" s="1"/>
  <c r="D252" i="1"/>
  <c r="C252" i="1"/>
  <c r="L251" i="1"/>
  <c r="K251" i="1"/>
  <c r="H251" i="1"/>
  <c r="G251" i="1"/>
  <c r="D251" i="1"/>
  <c r="C251" i="1"/>
  <c r="L250" i="1"/>
  <c r="K250" i="1"/>
  <c r="H250" i="1"/>
  <c r="G250" i="1"/>
  <c r="D250" i="1"/>
  <c r="C250" i="1"/>
  <c r="L249" i="1"/>
  <c r="K249" i="1"/>
  <c r="H249" i="1"/>
  <c r="G249" i="1"/>
  <c r="M249" i="1" s="1"/>
  <c r="D249" i="1"/>
  <c r="C249" i="1"/>
  <c r="L248" i="1"/>
  <c r="K248" i="1"/>
  <c r="H248" i="1"/>
  <c r="G248" i="1"/>
  <c r="M248" i="1" s="1"/>
  <c r="D248" i="1"/>
  <c r="C248" i="1"/>
  <c r="L247" i="1"/>
  <c r="K247" i="1"/>
  <c r="H247" i="1"/>
  <c r="G247" i="1"/>
  <c r="I247" i="1" s="1"/>
  <c r="D247" i="1"/>
  <c r="C247" i="1"/>
  <c r="L246" i="1"/>
  <c r="K246" i="1"/>
  <c r="H246" i="1"/>
  <c r="G246" i="1"/>
  <c r="M246" i="1" s="1"/>
  <c r="D246" i="1"/>
  <c r="C246" i="1"/>
  <c r="L245" i="1"/>
  <c r="K245" i="1"/>
  <c r="H245" i="1"/>
  <c r="G245" i="1"/>
  <c r="M245" i="1" s="1"/>
  <c r="D245" i="1"/>
  <c r="C245" i="1"/>
  <c r="L244" i="1"/>
  <c r="K244" i="1"/>
  <c r="H244" i="1"/>
  <c r="G244" i="1"/>
  <c r="M244" i="1" s="1"/>
  <c r="D244" i="1"/>
  <c r="C244" i="1"/>
  <c r="L243" i="1"/>
  <c r="K243" i="1"/>
  <c r="H243" i="1"/>
  <c r="G243" i="1"/>
  <c r="D243" i="1"/>
  <c r="C243" i="1"/>
  <c r="L242" i="1"/>
  <c r="K242" i="1"/>
  <c r="H242" i="1"/>
  <c r="G242" i="1"/>
  <c r="D242" i="1"/>
  <c r="C242" i="1"/>
  <c r="L241" i="1"/>
  <c r="K241" i="1"/>
  <c r="H241" i="1"/>
  <c r="G241" i="1"/>
  <c r="I241" i="1" s="1"/>
  <c r="D241" i="1"/>
  <c r="C241" i="1"/>
  <c r="L240" i="1"/>
  <c r="K240" i="1"/>
  <c r="H240" i="1"/>
  <c r="G240" i="1"/>
  <c r="J240" i="1" s="1"/>
  <c r="D240" i="1"/>
  <c r="C240" i="1"/>
  <c r="L239" i="1"/>
  <c r="K239" i="1"/>
  <c r="H239" i="1"/>
  <c r="G239" i="1"/>
  <c r="M239" i="1" s="1"/>
  <c r="D239" i="1"/>
  <c r="C239" i="1"/>
  <c r="L238" i="1"/>
  <c r="K238" i="1"/>
  <c r="H238" i="1"/>
  <c r="G238" i="1"/>
  <c r="M238" i="1" s="1"/>
  <c r="D238" i="1"/>
  <c r="C238" i="1"/>
  <c r="L237" i="1"/>
  <c r="K237" i="1"/>
  <c r="H237" i="1"/>
  <c r="G237" i="1"/>
  <c r="J237" i="1" s="1"/>
  <c r="D237" i="1"/>
  <c r="C237" i="1"/>
  <c r="L236" i="1"/>
  <c r="K236" i="1"/>
  <c r="H236" i="1"/>
  <c r="G236" i="1"/>
  <c r="J236" i="1" s="1"/>
  <c r="D236" i="1"/>
  <c r="C236" i="1"/>
  <c r="L235" i="1"/>
  <c r="K235" i="1"/>
  <c r="H235" i="1"/>
  <c r="G235" i="1"/>
  <c r="J235" i="1" s="1"/>
  <c r="D235" i="1"/>
  <c r="C235" i="1"/>
  <c r="L234" i="1"/>
  <c r="K234" i="1"/>
  <c r="H234" i="1"/>
  <c r="G234" i="1"/>
  <c r="M234" i="1" s="1"/>
  <c r="D234" i="1"/>
  <c r="C234" i="1"/>
  <c r="L233" i="1"/>
  <c r="K233" i="1"/>
  <c r="H233" i="1"/>
  <c r="G233" i="1"/>
  <c r="J233" i="1" s="1"/>
  <c r="D233" i="1"/>
  <c r="C233" i="1"/>
  <c r="L232" i="1"/>
  <c r="K232" i="1"/>
  <c r="H232" i="1"/>
  <c r="G232" i="1"/>
  <c r="M232" i="1" s="1"/>
  <c r="D232" i="1"/>
  <c r="C232" i="1"/>
  <c r="L231" i="1"/>
  <c r="K231" i="1"/>
  <c r="H231" i="1"/>
  <c r="G231" i="1"/>
  <c r="I231" i="1" s="1"/>
  <c r="D231" i="1"/>
  <c r="C231" i="1"/>
  <c r="L230" i="1"/>
  <c r="K230" i="1"/>
  <c r="H230" i="1"/>
  <c r="G230" i="1"/>
  <c r="I230" i="1" s="1"/>
  <c r="D230" i="1"/>
  <c r="C230" i="1"/>
  <c r="L229" i="1"/>
  <c r="K229" i="1"/>
  <c r="H229" i="1"/>
  <c r="G229" i="1"/>
  <c r="M229" i="1" s="1"/>
  <c r="D229" i="1"/>
  <c r="C229" i="1"/>
  <c r="L228" i="1"/>
  <c r="K228" i="1"/>
  <c r="H228" i="1"/>
  <c r="G228" i="1"/>
  <c r="D228" i="1"/>
  <c r="C228" i="1"/>
  <c r="L227" i="1"/>
  <c r="K227" i="1"/>
  <c r="H227" i="1"/>
  <c r="G227" i="1"/>
  <c r="D227" i="1"/>
  <c r="C227" i="1"/>
  <c r="L226" i="1"/>
  <c r="K226" i="1"/>
  <c r="H226" i="1"/>
  <c r="G226" i="1"/>
  <c r="M226" i="1" s="1"/>
  <c r="D226" i="1"/>
  <c r="C226" i="1"/>
  <c r="L225" i="1"/>
  <c r="K225" i="1"/>
  <c r="H225" i="1"/>
  <c r="G225" i="1"/>
  <c r="I225" i="1" s="1"/>
  <c r="D225" i="1"/>
  <c r="C225" i="1"/>
  <c r="L224" i="1"/>
  <c r="K224" i="1"/>
  <c r="H224" i="1"/>
  <c r="G224" i="1"/>
  <c r="M224" i="1" s="1"/>
  <c r="D224" i="1"/>
  <c r="C224" i="1"/>
  <c r="L223" i="1"/>
  <c r="K223" i="1"/>
  <c r="H223" i="1"/>
  <c r="G223" i="1"/>
  <c r="M223" i="1" s="1"/>
  <c r="D223" i="1"/>
  <c r="C223" i="1"/>
  <c r="L222" i="1"/>
  <c r="K222" i="1"/>
  <c r="H222" i="1"/>
  <c r="G222" i="1"/>
  <c r="J222" i="1" s="1"/>
  <c r="D222" i="1"/>
  <c r="C222" i="1"/>
  <c r="L221" i="1"/>
  <c r="K221" i="1"/>
  <c r="H221" i="1"/>
  <c r="G221" i="1"/>
  <c r="M221" i="1" s="1"/>
  <c r="D221" i="1"/>
  <c r="C221" i="1"/>
  <c r="L220" i="1"/>
  <c r="K220" i="1"/>
  <c r="H220" i="1"/>
  <c r="G220" i="1"/>
  <c r="M220" i="1" s="1"/>
  <c r="D220" i="1"/>
  <c r="C220" i="1"/>
  <c r="L219" i="1"/>
  <c r="K219" i="1"/>
  <c r="H219" i="1"/>
  <c r="G219" i="1"/>
  <c r="M219" i="1" s="1"/>
  <c r="D219" i="1"/>
  <c r="C219" i="1"/>
  <c r="L218" i="1"/>
  <c r="K218" i="1"/>
  <c r="H218" i="1"/>
  <c r="G218" i="1"/>
  <c r="M218" i="1" s="1"/>
  <c r="D218" i="1"/>
  <c r="C218" i="1"/>
  <c r="L217" i="1"/>
  <c r="K217" i="1"/>
  <c r="H217" i="1"/>
  <c r="G217" i="1"/>
  <c r="M217" i="1" s="1"/>
  <c r="D217" i="1"/>
  <c r="C217" i="1"/>
  <c r="L216" i="1"/>
  <c r="K216" i="1"/>
  <c r="H216" i="1"/>
  <c r="G216" i="1"/>
  <c r="M216" i="1" s="1"/>
  <c r="D216" i="1"/>
  <c r="C216" i="1"/>
  <c r="L215" i="1"/>
  <c r="K215" i="1"/>
  <c r="H215" i="1"/>
  <c r="G215" i="1"/>
  <c r="M215" i="1" s="1"/>
  <c r="D215" i="1"/>
  <c r="C215" i="1"/>
  <c r="L214" i="1"/>
  <c r="K214" i="1"/>
  <c r="H214" i="1"/>
  <c r="G214" i="1"/>
  <c r="J214" i="1" s="1"/>
  <c r="D214" i="1"/>
  <c r="C214" i="1"/>
  <c r="L213" i="1"/>
  <c r="K213" i="1"/>
  <c r="H213" i="1"/>
  <c r="G213" i="1"/>
  <c r="D213" i="1"/>
  <c r="C213" i="1"/>
  <c r="L212" i="1"/>
  <c r="K212" i="1"/>
  <c r="H212" i="1"/>
  <c r="G212" i="1"/>
  <c r="M212" i="1" s="1"/>
  <c r="D212" i="1"/>
  <c r="C212" i="1"/>
  <c r="L211" i="1"/>
  <c r="K211" i="1"/>
  <c r="H211" i="1"/>
  <c r="G211" i="1"/>
  <c r="J211" i="1" s="1"/>
  <c r="D211" i="1"/>
  <c r="C211" i="1"/>
  <c r="L210" i="1"/>
  <c r="K210" i="1"/>
  <c r="H210" i="1"/>
  <c r="G210" i="1"/>
  <c r="D210" i="1"/>
  <c r="C210" i="1"/>
  <c r="L209" i="1"/>
  <c r="K209" i="1"/>
  <c r="H209" i="1"/>
  <c r="G209" i="1"/>
  <c r="D209" i="1"/>
  <c r="C209" i="1"/>
  <c r="L208" i="1"/>
  <c r="K208" i="1"/>
  <c r="H208" i="1"/>
  <c r="G208" i="1"/>
  <c r="M208" i="1" s="1"/>
  <c r="D208" i="1"/>
  <c r="C208" i="1"/>
  <c r="L207" i="1"/>
  <c r="K207" i="1"/>
  <c r="H207" i="1"/>
  <c r="G207" i="1"/>
  <c r="D207" i="1"/>
  <c r="C207" i="1"/>
  <c r="L206" i="1"/>
  <c r="K206" i="1"/>
  <c r="H206" i="1"/>
  <c r="G206" i="1"/>
  <c r="I206" i="1" s="1"/>
  <c r="D206" i="1"/>
  <c r="C206" i="1"/>
  <c r="L205" i="1"/>
  <c r="K205" i="1"/>
  <c r="H205" i="1"/>
  <c r="G205" i="1"/>
  <c r="M205" i="1" s="1"/>
  <c r="D205" i="1"/>
  <c r="C205" i="1"/>
  <c r="L204" i="1"/>
  <c r="K204" i="1"/>
  <c r="H204" i="1"/>
  <c r="G204" i="1"/>
  <c r="J204" i="1" s="1"/>
  <c r="D204" i="1"/>
  <c r="C204" i="1"/>
  <c r="L203" i="1"/>
  <c r="K203" i="1"/>
  <c r="H203" i="1"/>
  <c r="G203" i="1"/>
  <c r="J203" i="1" s="1"/>
  <c r="D203" i="1"/>
  <c r="C203" i="1"/>
  <c r="L202" i="1"/>
  <c r="K202" i="1"/>
  <c r="H202" i="1"/>
  <c r="G202" i="1"/>
  <c r="D202" i="1"/>
  <c r="C202" i="1"/>
  <c r="L201" i="1"/>
  <c r="K201" i="1"/>
  <c r="H201" i="1"/>
  <c r="G201" i="1"/>
  <c r="M201" i="1" s="1"/>
  <c r="D201" i="1"/>
  <c r="C201" i="1"/>
  <c r="L200" i="1"/>
  <c r="K200" i="1"/>
  <c r="H200" i="1"/>
  <c r="G200" i="1"/>
  <c r="M200" i="1" s="1"/>
  <c r="D200" i="1"/>
  <c r="C200" i="1"/>
  <c r="L199" i="1"/>
  <c r="K199" i="1"/>
  <c r="H199" i="1"/>
  <c r="G199" i="1"/>
  <c r="M199" i="1" s="1"/>
  <c r="D199" i="1"/>
  <c r="C199" i="1"/>
  <c r="L198" i="1"/>
  <c r="K198" i="1"/>
  <c r="H198" i="1"/>
  <c r="G198" i="1"/>
  <c r="I198" i="1" s="1"/>
  <c r="D198" i="1"/>
  <c r="C198" i="1"/>
  <c r="L197" i="1"/>
  <c r="K197" i="1"/>
  <c r="H197" i="1"/>
  <c r="G197" i="1"/>
  <c r="J197" i="1" s="1"/>
  <c r="D197" i="1"/>
  <c r="C197" i="1"/>
  <c r="L196" i="1"/>
  <c r="K196" i="1"/>
  <c r="H196" i="1"/>
  <c r="G196" i="1"/>
  <c r="J196" i="1" s="1"/>
  <c r="D196" i="1"/>
  <c r="C196" i="1"/>
  <c r="L195" i="1"/>
  <c r="K195" i="1"/>
  <c r="H195" i="1"/>
  <c r="G195" i="1"/>
  <c r="M195" i="1" s="1"/>
  <c r="D195" i="1"/>
  <c r="C195" i="1"/>
  <c r="L194" i="1"/>
  <c r="K194" i="1"/>
  <c r="H194" i="1"/>
  <c r="G194" i="1"/>
  <c r="M194" i="1" s="1"/>
  <c r="D194" i="1"/>
  <c r="C194" i="1"/>
  <c r="L193" i="1"/>
  <c r="K193" i="1"/>
  <c r="H193" i="1"/>
  <c r="G193" i="1"/>
  <c r="D193" i="1"/>
  <c r="C193" i="1"/>
  <c r="L192" i="1"/>
  <c r="K192" i="1"/>
  <c r="H192" i="1"/>
  <c r="G192" i="1"/>
  <c r="M192" i="1" s="1"/>
  <c r="D192" i="1"/>
  <c r="C192" i="1"/>
  <c r="L191" i="1"/>
  <c r="K191" i="1"/>
  <c r="H191" i="1"/>
  <c r="G191" i="1"/>
  <c r="J191" i="1" s="1"/>
  <c r="D191" i="1"/>
  <c r="C191" i="1"/>
  <c r="L190" i="1"/>
  <c r="K190" i="1"/>
  <c r="H190" i="1"/>
  <c r="G190" i="1"/>
  <c r="M190" i="1" s="1"/>
  <c r="D190" i="1"/>
  <c r="C190" i="1"/>
  <c r="L189" i="1"/>
  <c r="K189" i="1"/>
  <c r="H189" i="1"/>
  <c r="G189" i="1"/>
  <c r="M189" i="1" s="1"/>
  <c r="D189" i="1"/>
  <c r="C189" i="1"/>
  <c r="L188" i="1"/>
  <c r="K188" i="1"/>
  <c r="H188" i="1"/>
  <c r="G188" i="1"/>
  <c r="M188" i="1" s="1"/>
  <c r="D188" i="1"/>
  <c r="C188" i="1"/>
  <c r="L187" i="1"/>
  <c r="K187" i="1"/>
  <c r="H187" i="1"/>
  <c r="G187" i="1"/>
  <c r="M187" i="1" s="1"/>
  <c r="D187" i="1"/>
  <c r="C187" i="1"/>
  <c r="L186" i="1"/>
  <c r="K186" i="1"/>
  <c r="H186" i="1"/>
  <c r="G186" i="1"/>
  <c r="M186" i="1" s="1"/>
  <c r="D186" i="1"/>
  <c r="C186" i="1"/>
  <c r="L185" i="1"/>
  <c r="K185" i="1"/>
  <c r="H185" i="1"/>
  <c r="G185" i="1"/>
  <c r="J185" i="1" s="1"/>
  <c r="D185" i="1"/>
  <c r="C185" i="1"/>
  <c r="L184" i="1"/>
  <c r="K184" i="1"/>
  <c r="H184" i="1"/>
  <c r="G184" i="1"/>
  <c r="M184" i="1" s="1"/>
  <c r="D184" i="1"/>
  <c r="C184" i="1"/>
  <c r="L183" i="1"/>
  <c r="K183" i="1"/>
  <c r="H183" i="1"/>
  <c r="G183" i="1"/>
  <c r="M183" i="1" s="1"/>
  <c r="D183" i="1"/>
  <c r="C183" i="1"/>
  <c r="L182" i="1"/>
  <c r="K182" i="1"/>
  <c r="H182" i="1"/>
  <c r="G182" i="1"/>
  <c r="J182" i="1" s="1"/>
  <c r="D182" i="1"/>
  <c r="C182" i="1"/>
  <c r="L181" i="1"/>
  <c r="K181" i="1"/>
  <c r="H181" i="1"/>
  <c r="G181" i="1"/>
  <c r="J181" i="1" s="1"/>
  <c r="D181" i="1"/>
  <c r="C181" i="1"/>
  <c r="L180" i="1"/>
  <c r="K180" i="1"/>
  <c r="H180" i="1"/>
  <c r="G180" i="1"/>
  <c r="D180" i="1"/>
  <c r="C180" i="1"/>
  <c r="L179" i="1"/>
  <c r="K179" i="1"/>
  <c r="H179" i="1"/>
  <c r="G179" i="1"/>
  <c r="I179" i="1" s="1"/>
  <c r="D179" i="1"/>
  <c r="C179" i="1"/>
  <c r="L178" i="1"/>
  <c r="K178" i="1"/>
  <c r="H178" i="1"/>
  <c r="G178" i="1"/>
  <c r="M178" i="1" s="1"/>
  <c r="D178" i="1"/>
  <c r="C178" i="1"/>
  <c r="L177" i="1"/>
  <c r="K177" i="1"/>
  <c r="H177" i="1"/>
  <c r="G177" i="1"/>
  <c r="M177" i="1" s="1"/>
  <c r="D177" i="1"/>
  <c r="C177" i="1"/>
  <c r="L176" i="1"/>
  <c r="K176" i="1"/>
  <c r="H176" i="1"/>
  <c r="G176" i="1"/>
  <c r="M176" i="1" s="1"/>
  <c r="D176" i="1"/>
  <c r="C176" i="1"/>
  <c r="L175" i="1"/>
  <c r="K175" i="1"/>
  <c r="H175" i="1"/>
  <c r="G175" i="1"/>
  <c r="J175" i="1" s="1"/>
  <c r="D175" i="1"/>
  <c r="C175" i="1"/>
  <c r="L174" i="1"/>
  <c r="K174" i="1"/>
  <c r="H174" i="1"/>
  <c r="G174" i="1"/>
  <c r="I174" i="1" s="1"/>
  <c r="D174" i="1"/>
  <c r="C174" i="1"/>
  <c r="L173" i="1"/>
  <c r="K173" i="1"/>
  <c r="H173" i="1"/>
  <c r="G173" i="1"/>
  <c r="J173" i="1" s="1"/>
  <c r="D173" i="1"/>
  <c r="C173" i="1"/>
  <c r="L172" i="1"/>
  <c r="K172" i="1"/>
  <c r="H172" i="1"/>
  <c r="G172" i="1"/>
  <c r="D172" i="1"/>
  <c r="C172" i="1"/>
  <c r="L171" i="1"/>
  <c r="K171" i="1"/>
  <c r="H171" i="1"/>
  <c r="G171" i="1"/>
  <c r="M171" i="1" s="1"/>
  <c r="D171" i="1"/>
  <c r="C171" i="1"/>
  <c r="L170" i="1"/>
  <c r="K170" i="1"/>
  <c r="H170" i="1"/>
  <c r="G170" i="1"/>
  <c r="J170" i="1" s="1"/>
  <c r="D170" i="1"/>
  <c r="C170" i="1"/>
  <c r="L169" i="1"/>
  <c r="K169" i="1"/>
  <c r="H169" i="1"/>
  <c r="G169" i="1"/>
  <c r="J169" i="1" s="1"/>
  <c r="D169" i="1"/>
  <c r="C169" i="1"/>
  <c r="L168" i="1"/>
  <c r="K168" i="1"/>
  <c r="H168" i="1"/>
  <c r="G168" i="1"/>
  <c r="D168" i="1"/>
  <c r="C168" i="1"/>
  <c r="L167" i="1"/>
  <c r="K167" i="1"/>
  <c r="H167" i="1"/>
  <c r="G167" i="1"/>
  <c r="M167" i="1" s="1"/>
  <c r="D167" i="1"/>
  <c r="C167" i="1"/>
  <c r="L166" i="1"/>
  <c r="K166" i="1"/>
  <c r="H166" i="1"/>
  <c r="G166" i="1"/>
  <c r="M166" i="1" s="1"/>
  <c r="D166" i="1"/>
  <c r="C166" i="1"/>
  <c r="L165" i="1"/>
  <c r="K165" i="1"/>
  <c r="H165" i="1"/>
  <c r="G165" i="1"/>
  <c r="J165" i="1" s="1"/>
  <c r="D165" i="1"/>
  <c r="C165" i="1"/>
  <c r="L164" i="1"/>
  <c r="K164" i="1"/>
  <c r="H164" i="1"/>
  <c r="G164" i="1"/>
  <c r="J164" i="1" s="1"/>
  <c r="D164" i="1"/>
  <c r="C164" i="1"/>
  <c r="L163" i="1"/>
  <c r="K163" i="1"/>
  <c r="H163" i="1"/>
  <c r="G163" i="1"/>
  <c r="M163" i="1" s="1"/>
  <c r="D163" i="1"/>
  <c r="C163" i="1"/>
  <c r="L162" i="1"/>
  <c r="K162" i="1"/>
  <c r="H162" i="1"/>
  <c r="G162" i="1"/>
  <c r="I162" i="1" s="1"/>
  <c r="D162" i="1"/>
  <c r="C162" i="1"/>
  <c r="L161" i="1"/>
  <c r="K161" i="1"/>
  <c r="H161" i="1"/>
  <c r="G161" i="1"/>
  <c r="D161" i="1"/>
  <c r="C161" i="1"/>
  <c r="L160" i="1"/>
  <c r="K160" i="1"/>
  <c r="H160" i="1"/>
  <c r="G160" i="1"/>
  <c r="M160" i="1" s="1"/>
  <c r="D160" i="1"/>
  <c r="C160" i="1"/>
  <c r="L159" i="1"/>
  <c r="K159" i="1"/>
  <c r="H159" i="1"/>
  <c r="G159" i="1"/>
  <c r="I159" i="1" s="1"/>
  <c r="D159" i="1"/>
  <c r="C159" i="1"/>
  <c r="L158" i="1"/>
  <c r="K158" i="1"/>
  <c r="H158" i="1"/>
  <c r="G158" i="1"/>
  <c r="M158" i="1" s="1"/>
  <c r="D158" i="1"/>
  <c r="C158" i="1"/>
  <c r="L157" i="1"/>
  <c r="K157" i="1"/>
  <c r="H157" i="1"/>
  <c r="G157" i="1"/>
  <c r="M157" i="1" s="1"/>
  <c r="D157" i="1"/>
  <c r="C157" i="1"/>
  <c r="L156" i="1"/>
  <c r="K156" i="1"/>
  <c r="H156" i="1"/>
  <c r="G156" i="1"/>
  <c r="M156" i="1" s="1"/>
  <c r="D156" i="1"/>
  <c r="C156" i="1"/>
  <c r="L155" i="1"/>
  <c r="K155" i="1"/>
  <c r="H155" i="1"/>
  <c r="G155" i="1"/>
  <c r="M155" i="1" s="1"/>
  <c r="D155" i="1"/>
  <c r="C155" i="1"/>
  <c r="L154" i="1"/>
  <c r="K154" i="1"/>
  <c r="H154" i="1"/>
  <c r="G154" i="1"/>
  <c r="D154" i="1"/>
  <c r="C154" i="1"/>
  <c r="L153" i="1"/>
  <c r="K153" i="1"/>
  <c r="H153" i="1"/>
  <c r="G153" i="1"/>
  <c r="J153" i="1" s="1"/>
  <c r="D153" i="1"/>
  <c r="C153" i="1"/>
  <c r="L152" i="1"/>
  <c r="K152" i="1"/>
  <c r="H152" i="1"/>
  <c r="G152" i="1"/>
  <c r="J152" i="1" s="1"/>
  <c r="D152" i="1"/>
  <c r="C152" i="1"/>
  <c r="L151" i="1"/>
  <c r="K151" i="1"/>
  <c r="H151" i="1"/>
  <c r="G151" i="1"/>
  <c r="M151" i="1" s="1"/>
  <c r="D151" i="1"/>
  <c r="C151" i="1"/>
  <c r="L150" i="1"/>
  <c r="K150" i="1"/>
  <c r="H150" i="1"/>
  <c r="G150" i="1"/>
  <c r="J150" i="1" s="1"/>
  <c r="D150" i="1"/>
  <c r="C150" i="1"/>
  <c r="L149" i="1"/>
  <c r="K149" i="1"/>
  <c r="H149" i="1"/>
  <c r="G149" i="1"/>
  <c r="J149" i="1" s="1"/>
  <c r="D149" i="1"/>
  <c r="C149" i="1"/>
  <c r="L148" i="1"/>
  <c r="K148" i="1"/>
  <c r="H148" i="1"/>
  <c r="G148" i="1"/>
  <c r="M148" i="1" s="1"/>
  <c r="D148" i="1"/>
  <c r="C148" i="1"/>
  <c r="L147" i="1"/>
  <c r="K147" i="1"/>
  <c r="H147" i="1"/>
  <c r="G147" i="1"/>
  <c r="M147" i="1" s="1"/>
  <c r="D147" i="1"/>
  <c r="C147" i="1"/>
  <c r="L146" i="1"/>
  <c r="K146" i="1"/>
  <c r="H146" i="1"/>
  <c r="G146" i="1"/>
  <c r="M146" i="1" s="1"/>
  <c r="D146" i="1"/>
  <c r="C146" i="1"/>
  <c r="L145" i="1"/>
  <c r="K145" i="1"/>
  <c r="H145" i="1"/>
  <c r="G145" i="1"/>
  <c r="J145" i="1" s="1"/>
  <c r="D145" i="1"/>
  <c r="C145" i="1"/>
  <c r="L144" i="1"/>
  <c r="K144" i="1"/>
  <c r="H144" i="1"/>
  <c r="G144" i="1"/>
  <c r="M144" i="1" s="1"/>
  <c r="D144" i="1"/>
  <c r="C144" i="1"/>
  <c r="L143" i="1"/>
  <c r="K143" i="1"/>
  <c r="H143" i="1"/>
  <c r="G143" i="1"/>
  <c r="M143" i="1" s="1"/>
  <c r="D143" i="1"/>
  <c r="C143" i="1"/>
  <c r="L142" i="1"/>
  <c r="K142" i="1"/>
  <c r="H142" i="1"/>
  <c r="G142" i="1"/>
  <c r="D142" i="1"/>
  <c r="C142" i="1"/>
  <c r="L141" i="1"/>
  <c r="K141" i="1"/>
  <c r="H141" i="1"/>
  <c r="G141" i="1"/>
  <c r="M141" i="1" s="1"/>
  <c r="D141" i="1"/>
  <c r="C141" i="1"/>
  <c r="L140" i="1"/>
  <c r="K140" i="1"/>
  <c r="H140" i="1"/>
  <c r="G140" i="1"/>
  <c r="I140" i="1" s="1"/>
  <c r="D140" i="1"/>
  <c r="C140" i="1"/>
  <c r="L139" i="1"/>
  <c r="K139" i="1"/>
  <c r="H139" i="1"/>
  <c r="G139" i="1"/>
  <c r="J139" i="1" s="1"/>
  <c r="D139" i="1"/>
  <c r="C139" i="1"/>
  <c r="L138" i="1"/>
  <c r="K138" i="1"/>
  <c r="H138" i="1"/>
  <c r="G138" i="1"/>
  <c r="M138" i="1" s="1"/>
  <c r="D138" i="1"/>
  <c r="C138" i="1"/>
  <c r="L137" i="1"/>
  <c r="K137" i="1"/>
  <c r="H137" i="1"/>
  <c r="G137" i="1"/>
  <c r="M137" i="1" s="1"/>
  <c r="D137" i="1"/>
  <c r="C137" i="1"/>
  <c r="L136" i="1"/>
  <c r="K136" i="1"/>
  <c r="H136" i="1"/>
  <c r="G136" i="1"/>
  <c r="J136" i="1" s="1"/>
  <c r="D136" i="1"/>
  <c r="C136" i="1"/>
  <c r="L135" i="1"/>
  <c r="K135" i="1"/>
  <c r="H135" i="1"/>
  <c r="G135" i="1"/>
  <c r="J135" i="1" s="1"/>
  <c r="D135" i="1"/>
  <c r="C135" i="1"/>
  <c r="L134" i="1"/>
  <c r="K134" i="1"/>
  <c r="H134" i="1"/>
  <c r="G134" i="1"/>
  <c r="M134" i="1" s="1"/>
  <c r="D134" i="1"/>
  <c r="C134" i="1"/>
  <c r="L133" i="1"/>
  <c r="K133" i="1"/>
  <c r="H133" i="1"/>
  <c r="G133" i="1"/>
  <c r="I133" i="1" s="1"/>
  <c r="D133" i="1"/>
  <c r="C133" i="1"/>
  <c r="L132" i="1"/>
  <c r="K132" i="1"/>
  <c r="H132" i="1"/>
  <c r="G132" i="1"/>
  <c r="I132" i="1" s="1"/>
  <c r="D132" i="1"/>
  <c r="C132" i="1"/>
  <c r="L131" i="1"/>
  <c r="K131" i="1"/>
  <c r="H131" i="1"/>
  <c r="G131" i="1"/>
  <c r="I131" i="1" s="1"/>
  <c r="D131" i="1"/>
  <c r="C131" i="1"/>
  <c r="L130" i="1"/>
  <c r="K130" i="1"/>
  <c r="H130" i="1"/>
  <c r="G130" i="1"/>
  <c r="M130" i="1" s="1"/>
  <c r="D130" i="1"/>
  <c r="C130" i="1"/>
  <c r="L129" i="1"/>
  <c r="K129" i="1"/>
  <c r="H129" i="1"/>
  <c r="G129" i="1"/>
  <c r="D129" i="1"/>
  <c r="C129" i="1"/>
  <c r="L128" i="1"/>
  <c r="K128" i="1"/>
  <c r="H128" i="1"/>
  <c r="G128" i="1"/>
  <c r="M128" i="1" s="1"/>
  <c r="D128" i="1"/>
  <c r="C128" i="1"/>
  <c r="L127" i="1"/>
  <c r="K127" i="1"/>
  <c r="H127" i="1"/>
  <c r="G127" i="1"/>
  <c r="J127" i="1" s="1"/>
  <c r="D127" i="1"/>
  <c r="C127" i="1"/>
  <c r="L126" i="1"/>
  <c r="K126" i="1"/>
  <c r="H126" i="1"/>
  <c r="G126" i="1"/>
  <c r="J126" i="1" s="1"/>
  <c r="D126" i="1"/>
  <c r="C126" i="1"/>
  <c r="L125" i="1"/>
  <c r="K125" i="1"/>
  <c r="H125" i="1"/>
  <c r="G125" i="1"/>
  <c r="M125" i="1" s="1"/>
  <c r="D125" i="1"/>
  <c r="C125" i="1"/>
  <c r="L124" i="1"/>
  <c r="K124" i="1"/>
  <c r="H124" i="1"/>
  <c r="G124" i="1"/>
  <c r="D124" i="1"/>
  <c r="C124" i="1"/>
  <c r="L123" i="1"/>
  <c r="K123" i="1"/>
  <c r="H123" i="1"/>
  <c r="G123" i="1"/>
  <c r="J123" i="1" s="1"/>
  <c r="D123" i="1"/>
  <c r="C123" i="1"/>
  <c r="L122" i="1"/>
  <c r="K122" i="1"/>
  <c r="H122" i="1"/>
  <c r="G122" i="1"/>
  <c r="M122" i="1" s="1"/>
  <c r="D122" i="1"/>
  <c r="C122" i="1"/>
  <c r="L121" i="1"/>
  <c r="K121" i="1"/>
  <c r="H121" i="1"/>
  <c r="G121" i="1"/>
  <c r="M121" i="1" s="1"/>
  <c r="D121" i="1"/>
  <c r="C121" i="1"/>
  <c r="L120" i="1"/>
  <c r="K120" i="1"/>
  <c r="H120" i="1"/>
  <c r="G120" i="1"/>
  <c r="M120" i="1" s="1"/>
  <c r="D120" i="1"/>
  <c r="C120" i="1"/>
  <c r="L119" i="1"/>
  <c r="K119" i="1"/>
  <c r="H119" i="1"/>
  <c r="G119" i="1"/>
  <c r="M119" i="1" s="1"/>
  <c r="D119" i="1"/>
  <c r="C119" i="1"/>
  <c r="L118" i="1"/>
  <c r="K118" i="1"/>
  <c r="H118" i="1"/>
  <c r="G118" i="1"/>
  <c r="I118" i="1" s="1"/>
  <c r="D118" i="1"/>
  <c r="C118" i="1"/>
  <c r="L117" i="1"/>
  <c r="K117" i="1"/>
  <c r="H117" i="1"/>
  <c r="G117" i="1"/>
  <c r="D117" i="1"/>
  <c r="C117" i="1"/>
  <c r="L116" i="1"/>
  <c r="K116" i="1"/>
  <c r="H116" i="1"/>
  <c r="G116" i="1"/>
  <c r="J116" i="1" s="1"/>
  <c r="D116" i="1"/>
  <c r="C116" i="1"/>
  <c r="L115" i="1"/>
  <c r="K115" i="1"/>
  <c r="H115" i="1"/>
  <c r="G115" i="1"/>
  <c r="D115" i="1"/>
  <c r="C115" i="1"/>
  <c r="L114" i="1"/>
  <c r="K114" i="1"/>
  <c r="H114" i="1"/>
  <c r="G114" i="1"/>
  <c r="J114" i="1" s="1"/>
  <c r="D114" i="1"/>
  <c r="C114" i="1"/>
  <c r="L113" i="1"/>
  <c r="K113" i="1"/>
  <c r="H113" i="1"/>
  <c r="G113" i="1"/>
  <c r="J113" i="1" s="1"/>
  <c r="D113" i="1"/>
  <c r="C113" i="1"/>
  <c r="L112" i="1"/>
  <c r="K112" i="1"/>
  <c r="H112" i="1"/>
  <c r="G112" i="1"/>
  <c r="J112" i="1" s="1"/>
  <c r="D112" i="1"/>
  <c r="C112" i="1"/>
  <c r="L111" i="1"/>
  <c r="K111" i="1"/>
  <c r="H111" i="1"/>
  <c r="G111" i="1"/>
  <c r="M111" i="1" s="1"/>
  <c r="D111" i="1"/>
  <c r="C111" i="1"/>
  <c r="L110" i="1"/>
  <c r="K110" i="1"/>
  <c r="H110" i="1"/>
  <c r="G110" i="1"/>
  <c r="J110" i="1" s="1"/>
  <c r="D110" i="1"/>
  <c r="C110" i="1"/>
  <c r="L109" i="1"/>
  <c r="K109" i="1"/>
  <c r="H109" i="1"/>
  <c r="G109" i="1"/>
  <c r="I109" i="1" s="1"/>
  <c r="D109" i="1"/>
  <c r="C109" i="1"/>
  <c r="L108" i="1"/>
  <c r="K108" i="1"/>
  <c r="H108" i="1"/>
  <c r="G108" i="1"/>
  <c r="I108" i="1" s="1"/>
  <c r="D108" i="1"/>
  <c r="C108" i="1"/>
  <c r="L107" i="1"/>
  <c r="K107" i="1"/>
  <c r="H107" i="1"/>
  <c r="G107" i="1"/>
  <c r="M107" i="1" s="1"/>
  <c r="D107" i="1"/>
  <c r="C107" i="1"/>
  <c r="L106" i="1"/>
  <c r="K106" i="1"/>
  <c r="H106" i="1"/>
  <c r="G106" i="1"/>
  <c r="D106" i="1"/>
  <c r="C106" i="1"/>
  <c r="L105" i="1"/>
  <c r="K105" i="1"/>
  <c r="H105" i="1"/>
  <c r="G105" i="1"/>
  <c r="M105" i="1" s="1"/>
  <c r="D105" i="1"/>
  <c r="C105" i="1"/>
  <c r="L104" i="1"/>
  <c r="K104" i="1"/>
  <c r="H104" i="1"/>
  <c r="G104" i="1"/>
  <c r="M104" i="1" s="1"/>
  <c r="D104" i="1"/>
  <c r="C104" i="1"/>
  <c r="L103" i="1"/>
  <c r="K103" i="1"/>
  <c r="H103" i="1"/>
  <c r="G103" i="1"/>
  <c r="J103" i="1" s="1"/>
  <c r="D103" i="1"/>
  <c r="C103" i="1"/>
  <c r="L102" i="1"/>
  <c r="K102" i="1"/>
  <c r="H102" i="1"/>
  <c r="G102" i="1"/>
  <c r="I102" i="1" s="1"/>
  <c r="D102" i="1"/>
  <c r="C102" i="1"/>
  <c r="L101" i="1"/>
  <c r="K101" i="1"/>
  <c r="H101" i="1"/>
  <c r="G101" i="1"/>
  <c r="M101" i="1" s="1"/>
  <c r="D101" i="1"/>
  <c r="C101" i="1"/>
  <c r="L100" i="1"/>
  <c r="K100" i="1"/>
  <c r="H100" i="1"/>
  <c r="G100" i="1"/>
  <c r="D100" i="1"/>
  <c r="C100" i="1"/>
  <c r="L99" i="1"/>
  <c r="K99" i="1"/>
  <c r="H99" i="1"/>
  <c r="G99" i="1"/>
  <c r="M99" i="1" s="1"/>
  <c r="D99" i="1"/>
  <c r="C99" i="1"/>
  <c r="L98" i="1"/>
  <c r="K98" i="1"/>
  <c r="H98" i="1"/>
  <c r="G98" i="1"/>
  <c r="M98" i="1" s="1"/>
  <c r="D98" i="1"/>
  <c r="C98" i="1"/>
  <c r="L97" i="1"/>
  <c r="K97" i="1"/>
  <c r="H97" i="1"/>
  <c r="G97" i="1"/>
  <c r="J97" i="1" s="1"/>
  <c r="D97" i="1"/>
  <c r="C97" i="1"/>
  <c r="L96" i="1"/>
  <c r="K96" i="1"/>
  <c r="H96" i="1"/>
  <c r="G96" i="1"/>
  <c r="J96" i="1" s="1"/>
  <c r="D96" i="1"/>
  <c r="C96" i="1"/>
  <c r="L95" i="1"/>
  <c r="K95" i="1"/>
  <c r="H95" i="1"/>
  <c r="G95" i="1"/>
  <c r="M95" i="1" s="1"/>
  <c r="D95" i="1"/>
  <c r="C95" i="1"/>
  <c r="L94" i="1"/>
  <c r="K94" i="1"/>
  <c r="H94" i="1"/>
  <c r="G94" i="1"/>
  <c r="D94" i="1"/>
  <c r="C94" i="1"/>
  <c r="L93" i="1"/>
  <c r="K93" i="1"/>
  <c r="H93" i="1"/>
  <c r="G93" i="1"/>
  <c r="J93" i="1" s="1"/>
  <c r="D93" i="1"/>
  <c r="C93" i="1"/>
  <c r="L92" i="1"/>
  <c r="K92" i="1"/>
  <c r="H92" i="1"/>
  <c r="G92" i="1"/>
  <c r="I92" i="1" s="1"/>
  <c r="D92" i="1"/>
  <c r="C92" i="1"/>
  <c r="L91" i="1"/>
  <c r="K91" i="1"/>
  <c r="H91" i="1"/>
  <c r="G91" i="1"/>
  <c r="J91" i="1" s="1"/>
  <c r="D91" i="1"/>
  <c r="C91" i="1"/>
  <c r="L90" i="1"/>
  <c r="K90" i="1"/>
  <c r="H90" i="1"/>
  <c r="G90" i="1"/>
  <c r="M90" i="1" s="1"/>
  <c r="D90" i="1"/>
  <c r="C90" i="1"/>
  <c r="L89" i="1"/>
  <c r="K89" i="1"/>
  <c r="H89" i="1"/>
  <c r="G89" i="1"/>
  <c r="M89" i="1" s="1"/>
  <c r="D89" i="1"/>
  <c r="C89" i="1"/>
  <c r="L88" i="1"/>
  <c r="K88" i="1"/>
  <c r="H88" i="1"/>
  <c r="G88" i="1"/>
  <c r="D88" i="1"/>
  <c r="C88" i="1"/>
  <c r="L87" i="1"/>
  <c r="K87" i="1"/>
  <c r="H87" i="1"/>
  <c r="G87" i="1"/>
  <c r="M87" i="1" s="1"/>
  <c r="D87" i="1"/>
  <c r="C87" i="1"/>
  <c r="L86" i="1"/>
  <c r="K86" i="1"/>
  <c r="H86" i="1"/>
  <c r="G86" i="1"/>
  <c r="M86" i="1" s="1"/>
  <c r="D86" i="1"/>
  <c r="C86" i="1"/>
  <c r="L85" i="1"/>
  <c r="K85" i="1"/>
  <c r="H85" i="1"/>
  <c r="G85" i="1"/>
  <c r="M85" i="1" s="1"/>
  <c r="D85" i="1"/>
  <c r="C85" i="1"/>
  <c r="L84" i="1"/>
  <c r="K84" i="1"/>
  <c r="H84" i="1"/>
  <c r="G84" i="1"/>
  <c r="J84" i="1" s="1"/>
  <c r="D84" i="1"/>
  <c r="C84" i="1"/>
  <c r="L83" i="1"/>
  <c r="K83" i="1"/>
  <c r="H83" i="1"/>
  <c r="G83" i="1"/>
  <c r="J83" i="1" s="1"/>
  <c r="D83" i="1"/>
  <c r="C83" i="1"/>
  <c r="L82" i="1"/>
  <c r="K82" i="1"/>
  <c r="H82" i="1"/>
  <c r="G82" i="1"/>
  <c r="I82" i="1" s="1"/>
  <c r="D82" i="1"/>
  <c r="C82" i="1"/>
  <c r="L81" i="1"/>
  <c r="K81" i="1"/>
  <c r="H81" i="1"/>
  <c r="G81" i="1"/>
  <c r="D81" i="1"/>
  <c r="C81" i="1"/>
  <c r="L80" i="1"/>
  <c r="K80" i="1"/>
  <c r="H80" i="1"/>
  <c r="G80" i="1"/>
  <c r="J80" i="1" s="1"/>
  <c r="D80" i="1"/>
  <c r="C80" i="1"/>
  <c r="L79" i="1"/>
  <c r="K79" i="1"/>
  <c r="H79" i="1"/>
  <c r="G79" i="1"/>
  <c r="M79" i="1" s="1"/>
  <c r="D79" i="1"/>
  <c r="C79" i="1"/>
  <c r="L78" i="1"/>
  <c r="K78" i="1"/>
  <c r="H78" i="1"/>
  <c r="G78" i="1"/>
  <c r="I78" i="1" s="1"/>
  <c r="D78" i="1"/>
  <c r="C78" i="1"/>
  <c r="L77" i="1"/>
  <c r="K77" i="1"/>
  <c r="H77" i="1"/>
  <c r="G77" i="1"/>
  <c r="M77" i="1" s="1"/>
  <c r="D77" i="1"/>
  <c r="C77" i="1"/>
  <c r="L76" i="1"/>
  <c r="K76" i="1"/>
  <c r="H76" i="1"/>
  <c r="G76" i="1"/>
  <c r="M76" i="1" s="1"/>
  <c r="D76" i="1"/>
  <c r="C76" i="1"/>
  <c r="L75" i="1"/>
  <c r="K75" i="1"/>
  <c r="H75" i="1"/>
  <c r="G75" i="1"/>
  <c r="J75" i="1" s="1"/>
  <c r="D75" i="1"/>
  <c r="C75" i="1"/>
  <c r="L74" i="1"/>
  <c r="K74" i="1"/>
  <c r="H74" i="1"/>
  <c r="G74" i="1"/>
  <c r="M74" i="1" s="1"/>
  <c r="D74" i="1"/>
  <c r="C74" i="1"/>
  <c r="L73" i="1"/>
  <c r="K73" i="1"/>
  <c r="H73" i="1"/>
  <c r="G73" i="1"/>
  <c r="I73" i="1" s="1"/>
  <c r="D73" i="1"/>
  <c r="C73" i="1"/>
  <c r="L72" i="1"/>
  <c r="K72" i="1"/>
  <c r="H72" i="1"/>
  <c r="G72" i="1"/>
  <c r="I72" i="1" s="1"/>
  <c r="D72" i="1"/>
  <c r="C72" i="1"/>
  <c r="L71" i="1"/>
  <c r="K71" i="1"/>
  <c r="H71" i="1"/>
  <c r="G71" i="1"/>
  <c r="J71" i="1" s="1"/>
  <c r="D71" i="1"/>
  <c r="C71" i="1"/>
  <c r="L70" i="1"/>
  <c r="K70" i="1"/>
  <c r="H70" i="1"/>
  <c r="G70" i="1"/>
  <c r="J70" i="1" s="1"/>
  <c r="D70" i="1"/>
  <c r="C70" i="1"/>
  <c r="L69" i="1"/>
  <c r="K69" i="1"/>
  <c r="H69" i="1"/>
  <c r="G69" i="1"/>
  <c r="M69" i="1" s="1"/>
  <c r="D69" i="1"/>
  <c r="C69" i="1"/>
  <c r="L68" i="1"/>
  <c r="K68" i="1"/>
  <c r="H68" i="1"/>
  <c r="G68" i="1"/>
  <c r="M68" i="1" s="1"/>
  <c r="D68" i="1"/>
  <c r="C68" i="1"/>
  <c r="L67" i="1"/>
  <c r="K67" i="1"/>
  <c r="H67" i="1"/>
  <c r="G67" i="1"/>
  <c r="M67" i="1" s="1"/>
  <c r="D67" i="1"/>
  <c r="C67" i="1"/>
  <c r="L66" i="1"/>
  <c r="K66" i="1"/>
  <c r="H66" i="1"/>
  <c r="G66" i="1"/>
  <c r="J66" i="1" s="1"/>
  <c r="D66" i="1"/>
  <c r="C66" i="1"/>
  <c r="L65" i="1"/>
  <c r="K65" i="1"/>
  <c r="H65" i="1"/>
  <c r="G65" i="1"/>
  <c r="I65" i="1" s="1"/>
  <c r="D65" i="1"/>
  <c r="C65" i="1"/>
  <c r="L64" i="1"/>
  <c r="K64" i="1"/>
  <c r="H64" i="1"/>
  <c r="G64" i="1"/>
  <c r="M64" i="1" s="1"/>
  <c r="D64" i="1"/>
  <c r="C64" i="1"/>
  <c r="L63" i="1"/>
  <c r="K63" i="1"/>
  <c r="H63" i="1"/>
  <c r="G63" i="1"/>
  <c r="I63" i="1" s="1"/>
  <c r="D63" i="1"/>
  <c r="C63" i="1"/>
  <c r="L62" i="1"/>
  <c r="K62" i="1"/>
  <c r="H62" i="1"/>
  <c r="G62" i="1"/>
  <c r="I62" i="1" s="1"/>
  <c r="D62" i="1"/>
  <c r="C62" i="1"/>
  <c r="L61" i="1"/>
  <c r="K61" i="1"/>
  <c r="H61" i="1"/>
  <c r="G61" i="1"/>
  <c r="M61" i="1" s="1"/>
  <c r="D61" i="1"/>
  <c r="C61" i="1"/>
  <c r="H60" i="1"/>
  <c r="D60" i="1"/>
  <c r="C60" i="1"/>
  <c r="G60" i="1" s="1"/>
  <c r="L59" i="1"/>
  <c r="K59" i="1"/>
  <c r="H59" i="1"/>
  <c r="G59" i="1"/>
  <c r="M59" i="1" s="1"/>
  <c r="D59" i="1"/>
  <c r="C59" i="1"/>
  <c r="L58" i="1"/>
  <c r="K58" i="1"/>
  <c r="H58" i="1"/>
  <c r="G58" i="1"/>
  <c r="M58" i="1" s="1"/>
  <c r="D58" i="1"/>
  <c r="C58" i="1"/>
  <c r="L57" i="1"/>
  <c r="K57" i="1"/>
  <c r="H57" i="1"/>
  <c r="G57" i="1"/>
  <c r="I57" i="1" s="1"/>
  <c r="D57" i="1"/>
  <c r="C57" i="1"/>
  <c r="I56" i="1" l="1"/>
  <c r="K56" i="1" s="1"/>
  <c r="L56" i="1" s="1"/>
  <c r="M55" i="1"/>
  <c r="J55" i="1"/>
  <c r="I47" i="2" s="1"/>
  <c r="M47" i="2" s="1"/>
  <c r="J56" i="1"/>
  <c r="J583" i="1"/>
  <c r="M458" i="1"/>
  <c r="I893" i="1"/>
  <c r="M484" i="1"/>
  <c r="I282" i="1"/>
  <c r="M775" i="1"/>
  <c r="I469" i="1"/>
  <c r="J147" i="1"/>
  <c r="M283" i="1"/>
  <c r="I921" i="1"/>
  <c r="J111" i="1"/>
  <c r="M918" i="1"/>
  <c r="M921" i="1"/>
  <c r="J208" i="2"/>
  <c r="L208" i="2" s="1"/>
  <c r="J351" i="1"/>
  <c r="M583" i="1"/>
  <c r="M653" i="1"/>
  <c r="K981" i="2"/>
  <c r="K572" i="2"/>
  <c r="M435" i="1"/>
  <c r="J942" i="2"/>
  <c r="L942" i="2" s="1"/>
  <c r="K513" i="2"/>
  <c r="I525" i="1"/>
  <c r="J744" i="1"/>
  <c r="J469" i="1"/>
  <c r="K883" i="2"/>
  <c r="N21" i="6"/>
  <c r="N22" i="6" s="1"/>
  <c r="M108" i="1"/>
  <c r="K300" i="2"/>
  <c r="J111" i="2"/>
  <c r="L111" i="2" s="1"/>
  <c r="M625" i="1"/>
  <c r="J775" i="1"/>
  <c r="M175" i="1"/>
  <c r="K511" i="2"/>
  <c r="J279" i="1"/>
  <c r="K651" i="2"/>
  <c r="J241" i="1"/>
  <c r="I619" i="1"/>
  <c r="K74" i="2"/>
  <c r="K272" i="2"/>
  <c r="J178" i="1"/>
  <c r="J564" i="1"/>
  <c r="J168" i="2"/>
  <c r="L168" i="2" s="1"/>
  <c r="J584" i="2"/>
  <c r="L584" i="2" s="1"/>
  <c r="J212" i="2"/>
  <c r="L212" i="2" s="1"/>
  <c r="M452" i="1"/>
  <c r="K312" i="2"/>
  <c r="K515" i="2"/>
  <c r="M241" i="1"/>
  <c r="I884" i="1"/>
  <c r="J139" i="2"/>
  <c r="L139" i="2" s="1"/>
  <c r="K501" i="2"/>
  <c r="K555" i="2"/>
  <c r="J779" i="2"/>
  <c r="L779" i="2" s="1"/>
  <c r="K724" i="2"/>
  <c r="J321" i="1"/>
  <c r="M755" i="1"/>
  <c r="J492" i="2"/>
  <c r="L492" i="2" s="1"/>
  <c r="I87" i="1"/>
  <c r="M400" i="1"/>
  <c r="I578" i="1"/>
  <c r="I584" i="1"/>
  <c r="M433" i="1"/>
  <c r="M512" i="1"/>
  <c r="I565" i="1"/>
  <c r="J578" i="1"/>
  <c r="J584" i="1"/>
  <c r="K359" i="2"/>
  <c r="K626" i="2"/>
  <c r="M321" i="1"/>
  <c r="M328" i="1"/>
  <c r="M647" i="1"/>
  <c r="J108" i="1"/>
  <c r="I111" i="1"/>
  <c r="I114" i="1"/>
  <c r="K147" i="2"/>
  <c r="J470" i="2"/>
  <c r="L470" i="2" s="1"/>
  <c r="M487" i="1"/>
  <c r="I625" i="1"/>
  <c r="J436" i="2"/>
  <c r="L436" i="2" s="1"/>
  <c r="K695" i="2"/>
  <c r="I84" i="1"/>
  <c r="I962" i="1"/>
  <c r="K69" i="2"/>
  <c r="K407" i="2"/>
  <c r="J602" i="2"/>
  <c r="L602" i="2" s="1"/>
  <c r="K504" i="2"/>
  <c r="J799" i="2"/>
  <c r="L799" i="2" s="1"/>
  <c r="K894" i="2"/>
  <c r="I307" i="1"/>
  <c r="I316" i="1"/>
  <c r="J436" i="1"/>
  <c r="K529" i="2"/>
  <c r="J642" i="2"/>
  <c r="L642" i="2" s="1"/>
  <c r="J307" i="1"/>
  <c r="I310" i="1"/>
  <c r="J316" i="1"/>
  <c r="M351" i="1"/>
  <c r="M478" i="1"/>
  <c r="M304" i="1"/>
  <c r="J310" i="1"/>
  <c r="M153" i="1"/>
  <c r="M381" i="1"/>
  <c r="J63" i="1"/>
  <c r="J134" i="1"/>
  <c r="M150" i="1"/>
  <c r="M531" i="1"/>
  <c r="I744" i="1"/>
  <c r="J826" i="1"/>
  <c r="I934" i="1"/>
  <c r="K100" i="2"/>
  <c r="J336" i="2"/>
  <c r="L336" i="2" s="1"/>
  <c r="K811" i="2"/>
  <c r="K732" i="2"/>
  <c r="J836" i="2"/>
  <c r="L836" i="2" s="1"/>
  <c r="J282" i="1"/>
  <c r="M411" i="1"/>
  <c r="K419" i="2"/>
  <c r="J683" i="2"/>
  <c r="L683" i="2" s="1"/>
  <c r="I273" i="1"/>
  <c r="I593" i="1"/>
  <c r="M619" i="1"/>
  <c r="K135" i="2"/>
  <c r="J184" i="2"/>
  <c r="L184" i="2" s="1"/>
  <c r="J950" i="2"/>
  <c r="L950" i="2" s="1"/>
  <c r="J916" i="2"/>
  <c r="L916" i="2" s="1"/>
  <c r="M63" i="1"/>
  <c r="I632" i="1"/>
  <c r="I944" i="1"/>
  <c r="K406" i="2"/>
  <c r="J132" i="1"/>
  <c r="M273" i="1"/>
  <c r="I435" i="1"/>
  <c r="M568" i="1"/>
  <c r="J893" i="1"/>
  <c r="K82" i="2"/>
  <c r="K126" i="2"/>
  <c r="J249" i="2"/>
  <c r="L249" i="2" s="1"/>
  <c r="K362" i="2"/>
  <c r="M473" i="1"/>
  <c r="I396" i="1"/>
  <c r="M562" i="1"/>
  <c r="K387" i="2"/>
  <c r="K455" i="2"/>
  <c r="K484" i="2"/>
  <c r="I178" i="1"/>
  <c r="M340" i="1"/>
  <c r="M432" i="1"/>
  <c r="M464" i="1"/>
  <c r="J397" i="2"/>
  <c r="L397" i="2" s="1"/>
  <c r="J411" i="2"/>
  <c r="L411" i="2" s="1"/>
  <c r="K465" i="2"/>
  <c r="M100" i="1"/>
  <c r="J100" i="1"/>
  <c r="J849" i="2"/>
  <c r="L849" i="2" s="1"/>
  <c r="K849" i="2"/>
  <c r="J231" i="2"/>
  <c r="L231" i="2" s="1"/>
  <c r="K231" i="2"/>
  <c r="M725" i="1"/>
  <c r="J725" i="1"/>
  <c r="I738" i="1"/>
  <c r="J222" i="2"/>
  <c r="L222" i="2" s="1"/>
  <c r="K222" i="2"/>
  <c r="H47" i="2"/>
  <c r="J72" i="1"/>
  <c r="M72" i="1"/>
  <c r="M97" i="1"/>
  <c r="M254" i="1"/>
  <c r="I393" i="1"/>
  <c r="J393" i="1"/>
  <c r="I662" i="1"/>
  <c r="J662" i="1"/>
  <c r="J133" i="2"/>
  <c r="L133" i="2" s="1"/>
  <c r="K133" i="2"/>
  <c r="I251" i="1"/>
  <c r="J251" i="1"/>
  <c r="M251" i="1"/>
  <c r="I264" i="1"/>
  <c r="K61" i="2"/>
  <c r="I75" i="1"/>
  <c r="J312" i="1"/>
  <c r="M312" i="1"/>
  <c r="M500" i="1"/>
  <c r="J500" i="1"/>
  <c r="I500" i="1"/>
  <c r="J457" i="2"/>
  <c r="L457" i="2" s="1"/>
  <c r="K457" i="2"/>
  <c r="J433" i="2"/>
  <c r="L433" i="2" s="1"/>
  <c r="J289" i="1"/>
  <c r="I289" i="1"/>
  <c r="I88" i="1"/>
  <c r="J88" i="1"/>
  <c r="M633" i="1"/>
  <c r="J633" i="1"/>
  <c r="I804" i="1"/>
  <c r="M804" i="1"/>
  <c r="M941" i="1"/>
  <c r="J941" i="1"/>
  <c r="K52" i="2"/>
  <c r="J52" i="2"/>
  <c r="L52" i="2" s="1"/>
  <c r="J209" i="1"/>
  <c r="M209" i="1"/>
  <c r="M530" i="1"/>
  <c r="J530" i="1"/>
  <c r="M768" i="1"/>
  <c r="J768" i="1"/>
  <c r="I768" i="1"/>
  <c r="M951" i="1"/>
  <c r="I951" i="1"/>
  <c r="I124" i="1"/>
  <c r="M124" i="1"/>
  <c r="J124" i="1"/>
  <c r="I189" i="1"/>
  <c r="J364" i="1"/>
  <c r="M364" i="1"/>
  <c r="J804" i="1"/>
  <c r="J702" i="2"/>
  <c r="L702" i="2" s="1"/>
  <c r="K702" i="2"/>
  <c r="I420" i="1"/>
  <c r="M420" i="1"/>
  <c r="J420" i="1"/>
  <c r="M864" i="1"/>
  <c r="J864" i="1"/>
  <c r="I864" i="1"/>
  <c r="J322" i="2"/>
  <c r="L322" i="2" s="1"/>
  <c r="K322" i="2"/>
  <c r="J424" i="2"/>
  <c r="L424" i="2" s="1"/>
  <c r="J861" i="1"/>
  <c r="I861" i="1"/>
  <c r="M861" i="1"/>
  <c r="I945" i="1"/>
  <c r="M945" i="1"/>
  <c r="J945" i="1"/>
  <c r="K308" i="2"/>
  <c r="J308" i="2"/>
  <c r="L308" i="2" s="1"/>
  <c r="M424" i="1"/>
  <c r="J424" i="1"/>
  <c r="J107" i="2"/>
  <c r="L107" i="2" s="1"/>
  <c r="J531" i="2"/>
  <c r="L531" i="2" s="1"/>
  <c r="K531" i="2"/>
  <c r="J243" i="1"/>
  <c r="I243" i="1"/>
  <c r="I456" i="1"/>
  <c r="I592" i="1"/>
  <c r="M592" i="1"/>
  <c r="M641" i="1"/>
  <c r="J641" i="1"/>
  <c r="J644" i="1"/>
  <c r="K269" i="2"/>
  <c r="J269" i="2"/>
  <c r="L269" i="2" s="1"/>
  <c r="J348" i="2"/>
  <c r="L348" i="2" s="1"/>
  <c r="K348" i="2"/>
  <c r="I595" i="1"/>
  <c r="J595" i="1"/>
  <c r="I298" i="1"/>
  <c r="I421" i="1"/>
  <c r="J421" i="1"/>
  <c r="M421" i="1"/>
  <c r="J959" i="1"/>
  <c r="I959" i="1"/>
  <c r="J503" i="2"/>
  <c r="L503" i="2" s="1"/>
  <c r="K503" i="2"/>
  <c r="K201" i="2"/>
  <c r="J201" i="2"/>
  <c r="L201" i="2" s="1"/>
  <c r="I415" i="1"/>
  <c r="M415" i="1"/>
  <c r="K475" i="2"/>
  <c r="J475" i="2"/>
  <c r="L475" i="2" s="1"/>
  <c r="I180" i="1"/>
  <c r="M180" i="1"/>
  <c r="J180" i="1"/>
  <c r="J358" i="1"/>
  <c r="M358" i="1"/>
  <c r="J276" i="1"/>
  <c r="K260" i="2"/>
  <c r="J260" i="2"/>
  <c r="L260" i="2" s="1"/>
  <c r="K378" i="2"/>
  <c r="J431" i="2"/>
  <c r="L431" i="2" s="1"/>
  <c r="K431" i="2"/>
  <c r="J767" i="2"/>
  <c r="L767" i="2" s="1"/>
  <c r="J800" i="2"/>
  <c r="L800" i="2" s="1"/>
  <c r="J396" i="1"/>
  <c r="J568" i="2"/>
  <c r="L568" i="2" s="1"/>
  <c r="I720" i="1"/>
  <c r="I767" i="1"/>
  <c r="J789" i="1"/>
  <c r="J365" i="2"/>
  <c r="L365" i="2" s="1"/>
  <c r="K625" i="2"/>
  <c r="J648" i="2"/>
  <c r="L648" i="2" s="1"/>
  <c r="J763" i="2"/>
  <c r="L763" i="2" s="1"/>
  <c r="J809" i="2"/>
  <c r="L809" i="2" s="1"/>
  <c r="K833" i="2"/>
  <c r="K911" i="2"/>
  <c r="J499" i="2"/>
  <c r="L499" i="2" s="1"/>
  <c r="M342" i="1"/>
  <c r="M938" i="1"/>
  <c r="J430" i="2"/>
  <c r="L430" i="2" s="1"/>
  <c r="M132" i="1"/>
  <c r="J274" i="1"/>
  <c r="I283" i="1"/>
  <c r="I381" i="1"/>
  <c r="K237" i="2"/>
  <c r="I512" i="1"/>
  <c r="M944" i="1"/>
  <c r="J67" i="2"/>
  <c r="L67" i="2" s="1"/>
  <c r="J85" i="2"/>
  <c r="L85" i="2" s="1"/>
  <c r="K421" i="2"/>
  <c r="J805" i="2"/>
  <c r="L805" i="2" s="1"/>
  <c r="M884" i="1"/>
  <c r="M361" i="1"/>
  <c r="J626" i="1"/>
  <c r="M906" i="1"/>
  <c r="I620" i="1"/>
  <c r="J720" i="1"/>
  <c r="I352" i="1"/>
  <c r="J632" i="1"/>
  <c r="K246" i="2"/>
  <c r="J453" i="2"/>
  <c r="L453" i="2" s="1"/>
  <c r="M196" i="1"/>
  <c r="M795" i="1"/>
  <c r="I897" i="1"/>
  <c r="I854" i="1"/>
  <c r="J888" i="1"/>
  <c r="K48" i="2"/>
  <c r="J384" i="1"/>
  <c r="J518" i="1"/>
  <c r="M677" i="1"/>
  <c r="J854" i="1"/>
  <c r="K104" i="2"/>
  <c r="J151" i="2"/>
  <c r="L151" i="2" s="1"/>
  <c r="J228" i="2"/>
  <c r="L228" i="2" s="1"/>
  <c r="J242" i="2"/>
  <c r="L242" i="2" s="1"/>
  <c r="J275" i="2"/>
  <c r="L275" i="2" s="1"/>
  <c r="J526" i="2"/>
  <c r="L526" i="2" s="1"/>
  <c r="J587" i="2"/>
  <c r="L587" i="2" s="1"/>
  <c r="K725" i="2"/>
  <c r="J754" i="2"/>
  <c r="L754" i="2" s="1"/>
  <c r="K787" i="2"/>
  <c r="K819" i="2"/>
  <c r="I64" i="1"/>
  <c r="M349" i="1"/>
  <c r="M437" i="1"/>
  <c r="I463" i="1"/>
  <c r="J478" i="1"/>
  <c r="I484" i="1"/>
  <c r="I487" i="1"/>
  <c r="I671" i="1"/>
  <c r="M789" i="1"/>
  <c r="M897" i="1"/>
  <c r="K214" i="2"/>
  <c r="J266" i="2"/>
  <c r="L266" i="2" s="1"/>
  <c r="J417" i="2"/>
  <c r="L417" i="2" s="1"/>
  <c r="J491" i="2"/>
  <c r="L491" i="2" s="1"/>
  <c r="J668" i="2"/>
  <c r="L668" i="2" s="1"/>
  <c r="M70" i="1"/>
  <c r="M274" i="1"/>
  <c r="J400" i="1"/>
  <c r="I457" i="1"/>
  <c r="J463" i="1"/>
  <c r="M614" i="1"/>
  <c r="M748" i="1"/>
  <c r="M783" i="1"/>
  <c r="M888" i="1"/>
  <c r="K205" i="2"/>
  <c r="K863" i="2"/>
  <c r="K119" i="2"/>
  <c r="K473" i="2"/>
  <c r="K546" i="2"/>
  <c r="J579" i="2"/>
  <c r="L579" i="2" s="1"/>
  <c r="J769" i="2"/>
  <c r="L769" i="2" s="1"/>
  <c r="J956" i="2"/>
  <c r="L956" i="2" s="1"/>
  <c r="I867" i="1"/>
  <c r="I870" i="1"/>
  <c r="K91" i="2"/>
  <c r="K324" i="2"/>
  <c r="K459" i="2"/>
  <c r="J523" i="2"/>
  <c r="L523" i="2" s="1"/>
  <c r="K669" i="2"/>
  <c r="J688" i="2"/>
  <c r="L688" i="2" s="1"/>
  <c r="K793" i="2"/>
  <c r="J802" i="2"/>
  <c r="L802" i="2" s="1"/>
  <c r="I59" i="1"/>
  <c r="J385" i="1"/>
  <c r="J491" i="1"/>
  <c r="M809" i="1"/>
  <c r="I974" i="1"/>
  <c r="J372" i="2"/>
  <c r="L372" i="2" s="1"/>
  <c r="K414" i="2"/>
  <c r="K451" i="2"/>
  <c r="K497" i="2"/>
  <c r="K561" i="2"/>
  <c r="J575" i="2"/>
  <c r="L575" i="2" s="1"/>
  <c r="J646" i="2"/>
  <c r="L646" i="2" s="1"/>
  <c r="K655" i="2"/>
  <c r="J684" i="2"/>
  <c r="L684" i="2" s="1"/>
  <c r="J276" i="2"/>
  <c r="L276" i="2" s="1"/>
  <c r="K353" i="2"/>
  <c r="I385" i="1"/>
  <c r="M96" i="1"/>
  <c r="M140" i="1"/>
  <c r="I150" i="1"/>
  <c r="I153" i="1"/>
  <c r="M159" i="1"/>
  <c r="J328" i="1"/>
  <c r="I464" i="1"/>
  <c r="J473" i="1"/>
  <c r="I479" i="1"/>
  <c r="I552" i="1"/>
  <c r="I905" i="1"/>
  <c r="J971" i="1"/>
  <c r="J78" i="2"/>
  <c r="L78" i="2" s="1"/>
  <c r="J363" i="2"/>
  <c r="L363" i="2" s="1"/>
  <c r="K410" i="2"/>
  <c r="J519" i="2"/>
  <c r="L519" i="2" s="1"/>
  <c r="J594" i="2"/>
  <c r="L594" i="2" s="1"/>
  <c r="K603" i="2"/>
  <c r="J632" i="2"/>
  <c r="L632" i="2" s="1"/>
  <c r="K807" i="2"/>
  <c r="K826" i="2"/>
  <c r="K928" i="2"/>
  <c r="I494" i="1"/>
  <c r="J721" i="1"/>
  <c r="J784" i="1"/>
  <c r="J867" i="1"/>
  <c r="M65" i="1"/>
  <c r="M118" i="1"/>
  <c r="J479" i="1"/>
  <c r="M494" i="1"/>
  <c r="M721" i="1"/>
  <c r="M800" i="1"/>
  <c r="K962" i="2"/>
  <c r="J982" i="2"/>
  <c r="L982" i="2" s="1"/>
  <c r="J728" i="2"/>
  <c r="L728" i="2" s="1"/>
  <c r="K790" i="2"/>
  <c r="K861" i="2"/>
  <c r="J962" i="1"/>
  <c r="K905" i="2"/>
  <c r="K973" i="2"/>
  <c r="J109" i="2"/>
  <c r="L109" i="2" s="1"/>
  <c r="J551" i="2"/>
  <c r="L551" i="2" s="1"/>
  <c r="K581" i="2"/>
  <c r="I187" i="1"/>
  <c r="I221" i="1"/>
  <c r="J760" i="1"/>
  <c r="J66" i="2"/>
  <c r="L66" i="2" s="1"/>
  <c r="J167" i="2"/>
  <c r="L167" i="2" s="1"/>
  <c r="K538" i="2"/>
  <c r="J720" i="2"/>
  <c r="L720" i="2" s="1"/>
  <c r="J73" i="1"/>
  <c r="M73" i="1"/>
  <c r="J76" i="1"/>
  <c r="I76" i="1"/>
  <c r="M230" i="1"/>
  <c r="M233" i="1"/>
  <c r="M258" i="1"/>
  <c r="I268" i="1"/>
  <c r="J268" i="1"/>
  <c r="J340" i="1"/>
  <c r="M477" i="1"/>
  <c r="I615" i="1"/>
  <c r="M615" i="1"/>
  <c r="J755" i="1"/>
  <c r="K439" i="2"/>
  <c r="J439" i="2"/>
  <c r="L439" i="2" s="1"/>
  <c r="J789" i="2"/>
  <c r="L789" i="2" s="1"/>
  <c r="K789" i="2"/>
  <c r="J889" i="2"/>
  <c r="L889" i="2" s="1"/>
  <c r="K889" i="2"/>
  <c r="I606" i="1"/>
  <c r="M606" i="1"/>
  <c r="J964" i="1"/>
  <c r="M964" i="1"/>
  <c r="J80" i="2"/>
  <c r="L80" i="2" s="1"/>
  <c r="K102" i="2"/>
  <c r="J102" i="2"/>
  <c r="L102" i="2" s="1"/>
  <c r="K197" i="2"/>
  <c r="J210" i="2"/>
  <c r="L210" i="2" s="1"/>
  <c r="K223" i="2"/>
  <c r="J259" i="2"/>
  <c r="L259" i="2" s="1"/>
  <c r="K426" i="2"/>
  <c r="J426" i="2"/>
  <c r="L426" i="2" s="1"/>
  <c r="K548" i="2"/>
  <c r="J548" i="2"/>
  <c r="L548" i="2" s="1"/>
  <c r="K592" i="2"/>
  <c r="J707" i="2"/>
  <c r="L707" i="2" s="1"/>
  <c r="I529" i="1"/>
  <c r="J685" i="1"/>
  <c r="J747" i="1"/>
  <c r="I967" i="1"/>
  <c r="J50" i="2"/>
  <c r="L50" i="2" s="1"/>
  <c r="J59" i="2"/>
  <c r="L59" i="2" s="1"/>
  <c r="K59" i="2"/>
  <c r="J206" i="2"/>
  <c r="L206" i="2" s="1"/>
  <c r="J241" i="2"/>
  <c r="L241" i="2" s="1"/>
  <c r="J304" i="2"/>
  <c r="L304" i="2" s="1"/>
  <c r="J339" i="2"/>
  <c r="L339" i="2" s="1"/>
  <c r="K357" i="2"/>
  <c r="K405" i="2"/>
  <c r="J409" i="2"/>
  <c r="L409" i="2" s="1"/>
  <c r="J413" i="2"/>
  <c r="L413" i="2" s="1"/>
  <c r="J535" i="2"/>
  <c r="L535" i="2" s="1"/>
  <c r="J680" i="2"/>
  <c r="L680" i="2" s="1"/>
  <c r="K698" i="2"/>
  <c r="J838" i="2"/>
  <c r="L838" i="2" s="1"/>
  <c r="K875" i="2"/>
  <c r="J606" i="1"/>
  <c r="I764" i="1"/>
  <c r="M782" i="1"/>
  <c r="J782" i="1"/>
  <c r="J797" i="1"/>
  <c r="I797" i="1"/>
  <c r="I913" i="1"/>
  <c r="J943" i="1"/>
  <c r="M943" i="1"/>
  <c r="I964" i="1"/>
  <c r="J967" i="1"/>
  <c r="J970" i="1"/>
  <c r="J156" i="2"/>
  <c r="L156" i="2" s="1"/>
  <c r="J291" i="2"/>
  <c r="L291" i="2" s="1"/>
  <c r="K326" i="2"/>
  <c r="K392" i="2"/>
  <c r="J392" i="2"/>
  <c r="L392" i="2" s="1"/>
  <c r="J553" i="2"/>
  <c r="L553" i="2" s="1"/>
  <c r="J735" i="2"/>
  <c r="L735" i="2" s="1"/>
  <c r="J744" i="2"/>
  <c r="L744" i="2" s="1"/>
  <c r="J758" i="2"/>
  <c r="L758" i="2" s="1"/>
  <c r="K758" i="2"/>
  <c r="J803" i="2"/>
  <c r="L803" i="2" s="1"/>
  <c r="K830" i="2"/>
  <c r="J834" i="2"/>
  <c r="L834" i="2" s="1"/>
  <c r="K843" i="2"/>
  <c r="J914" i="2"/>
  <c r="L914" i="2" s="1"/>
  <c r="J201" i="1"/>
  <c r="J403" i="1"/>
  <c r="M185" i="1"/>
  <c r="I322" i="1"/>
  <c r="M544" i="1"/>
  <c r="I931" i="1"/>
  <c r="M931" i="1"/>
  <c r="J338" i="1"/>
  <c r="M588" i="1"/>
  <c r="I588" i="1"/>
  <c r="J895" i="1"/>
  <c r="J471" i="2"/>
  <c r="L471" i="2" s="1"/>
  <c r="J493" i="2"/>
  <c r="L493" i="2" s="1"/>
  <c r="K545" i="2"/>
  <c r="J545" i="2"/>
  <c r="L545" i="2" s="1"/>
  <c r="J671" i="2"/>
  <c r="L671" i="2" s="1"/>
  <c r="J749" i="2"/>
  <c r="L749" i="2" s="1"/>
  <c r="K749" i="2"/>
  <c r="I293" i="1"/>
  <c r="I296" i="1"/>
  <c r="J350" i="1"/>
  <c r="M377" i="1"/>
  <c r="M403" i="1"/>
  <c r="J490" i="1"/>
  <c r="M505" i="1"/>
  <c r="M508" i="1"/>
  <c r="M511" i="1"/>
  <c r="J551" i="1"/>
  <c r="J576" i="1"/>
  <c r="I576" i="1"/>
  <c r="J655" i="1"/>
  <c r="I658" i="1"/>
  <c r="I661" i="1"/>
  <c r="J670" i="1"/>
  <c r="M679" i="1"/>
  <c r="M695" i="1"/>
  <c r="J773" i="1"/>
  <c r="J825" i="1"/>
  <c r="I874" i="1"/>
  <c r="I925" i="1"/>
  <c r="I928" i="1"/>
  <c r="J931" i="1"/>
  <c r="J94" i="2"/>
  <c r="L94" i="2" s="1"/>
  <c r="K116" i="2"/>
  <c r="K129" i="2"/>
  <c r="J161" i="2"/>
  <c r="L161" i="2" s="1"/>
  <c r="J179" i="2"/>
  <c r="L179" i="2" s="1"/>
  <c r="J220" i="2"/>
  <c r="L220" i="2" s="1"/>
  <c r="J224" i="2"/>
  <c r="L224" i="2" s="1"/>
  <c r="K375" i="2"/>
  <c r="J375" i="2"/>
  <c r="L375" i="2" s="1"/>
  <c r="J467" i="2"/>
  <c r="L467" i="2" s="1"/>
  <c r="J567" i="2"/>
  <c r="L567" i="2" s="1"/>
  <c r="J593" i="2"/>
  <c r="L593" i="2" s="1"/>
  <c r="J606" i="2"/>
  <c r="L606" i="2" s="1"/>
  <c r="K657" i="2"/>
  <c r="J685" i="2"/>
  <c r="L685" i="2" s="1"/>
  <c r="J808" i="2"/>
  <c r="L808" i="2" s="1"/>
  <c r="J862" i="2"/>
  <c r="L862" i="2" s="1"/>
  <c r="K895" i="2"/>
  <c r="J891" i="2"/>
  <c r="L891" i="2" s="1"/>
  <c r="K891" i="2"/>
  <c r="J953" i="2"/>
  <c r="L953" i="2" s="1"/>
  <c r="K953" i="2"/>
  <c r="I377" i="1"/>
  <c r="I428" i="1"/>
  <c r="M428" i="1"/>
  <c r="J380" i="1"/>
  <c r="J538" i="1"/>
  <c r="I419" i="1"/>
  <c r="J428" i="1"/>
  <c r="J652" i="1"/>
  <c r="I670" i="1"/>
  <c r="M747" i="1"/>
  <c r="J776" i="1"/>
  <c r="I776" i="1"/>
  <c r="J379" i="2"/>
  <c r="L379" i="2" s="1"/>
  <c r="K379" i="2"/>
  <c r="I80" i="1"/>
  <c r="I119" i="1"/>
  <c r="I125" i="1"/>
  <c r="M164" i="1"/>
  <c r="I344" i="1"/>
  <c r="I386" i="1"/>
  <c r="M386" i="1"/>
  <c r="J392" i="1"/>
  <c r="I413" i="1"/>
  <c r="I736" i="1"/>
  <c r="M797" i="1"/>
  <c r="J828" i="1"/>
  <c r="M913" i="1"/>
  <c r="I143" i="1"/>
  <c r="I155" i="1"/>
  <c r="M368" i="1"/>
  <c r="J634" i="1"/>
  <c r="M652" i="1"/>
  <c r="I718" i="1"/>
  <c r="J756" i="1"/>
  <c r="J850" i="1"/>
  <c r="M895" i="1"/>
  <c r="J121" i="2"/>
  <c r="L121" i="2" s="1"/>
  <c r="J203" i="2"/>
  <c r="L203" i="2" s="1"/>
  <c r="J292" i="2"/>
  <c r="L292" i="2" s="1"/>
  <c r="J327" i="2"/>
  <c r="L327" i="2" s="1"/>
  <c r="J389" i="2"/>
  <c r="L389" i="2" s="1"/>
  <c r="J393" i="2"/>
  <c r="L393" i="2" s="1"/>
  <c r="J441" i="2"/>
  <c r="L441" i="2" s="1"/>
  <c r="J463" i="2"/>
  <c r="L463" i="2" s="1"/>
  <c r="K532" i="2"/>
  <c r="J532" i="2"/>
  <c r="L532" i="2" s="1"/>
  <c r="J563" i="2"/>
  <c r="L563" i="2" s="1"/>
  <c r="J179" i="1"/>
  <c r="I107" i="1"/>
  <c r="J213" i="1"/>
  <c r="I213" i="1"/>
  <c r="J406" i="1"/>
  <c r="J472" i="1"/>
  <c r="J511" i="1"/>
  <c r="J95" i="1"/>
  <c r="J764" i="1"/>
  <c r="I101" i="1"/>
  <c r="I110" i="1"/>
  <c r="J368" i="1"/>
  <c r="I551" i="1"/>
  <c r="M685" i="1"/>
  <c r="I782" i="1"/>
  <c r="I825" i="1"/>
  <c r="J215" i="2"/>
  <c r="L215" i="2" s="1"/>
  <c r="K615" i="2"/>
  <c r="J290" i="1"/>
  <c r="J296" i="1"/>
  <c r="M302" i="1"/>
  <c r="M380" i="1"/>
  <c r="J383" i="1"/>
  <c r="M538" i="1"/>
  <c r="I850" i="1"/>
  <c r="J874" i="1"/>
  <c r="J928" i="1"/>
  <c r="M113" i="1"/>
  <c r="J119" i="1"/>
  <c r="J140" i="1"/>
  <c r="M168" i="1"/>
  <c r="I168" i="1"/>
  <c r="J220" i="1"/>
  <c r="J244" i="1"/>
  <c r="I935" i="2"/>
  <c r="M935" i="2" s="1"/>
  <c r="J60" i="1"/>
  <c r="M116" i="1"/>
  <c r="J143" i="1"/>
  <c r="I217" i="1"/>
  <c r="I226" i="1"/>
  <c r="I229" i="1"/>
  <c r="M278" i="1"/>
  <c r="M293" i="1"/>
  <c r="I329" i="1"/>
  <c r="M341" i="1"/>
  <c r="M378" i="1"/>
  <c r="I378" i="1"/>
  <c r="I604" i="1"/>
  <c r="M655" i="1"/>
  <c r="M658" i="1"/>
  <c r="I715" i="1"/>
  <c r="J765" i="1"/>
  <c r="I765" i="1"/>
  <c r="M776" i="1"/>
  <c r="I795" i="1"/>
  <c r="J166" i="2"/>
  <c r="L166" i="2" s="1"/>
  <c r="J170" i="2"/>
  <c r="L170" i="2" s="1"/>
  <c r="J247" i="2"/>
  <c r="L247" i="2" s="1"/>
  <c r="K274" i="2"/>
  <c r="K283" i="2"/>
  <c r="J319" i="2"/>
  <c r="L319" i="2" s="1"/>
  <c r="J476" i="2"/>
  <c r="L476" i="2" s="1"/>
  <c r="J524" i="2"/>
  <c r="L524" i="2" s="1"/>
  <c r="K524" i="2"/>
  <c r="K672" i="2"/>
  <c r="J672" i="2"/>
  <c r="L672" i="2" s="1"/>
  <c r="J831" i="2"/>
  <c r="L831" i="2" s="1"/>
  <c r="I554" i="1"/>
  <c r="M563" i="1"/>
  <c r="J661" i="1"/>
  <c r="I756" i="1"/>
  <c r="J859" i="1"/>
  <c r="J925" i="1"/>
  <c r="I60" i="1"/>
  <c r="J125" i="1"/>
  <c r="J332" i="1"/>
  <c r="M496" i="1"/>
  <c r="M532" i="1"/>
  <c r="J554" i="1"/>
  <c r="M57" i="1"/>
  <c r="M80" i="1"/>
  <c r="I105" i="1"/>
  <c r="I128" i="1"/>
  <c r="I205" i="1"/>
  <c r="J226" i="1"/>
  <c r="M266" i="1"/>
  <c r="M344" i="1"/>
  <c r="J440" i="1"/>
  <c r="I521" i="1"/>
  <c r="J524" i="1"/>
  <c r="I530" i="1"/>
  <c r="J536" i="1"/>
  <c r="I536" i="1"/>
  <c r="J647" i="1"/>
  <c r="M736" i="1"/>
  <c r="I748" i="1"/>
  <c r="J920" i="1"/>
  <c r="I920" i="1"/>
  <c r="I971" i="1"/>
  <c r="J65" i="2"/>
  <c r="L65" i="2" s="1"/>
  <c r="J446" i="2"/>
  <c r="L446" i="2" s="1"/>
  <c r="J709" i="2"/>
  <c r="L709" i="2" s="1"/>
  <c r="K709" i="2"/>
  <c r="J778" i="2"/>
  <c r="L778" i="2" s="1"/>
  <c r="K818" i="2"/>
  <c r="J827" i="2"/>
  <c r="L827" i="2" s="1"/>
  <c r="K844" i="2"/>
  <c r="J944" i="2"/>
  <c r="L944" i="2" s="1"/>
  <c r="K944" i="2"/>
  <c r="J815" i="1"/>
  <c r="I815" i="1"/>
  <c r="I182" i="1"/>
  <c r="M182" i="1"/>
  <c r="M228" i="1"/>
  <c r="J228" i="1"/>
  <c r="I95" i="1"/>
  <c r="I127" i="1"/>
  <c r="M210" i="1"/>
  <c r="I210" i="1"/>
  <c r="J508" i="1"/>
  <c r="J529" i="1"/>
  <c r="M145" i="1"/>
  <c r="J374" i="1"/>
  <c r="M62" i="1"/>
  <c r="I753" i="1"/>
  <c r="I773" i="1"/>
  <c r="J264" i="2"/>
  <c r="L264" i="2" s="1"/>
  <c r="K349" i="2"/>
  <c r="I315" i="1"/>
  <c r="J315" i="1"/>
  <c r="I743" i="1"/>
  <c r="J743" i="1"/>
  <c r="J899" i="1"/>
  <c r="M899" i="1"/>
  <c r="K270" i="2"/>
  <c r="J270" i="2"/>
  <c r="L270" i="2" s="1"/>
  <c r="J686" i="2"/>
  <c r="L686" i="2" s="1"/>
  <c r="K686" i="2"/>
  <c r="J940" i="2"/>
  <c r="L940" i="2" s="1"/>
  <c r="K940" i="2"/>
  <c r="I388" i="1"/>
  <c r="I472" i="1"/>
  <c r="I439" i="1"/>
  <c r="J174" i="1"/>
  <c r="M174" i="1"/>
  <c r="I490" i="1"/>
  <c r="M317" i="1"/>
  <c r="I533" i="1"/>
  <c r="J533" i="1"/>
  <c r="M117" i="1"/>
  <c r="J117" i="1"/>
  <c r="M291" i="1"/>
  <c r="J291" i="1"/>
  <c r="M446" i="1"/>
  <c r="K158" i="2"/>
  <c r="K257" i="2"/>
  <c r="J257" i="2"/>
  <c r="L257" i="2" s="1"/>
  <c r="J742" i="2"/>
  <c r="L742" i="2" s="1"/>
  <c r="J765" i="2"/>
  <c r="L765" i="2" s="1"/>
  <c r="K832" i="2"/>
  <c r="J832" i="2"/>
  <c r="L832" i="2" s="1"/>
  <c r="J993" i="2"/>
  <c r="L993" i="2" s="1"/>
  <c r="K993" i="2"/>
  <c r="K828" i="2"/>
  <c r="J828" i="2"/>
  <c r="L828" i="2" s="1"/>
  <c r="J974" i="2"/>
  <c r="L974" i="2" s="1"/>
  <c r="K974" i="2"/>
  <c r="M734" i="1"/>
  <c r="J734" i="1"/>
  <c r="J122" i="2"/>
  <c r="L122" i="2" s="1"/>
  <c r="J298" i="2"/>
  <c r="L298" i="2" s="1"/>
  <c r="J190" i="1"/>
  <c r="J444" i="1"/>
  <c r="J471" i="1"/>
  <c r="J87" i="2"/>
  <c r="L87" i="2" s="1"/>
  <c r="J342" i="2"/>
  <c r="L342" i="2" s="1"/>
  <c r="K377" i="2"/>
  <c r="K390" i="2"/>
  <c r="K456" i="2"/>
  <c r="J456" i="2"/>
  <c r="L456" i="2" s="1"/>
  <c r="M114" i="1"/>
  <c r="I209" i="1"/>
  <c r="J230" i="1"/>
  <c r="I516" i="1"/>
  <c r="J516" i="1"/>
  <c r="M595" i="1"/>
  <c r="M626" i="1"/>
  <c r="J669" i="1"/>
  <c r="M669" i="1"/>
  <c r="K163" i="2"/>
  <c r="J280" i="2"/>
  <c r="L280" i="2" s="1"/>
  <c r="J338" i="2"/>
  <c r="L338" i="2" s="1"/>
  <c r="J360" i="2"/>
  <c r="L360" i="2" s="1"/>
  <c r="J399" i="2"/>
  <c r="L399" i="2" s="1"/>
  <c r="J543" i="2"/>
  <c r="L543" i="2" s="1"/>
  <c r="J547" i="2"/>
  <c r="L547" i="2" s="1"/>
  <c r="J613" i="2"/>
  <c r="L613" i="2" s="1"/>
  <c r="J738" i="2"/>
  <c r="L738" i="2" s="1"/>
  <c r="J747" i="2"/>
  <c r="L747" i="2" s="1"/>
  <c r="K841" i="2"/>
  <c r="J860" i="2"/>
  <c r="L860" i="2" s="1"/>
  <c r="I731" i="1"/>
  <c r="J731" i="1"/>
  <c r="K351" i="2"/>
  <c r="K368" i="2"/>
  <c r="J659" i="2"/>
  <c r="L659" i="2" s="1"/>
  <c r="K659" i="2"/>
  <c r="I94" i="1"/>
  <c r="J94" i="1"/>
  <c r="J387" i="1"/>
  <c r="I402" i="1"/>
  <c r="I438" i="1"/>
  <c r="M671" i="1"/>
  <c r="M678" i="1"/>
  <c r="I678" i="1"/>
  <c r="J763" i="1"/>
  <c r="I824" i="1"/>
  <c r="M824" i="1"/>
  <c r="M826" i="1"/>
  <c r="I839" i="1"/>
  <c r="K70" i="2"/>
  <c r="M264" i="1"/>
  <c r="I364" i="1"/>
  <c r="I379" i="1"/>
  <c r="M393" i="1"/>
  <c r="I433" i="1"/>
  <c r="I498" i="1"/>
  <c r="J498" i="1"/>
  <c r="J562" i="1"/>
  <c r="I752" i="1"/>
  <c r="J839" i="1"/>
  <c r="J842" i="1"/>
  <c r="I918" i="1"/>
  <c r="I957" i="1"/>
  <c r="J58" i="2"/>
  <c r="L58" i="2" s="1"/>
  <c r="J62" i="2"/>
  <c r="L62" i="2" s="1"/>
  <c r="K150" i="2"/>
  <c r="J172" i="2"/>
  <c r="L172" i="2" s="1"/>
  <c r="K172" i="2"/>
  <c r="J240" i="2"/>
  <c r="L240" i="2" s="1"/>
  <c r="J356" i="2"/>
  <c r="L356" i="2" s="1"/>
  <c r="J373" i="2"/>
  <c r="L373" i="2" s="1"/>
  <c r="J395" i="2"/>
  <c r="L395" i="2" s="1"/>
  <c r="K404" i="2"/>
  <c r="J443" i="2"/>
  <c r="L443" i="2" s="1"/>
  <c r="J487" i="2"/>
  <c r="L487" i="2" s="1"/>
  <c r="J534" i="2"/>
  <c r="L534" i="2" s="1"/>
  <c r="J569" i="2"/>
  <c r="L569" i="2" s="1"/>
  <c r="J595" i="2"/>
  <c r="L595" i="2" s="1"/>
  <c r="K604" i="2"/>
  <c r="J604" i="2"/>
  <c r="L604" i="2" s="1"/>
  <c r="J627" i="2"/>
  <c r="L627" i="2" s="1"/>
  <c r="K627" i="2"/>
  <c r="J784" i="2"/>
  <c r="L784" i="2" s="1"/>
  <c r="I81" i="1"/>
  <c r="M81" i="1"/>
  <c r="J311" i="2"/>
  <c r="L311" i="2" s="1"/>
  <c r="K320" i="2"/>
  <c r="J525" i="2"/>
  <c r="L525" i="2" s="1"/>
  <c r="J577" i="2"/>
  <c r="L577" i="2" s="1"/>
  <c r="J81" i="1"/>
  <c r="J522" i="1"/>
  <c r="I522" i="1"/>
  <c r="J635" i="1"/>
  <c r="J684" i="1"/>
  <c r="J713" i="1"/>
  <c r="K636" i="2"/>
  <c r="J636" i="2"/>
  <c r="L636" i="2" s="1"/>
  <c r="I224" i="1"/>
  <c r="J438" i="1"/>
  <c r="I605" i="1"/>
  <c r="I651" i="1"/>
  <c r="M651" i="1"/>
  <c r="I842" i="1"/>
  <c r="I70" i="1"/>
  <c r="J79" i="1"/>
  <c r="I79" i="1"/>
  <c r="J163" i="1"/>
  <c r="M169" i="1"/>
  <c r="M203" i="1"/>
  <c r="J212" i="1"/>
  <c r="I255" i="1"/>
  <c r="M271" i="1"/>
  <c r="I271" i="1"/>
  <c r="I304" i="1"/>
  <c r="I358" i="1"/>
  <c r="I367" i="1"/>
  <c r="M444" i="1"/>
  <c r="J480" i="1"/>
  <c r="M480" i="1"/>
  <c r="J492" i="1"/>
  <c r="M492" i="1"/>
  <c r="J531" i="1"/>
  <c r="M608" i="1"/>
  <c r="J624" i="1"/>
  <c r="J651" i="1"/>
  <c r="M660" i="1"/>
  <c r="J660" i="1"/>
  <c r="I669" i="1"/>
  <c r="J752" i="1"/>
  <c r="M760" i="1"/>
  <c r="J824" i="1"/>
  <c r="J906" i="1"/>
  <c r="J136" i="2"/>
  <c r="L136" i="2" s="1"/>
  <c r="J155" i="2"/>
  <c r="L155" i="2" s="1"/>
  <c r="K155" i="2"/>
  <c r="K290" i="2"/>
  <c r="K478" i="2"/>
  <c r="J517" i="2"/>
  <c r="L517" i="2" s="1"/>
  <c r="J600" i="2"/>
  <c r="L600" i="2" s="1"/>
  <c r="J623" i="2"/>
  <c r="L623" i="2" s="1"/>
  <c r="K766" i="2"/>
  <c r="J766" i="2"/>
  <c r="L766" i="2" s="1"/>
  <c r="J970" i="2"/>
  <c r="L970" i="2" s="1"/>
  <c r="J999" i="2"/>
  <c r="L999" i="2" s="1"/>
  <c r="K999" i="2"/>
  <c r="K903" i="2"/>
  <c r="M21" i="6"/>
  <c r="M22" i="6" s="1"/>
  <c r="J55" i="2"/>
  <c r="L55" i="2" s="1"/>
  <c r="J128" i="2"/>
  <c r="L128" i="2" s="1"/>
  <c r="K177" i="2"/>
  <c r="J191" i="2"/>
  <c r="L191" i="2" s="1"/>
  <c r="J213" i="2"/>
  <c r="L213" i="2" s="1"/>
  <c r="K279" i="2"/>
  <c r="J332" i="2"/>
  <c r="L332" i="2" s="1"/>
  <c r="J448" i="2"/>
  <c r="L448" i="2" s="1"/>
  <c r="J469" i="2"/>
  <c r="L469" i="2" s="1"/>
  <c r="J477" i="2"/>
  <c r="L477" i="2" s="1"/>
  <c r="J541" i="2"/>
  <c r="L541" i="2" s="1"/>
  <c r="J664" i="2"/>
  <c r="L664" i="2" s="1"/>
  <c r="J714" i="2"/>
  <c r="L714" i="2" s="1"/>
  <c r="K723" i="2"/>
  <c r="J159" i="1"/>
  <c r="J259" i="1"/>
  <c r="J342" i="1"/>
  <c r="I437" i="1"/>
  <c r="J475" i="1"/>
  <c r="I528" i="1"/>
  <c r="I561" i="1"/>
  <c r="I585" i="1"/>
  <c r="I591" i="1"/>
  <c r="I725" i="1"/>
  <c r="I809" i="1"/>
  <c r="I827" i="1"/>
  <c r="K21" i="6"/>
  <c r="K22" i="6" s="1"/>
  <c r="M802" i="1"/>
  <c r="I802" i="1"/>
  <c r="K556" i="2"/>
  <c r="J556" i="2"/>
  <c r="L556" i="2" s="1"/>
  <c r="M398" i="1"/>
  <c r="M466" i="1"/>
  <c r="M482" i="1"/>
  <c r="M556" i="1"/>
  <c r="M872" i="1"/>
  <c r="J904" i="1"/>
  <c r="I904" i="1"/>
  <c r="M965" i="1"/>
  <c r="J76" i="2"/>
  <c r="L76" i="2" s="1"/>
  <c r="K110" i="2"/>
  <c r="J110" i="2"/>
  <c r="L110" i="2" s="1"/>
  <c r="J180" i="2"/>
  <c r="L180" i="2" s="1"/>
  <c r="K262" i="2"/>
  <c r="K331" i="2"/>
  <c r="K370" i="2"/>
  <c r="J370" i="2"/>
  <c r="L370" i="2" s="1"/>
  <c r="J423" i="2"/>
  <c r="L423" i="2" s="1"/>
  <c r="K423" i="2"/>
  <c r="K494" i="2"/>
  <c r="J494" i="2"/>
  <c r="L494" i="2" s="1"/>
  <c r="J751" i="2"/>
  <c r="L751" i="2" s="1"/>
  <c r="K751" i="2"/>
  <c r="K904" i="2"/>
  <c r="J904" i="2"/>
  <c r="L904" i="2" s="1"/>
  <c r="J151" i="1"/>
  <c r="I167" i="1"/>
  <c r="I194" i="1"/>
  <c r="I234" i="1"/>
  <c r="I237" i="1"/>
  <c r="J265" i="1"/>
  <c r="J305" i="1"/>
  <c r="J326" i="1"/>
  <c r="I359" i="1"/>
  <c r="I412" i="1"/>
  <c r="I423" i="1"/>
  <c r="I431" i="1"/>
  <c r="I485" i="1"/>
  <c r="I541" i="1"/>
  <c r="I570" i="1"/>
  <c r="I573" i="1"/>
  <c r="I617" i="1"/>
  <c r="I672" i="1"/>
  <c r="J672" i="1"/>
  <c r="I700" i="1"/>
  <c r="I712" i="1"/>
  <c r="I785" i="1"/>
  <c r="M785" i="1"/>
  <c r="J802" i="1"/>
  <c r="I810" i="1"/>
  <c r="I819" i="1"/>
  <c r="M836" i="1"/>
  <c r="I836" i="1"/>
  <c r="I881" i="1"/>
  <c r="D19" i="6"/>
  <c r="K99" i="2"/>
  <c r="J99" i="2"/>
  <c r="L99" i="2" s="1"/>
  <c r="K617" i="2"/>
  <c r="J617" i="2"/>
  <c r="L617" i="2" s="1"/>
  <c r="K876" i="2"/>
  <c r="J876" i="2"/>
  <c r="L876" i="2" s="1"/>
  <c r="J167" i="1"/>
  <c r="J194" i="1"/>
  <c r="J234" i="1"/>
  <c r="J359" i="1"/>
  <c r="J423" i="1"/>
  <c r="J485" i="1"/>
  <c r="J541" i="1"/>
  <c r="J570" i="1"/>
  <c r="J573" i="1"/>
  <c r="J700" i="1"/>
  <c r="J712" i="1"/>
  <c r="I774" i="1"/>
  <c r="M774" i="1"/>
  <c r="J810" i="1"/>
  <c r="M830" i="1"/>
  <c r="J830" i="1"/>
  <c r="I830" i="1"/>
  <c r="J881" i="1"/>
  <c r="I887" i="1"/>
  <c r="M887" i="1"/>
  <c r="J887" i="1"/>
  <c r="K185" i="2"/>
  <c r="J185" i="2"/>
  <c r="L185" i="2" s="1"/>
  <c r="J289" i="2"/>
  <c r="L289" i="2" s="1"/>
  <c r="K445" i="2"/>
  <c r="J445" i="2"/>
  <c r="L445" i="2" s="1"/>
  <c r="K302" i="2"/>
  <c r="J302" i="2"/>
  <c r="L302" i="2" s="1"/>
  <c r="K415" i="2"/>
  <c r="J415" i="2"/>
  <c r="L415" i="2" s="1"/>
  <c r="K432" i="2"/>
  <c r="J432" i="2"/>
  <c r="L432" i="2" s="1"/>
  <c r="J87" i="1"/>
  <c r="J101" i="1"/>
  <c r="I104" i="1"/>
  <c r="I186" i="1"/>
  <c r="M191" i="1"/>
  <c r="J205" i="1"/>
  <c r="J221" i="1"/>
  <c r="J229" i="1"/>
  <c r="M237" i="1"/>
  <c r="J252" i="1"/>
  <c r="M265" i="1"/>
  <c r="J271" i="1"/>
  <c r="I300" i="1"/>
  <c r="M305" i="1"/>
  <c r="I313" i="1"/>
  <c r="M326" i="1"/>
  <c r="I335" i="1"/>
  <c r="I343" i="1"/>
  <c r="J367" i="1"/>
  <c r="J378" i="1"/>
  <c r="J388" i="1"/>
  <c r="I404" i="1"/>
  <c r="M412" i="1"/>
  <c r="M431" i="1"/>
  <c r="J439" i="1"/>
  <c r="J456" i="1"/>
  <c r="J520" i="1"/>
  <c r="J525" i="1"/>
  <c r="I544" i="1"/>
  <c r="M549" i="1"/>
  <c r="J552" i="1"/>
  <c r="J565" i="1"/>
  <c r="I568" i="1"/>
  <c r="J604" i="1"/>
  <c r="M617" i="1"/>
  <c r="I695" i="1"/>
  <c r="I737" i="1"/>
  <c r="J774" i="1"/>
  <c r="I805" i="1"/>
  <c r="M819" i="1"/>
  <c r="J870" i="1"/>
  <c r="M904" i="1"/>
  <c r="J951" i="1"/>
  <c r="J974" i="1"/>
  <c r="K73" i="2"/>
  <c r="J148" i="2"/>
  <c r="L148" i="2" s="1"/>
  <c r="J152" i="2"/>
  <c r="L152" i="2" s="1"/>
  <c r="J164" i="2"/>
  <c r="L164" i="2" s="1"/>
  <c r="J383" i="2"/>
  <c r="L383" i="2" s="1"/>
  <c r="K631" i="2"/>
  <c r="J631" i="2"/>
  <c r="L631" i="2" s="1"/>
  <c r="K730" i="2"/>
  <c r="J730" i="2"/>
  <c r="L730" i="2" s="1"/>
  <c r="J961" i="2"/>
  <c r="L961" i="2" s="1"/>
  <c r="K961" i="2"/>
  <c r="I966" i="1"/>
  <c r="M966" i="1"/>
  <c r="K466" i="2"/>
  <c r="J466" i="2"/>
  <c r="L466" i="2" s="1"/>
  <c r="J507" i="2"/>
  <c r="L507" i="2" s="1"/>
  <c r="K507" i="2"/>
  <c r="I173" i="1"/>
  <c r="I61" i="1"/>
  <c r="M84" i="1"/>
  <c r="J104" i="1"/>
  <c r="M135" i="1"/>
  <c r="I149" i="1"/>
  <c r="I157" i="1"/>
  <c r="M162" i="1"/>
  <c r="J186" i="1"/>
  <c r="I200" i="1"/>
  <c r="I219" i="1"/>
  <c r="M243" i="1"/>
  <c r="M276" i="1"/>
  <c r="I284" i="1"/>
  <c r="M289" i="1"/>
  <c r="J300" i="1"/>
  <c r="I308" i="1"/>
  <c r="J313" i="1"/>
  <c r="I324" i="1"/>
  <c r="M332" i="1"/>
  <c r="J335" i="1"/>
  <c r="J343" i="1"/>
  <c r="I354" i="1"/>
  <c r="I373" i="1"/>
  <c r="M383" i="1"/>
  <c r="J404" i="1"/>
  <c r="M406" i="1"/>
  <c r="I467" i="1"/>
  <c r="J483" i="1"/>
  <c r="I488" i="1"/>
  <c r="M498" i="1"/>
  <c r="I501" i="1"/>
  <c r="I547" i="1"/>
  <c r="M576" i="1"/>
  <c r="I640" i="1"/>
  <c r="M648" i="1"/>
  <c r="J648" i="1"/>
  <c r="J664" i="1"/>
  <c r="M672" i="1"/>
  <c r="M731" i="1"/>
  <c r="J777" i="1"/>
  <c r="M777" i="1"/>
  <c r="M833" i="1"/>
  <c r="J845" i="1"/>
  <c r="I851" i="1"/>
  <c r="M859" i="1"/>
  <c r="I862" i="1"/>
  <c r="I873" i="1"/>
  <c r="I879" i="1"/>
  <c r="J879" i="1"/>
  <c r="I910" i="1"/>
  <c r="M957" i="1"/>
  <c r="J966" i="1"/>
  <c r="J84" i="2"/>
  <c r="L84" i="2" s="1"/>
  <c r="K127" i="2"/>
  <c r="J127" i="2"/>
  <c r="L127" i="2" s="1"/>
  <c r="K255" i="2"/>
  <c r="J255" i="2"/>
  <c r="L255" i="2" s="1"/>
  <c r="K285" i="2"/>
  <c r="J408" i="2"/>
  <c r="L408" i="2" s="1"/>
  <c r="K708" i="2"/>
  <c r="J708" i="2"/>
  <c r="L708" i="2" s="1"/>
  <c r="J882" i="2"/>
  <c r="L882" i="2" s="1"/>
  <c r="K882" i="2"/>
  <c r="J61" i="1"/>
  <c r="M109" i="1"/>
  <c r="J200" i="1"/>
  <c r="J488" i="1"/>
  <c r="J501" i="1"/>
  <c r="M528" i="1"/>
  <c r="M536" i="1"/>
  <c r="J547" i="1"/>
  <c r="M620" i="1"/>
  <c r="M634" i="1"/>
  <c r="J640" i="1"/>
  <c r="I814" i="1"/>
  <c r="J814" i="1"/>
  <c r="J862" i="1"/>
  <c r="J873" i="1"/>
  <c r="J910" i="1"/>
  <c r="J450" i="2"/>
  <c r="L450" i="2" s="1"/>
  <c r="K450" i="2"/>
  <c r="K549" i="2"/>
  <c r="J549" i="2"/>
  <c r="L549" i="2" s="1"/>
  <c r="K726" i="2"/>
  <c r="J726" i="2"/>
  <c r="L726" i="2" s="1"/>
  <c r="M127" i="1"/>
  <c r="J157" i="1"/>
  <c r="M213" i="1"/>
  <c r="J219" i="1"/>
  <c r="J284" i="1"/>
  <c r="J308" i="1"/>
  <c r="J324" i="1"/>
  <c r="J354" i="1"/>
  <c r="J373" i="1"/>
  <c r="J107" i="1"/>
  <c r="M173" i="1"/>
  <c r="J189" i="1"/>
  <c r="J224" i="1"/>
  <c r="J255" i="1"/>
  <c r="M263" i="1"/>
  <c r="M399" i="1"/>
  <c r="J402" i="1"/>
  <c r="M442" i="1"/>
  <c r="J588" i="1"/>
  <c r="M612" i="1"/>
  <c r="J678" i="1"/>
  <c r="M737" i="1"/>
  <c r="I772" i="1"/>
  <c r="M772" i="1"/>
  <c r="M805" i="1"/>
  <c r="K88" i="2"/>
  <c r="J88" i="2"/>
  <c r="L88" i="2" s="1"/>
  <c r="K96" i="2"/>
  <c r="J96" i="2"/>
  <c r="L96" i="2" s="1"/>
  <c r="K173" i="2"/>
  <c r="J173" i="2"/>
  <c r="L173" i="2" s="1"/>
  <c r="K186" i="2"/>
  <c r="K229" i="2"/>
  <c r="J229" i="2"/>
  <c r="L229" i="2" s="1"/>
  <c r="K281" i="2"/>
  <c r="J281" i="2"/>
  <c r="L281" i="2" s="1"/>
  <c r="K303" i="2"/>
  <c r="J303" i="2"/>
  <c r="L303" i="2" s="1"/>
  <c r="J367" i="2"/>
  <c r="L367" i="2" s="1"/>
  <c r="K483" i="2"/>
  <c r="J483" i="2"/>
  <c r="L483" i="2" s="1"/>
  <c r="J537" i="2"/>
  <c r="L537" i="2" s="1"/>
  <c r="K537" i="2"/>
  <c r="K770" i="2"/>
  <c r="J770" i="2"/>
  <c r="L770" i="2" s="1"/>
  <c r="K824" i="2"/>
  <c r="J824" i="2"/>
  <c r="L824" i="2" s="1"/>
  <c r="I144" i="1"/>
  <c r="I160" i="1"/>
  <c r="I365" i="1"/>
  <c r="I504" i="1"/>
  <c r="I555" i="1"/>
  <c r="I596" i="1"/>
  <c r="I599" i="1"/>
  <c r="I607" i="1"/>
  <c r="M664" i="1"/>
  <c r="I681" i="1"/>
  <c r="I769" i="1"/>
  <c r="M831" i="1"/>
  <c r="J831" i="1"/>
  <c r="M851" i="1"/>
  <c r="I860" i="1"/>
  <c r="M860" i="1"/>
  <c r="J882" i="1"/>
  <c r="I882" i="1"/>
  <c r="I924" i="1"/>
  <c r="I935" i="1"/>
  <c r="I949" i="1"/>
  <c r="M958" i="1"/>
  <c r="J958" i="1"/>
  <c r="I958" i="1"/>
  <c r="K429" i="2"/>
  <c r="J429" i="2"/>
  <c r="L429" i="2" s="1"/>
  <c r="K496" i="2"/>
  <c r="J496" i="2"/>
  <c r="L496" i="2" s="1"/>
  <c r="K521" i="2"/>
  <c r="J521" i="2"/>
  <c r="L521" i="2" s="1"/>
  <c r="K700" i="2"/>
  <c r="J700" i="2"/>
  <c r="L700" i="2" s="1"/>
  <c r="K740" i="2"/>
  <c r="J740" i="2"/>
  <c r="L740" i="2" s="1"/>
  <c r="J806" i="2"/>
  <c r="L806" i="2" s="1"/>
  <c r="K806" i="2"/>
  <c r="K189" i="2"/>
  <c r="J189" i="2"/>
  <c r="L189" i="2" s="1"/>
  <c r="M808" i="1"/>
  <c r="I808" i="1"/>
  <c r="J82" i="1"/>
  <c r="I448" i="1"/>
  <c r="M467" i="1"/>
  <c r="J120" i="1"/>
  <c r="J144" i="1"/>
  <c r="J160" i="1"/>
  <c r="J261" i="1"/>
  <c r="M279" i="1"/>
  <c r="J365" i="1"/>
  <c r="J448" i="1"/>
  <c r="J465" i="1"/>
  <c r="M475" i="1"/>
  <c r="J504" i="1"/>
  <c r="J555" i="1"/>
  <c r="M585" i="1"/>
  <c r="M593" i="1"/>
  <c r="J596" i="1"/>
  <c r="J599" i="1"/>
  <c r="J607" i="1"/>
  <c r="J621" i="1"/>
  <c r="M621" i="1"/>
  <c r="J681" i="1"/>
  <c r="I704" i="1"/>
  <c r="M715" i="1"/>
  <c r="I751" i="1"/>
  <c r="M753" i="1"/>
  <c r="J769" i="1"/>
  <c r="I820" i="1"/>
  <c r="I868" i="1"/>
  <c r="M868" i="1"/>
  <c r="J868" i="1"/>
  <c r="J924" i="1"/>
  <c r="J935" i="1"/>
  <c r="J949" i="1"/>
  <c r="J56" i="2"/>
  <c r="L56" i="2" s="1"/>
  <c r="J92" i="2"/>
  <c r="L92" i="2" s="1"/>
  <c r="J108" i="2"/>
  <c r="L108" i="2" s="1"/>
  <c r="J120" i="2"/>
  <c r="L120" i="2" s="1"/>
  <c r="K140" i="2"/>
  <c r="J140" i="2"/>
  <c r="L140" i="2" s="1"/>
  <c r="J165" i="2"/>
  <c r="L165" i="2" s="1"/>
  <c r="K165" i="2"/>
  <c r="K196" i="2"/>
  <c r="J196" i="2"/>
  <c r="L196" i="2" s="1"/>
  <c r="J225" i="2"/>
  <c r="L225" i="2" s="1"/>
  <c r="K225" i="2"/>
  <c r="K251" i="2"/>
  <c r="K273" i="2"/>
  <c r="J273" i="2"/>
  <c r="L273" i="2" s="1"/>
  <c r="J286" i="2"/>
  <c r="L286" i="2" s="1"/>
  <c r="K286" i="2"/>
  <c r="J299" i="2"/>
  <c r="L299" i="2" s="1"/>
  <c r="J588" i="2"/>
  <c r="L588" i="2" s="1"/>
  <c r="K588" i="2"/>
  <c r="K815" i="2"/>
  <c r="J815" i="2"/>
  <c r="L815" i="2" s="1"/>
  <c r="I120" i="1"/>
  <c r="I181" i="1"/>
  <c r="I261" i="1"/>
  <c r="I287" i="1"/>
  <c r="I465" i="1"/>
  <c r="J64" i="1"/>
  <c r="J85" i="1"/>
  <c r="M112" i="1"/>
  <c r="I147" i="1"/>
  <c r="M152" i="1"/>
  <c r="J155" i="1"/>
  <c r="I163" i="1"/>
  <c r="J168" i="1"/>
  <c r="J195" i="1"/>
  <c r="J198" i="1"/>
  <c r="I244" i="1"/>
  <c r="I277" i="1"/>
  <c r="I290" i="1"/>
  <c r="J298" i="1"/>
  <c r="J333" i="1"/>
  <c r="J360" i="1"/>
  <c r="I384" i="1"/>
  <c r="I392" i="1"/>
  <c r="J413" i="1"/>
  <c r="I424" i="1"/>
  <c r="I491" i="1"/>
  <c r="M515" i="1"/>
  <c r="I518" i="1"/>
  <c r="I542" i="1"/>
  <c r="J561" i="1"/>
  <c r="J591" i="1"/>
  <c r="I624" i="1"/>
  <c r="J643" i="1"/>
  <c r="I654" i="1"/>
  <c r="I673" i="1"/>
  <c r="J676" i="1"/>
  <c r="I684" i="1"/>
  <c r="J704" i="1"/>
  <c r="I713" i="1"/>
  <c r="J751" i="1"/>
  <c r="M781" i="1"/>
  <c r="I781" i="1"/>
  <c r="M814" i="1"/>
  <c r="J820" i="1"/>
  <c r="I828" i="1"/>
  <c r="I831" i="1"/>
  <c r="I846" i="1"/>
  <c r="M846" i="1"/>
  <c r="J860" i="1"/>
  <c r="J905" i="1"/>
  <c r="I941" i="1"/>
  <c r="J124" i="2"/>
  <c r="L124" i="2" s="1"/>
  <c r="K157" i="2"/>
  <c r="K178" i="2"/>
  <c r="J217" i="2"/>
  <c r="L217" i="2" s="1"/>
  <c r="K217" i="2"/>
  <c r="K321" i="2"/>
  <c r="K329" i="2"/>
  <c r="J376" i="2"/>
  <c r="L376" i="2" s="1"/>
  <c r="J425" i="2"/>
  <c r="L425" i="2" s="1"/>
  <c r="J438" i="2"/>
  <c r="L438" i="2" s="1"/>
  <c r="K438" i="2"/>
  <c r="M503" i="1"/>
  <c r="J60" i="2"/>
  <c r="L60" i="2" s="1"/>
  <c r="K60" i="2"/>
  <c r="J187" i="2"/>
  <c r="L187" i="2" s="1"/>
  <c r="K187" i="2"/>
  <c r="K571" i="2"/>
  <c r="J571" i="2"/>
  <c r="L571" i="2" s="1"/>
  <c r="K660" i="2"/>
  <c r="J660" i="2"/>
  <c r="L660" i="2" s="1"/>
  <c r="K696" i="2"/>
  <c r="J696" i="2"/>
  <c r="L696" i="2" s="1"/>
  <c r="M451" i="1"/>
  <c r="M882" i="1"/>
  <c r="J49" i="2"/>
  <c r="L49" i="2" s="1"/>
  <c r="J174" i="2"/>
  <c r="L174" i="2" s="1"/>
  <c r="K192" i="2"/>
  <c r="J192" i="2"/>
  <c r="L192" i="2" s="1"/>
  <c r="K347" i="2"/>
  <c r="J347" i="2"/>
  <c r="L347" i="2" s="1"/>
  <c r="K559" i="2"/>
  <c r="J559" i="2"/>
  <c r="L559" i="2" s="1"/>
  <c r="K846" i="2"/>
  <c r="J846" i="2"/>
  <c r="L846" i="2" s="1"/>
  <c r="J893" i="2"/>
  <c r="L893" i="2" s="1"/>
  <c r="K893" i="2"/>
  <c r="M82" i="1"/>
  <c r="M136" i="1"/>
  <c r="M580" i="1"/>
  <c r="M880" i="1"/>
  <c r="I880" i="1"/>
  <c r="J101" i="2"/>
  <c r="L101" i="2" s="1"/>
  <c r="J112" i="2"/>
  <c r="L112" i="2" s="1"/>
  <c r="J67" i="1"/>
  <c r="J105" i="1"/>
  <c r="M123" i="1"/>
  <c r="M139" i="1"/>
  <c r="I166" i="1"/>
  <c r="I177" i="1"/>
  <c r="J187" i="1"/>
  <c r="M198" i="1"/>
  <c r="M214" i="1"/>
  <c r="I233" i="1"/>
  <c r="J336" i="1"/>
  <c r="I339" i="1"/>
  <c r="I347" i="1"/>
  <c r="M360" i="1"/>
  <c r="I395" i="1"/>
  <c r="I405" i="1"/>
  <c r="I430" i="1"/>
  <c r="I489" i="1"/>
  <c r="M537" i="1"/>
  <c r="J540" i="1"/>
  <c r="M542" i="1"/>
  <c r="I569" i="1"/>
  <c r="M575" i="1"/>
  <c r="J575" i="1"/>
  <c r="M589" i="1"/>
  <c r="I589" i="1"/>
  <c r="J605" i="1"/>
  <c r="I616" i="1"/>
  <c r="M643" i="1"/>
  <c r="M654" i="1"/>
  <c r="M673" i="1"/>
  <c r="M676" i="1"/>
  <c r="M693" i="1"/>
  <c r="I699" i="1"/>
  <c r="I719" i="1"/>
  <c r="I724" i="1"/>
  <c r="M730" i="1"/>
  <c r="J730" i="1"/>
  <c r="J738" i="1"/>
  <c r="I741" i="1"/>
  <c r="J852" i="1"/>
  <c r="M858" i="1"/>
  <c r="I858" i="1"/>
  <c r="J891" i="1"/>
  <c r="I911" i="1"/>
  <c r="I930" i="1"/>
  <c r="J64" i="2"/>
  <c r="L64" i="2" s="1"/>
  <c r="K278" i="2"/>
  <c r="K287" i="2"/>
  <c r="J287" i="2"/>
  <c r="L287" i="2" s="1"/>
  <c r="K402" i="2"/>
  <c r="J402" i="2"/>
  <c r="L402" i="2" s="1"/>
  <c r="K656" i="2"/>
  <c r="J656" i="2"/>
  <c r="L656" i="2" s="1"/>
  <c r="K794" i="2"/>
  <c r="J794" i="2"/>
  <c r="L794" i="2" s="1"/>
  <c r="M181" i="1"/>
  <c r="J128" i="1"/>
  <c r="M75" i="1"/>
  <c r="J78" i="1"/>
  <c r="M88" i="1"/>
  <c r="M91" i="1"/>
  <c r="M94" i="1"/>
  <c r="I100" i="1"/>
  <c r="M110" i="1"/>
  <c r="I134" i="1"/>
  <c r="J166" i="1"/>
  <c r="J177" i="1"/>
  <c r="M179" i="1"/>
  <c r="I201" i="1"/>
  <c r="I212" i="1"/>
  <c r="I220" i="1"/>
  <c r="I228" i="1"/>
  <c r="I259" i="1"/>
  <c r="M272" i="1"/>
  <c r="I280" i="1"/>
  <c r="J309" i="1"/>
  <c r="M322" i="1"/>
  <c r="I350" i="1"/>
  <c r="M352" i="1"/>
  <c r="I374" i="1"/>
  <c r="I387" i="1"/>
  <c r="J395" i="1"/>
  <c r="J405" i="1"/>
  <c r="J430" i="1"/>
  <c r="M457" i="1"/>
  <c r="I471" i="1"/>
  <c r="J489" i="1"/>
  <c r="I497" i="1"/>
  <c r="M521" i="1"/>
  <c r="I524" i="1"/>
  <c r="J548" i="1"/>
  <c r="I564" i="1"/>
  <c r="J569" i="1"/>
  <c r="M635" i="1"/>
  <c r="I641" i="1"/>
  <c r="I660" i="1"/>
  <c r="M662" i="1"/>
  <c r="J699" i="1"/>
  <c r="M702" i="1"/>
  <c r="J702" i="1"/>
  <c r="J719" i="1"/>
  <c r="J724" i="1"/>
  <c r="I754" i="1"/>
  <c r="M767" i="1"/>
  <c r="M770" i="1"/>
  <c r="I770" i="1"/>
  <c r="I784" i="1"/>
  <c r="I866" i="1"/>
  <c r="J866" i="1"/>
  <c r="J880" i="1"/>
  <c r="J911" i="1"/>
  <c r="J930" i="1"/>
  <c r="M936" i="1"/>
  <c r="I936" i="1"/>
  <c r="M956" i="1"/>
  <c r="J956" i="1"/>
  <c r="I956" i="1"/>
  <c r="I970" i="1"/>
  <c r="K248" i="2"/>
  <c r="J248" i="2"/>
  <c r="L248" i="2" s="1"/>
  <c r="K505" i="2"/>
  <c r="J505" i="2"/>
  <c r="L505" i="2" s="1"/>
  <c r="J633" i="2"/>
  <c r="L633" i="2" s="1"/>
  <c r="K633" i="2"/>
  <c r="J710" i="2"/>
  <c r="L710" i="2" s="1"/>
  <c r="K710" i="2"/>
  <c r="J244" i="2"/>
  <c r="L244" i="2" s="1"/>
  <c r="K244" i="2"/>
  <c r="K480" i="2"/>
  <c r="J480" i="2"/>
  <c r="L480" i="2" s="1"/>
  <c r="K510" i="2"/>
  <c r="J510" i="2"/>
  <c r="L510" i="2" s="1"/>
  <c r="J821" i="2"/>
  <c r="L821" i="2" s="1"/>
  <c r="K821" i="2"/>
  <c r="M347" i="1"/>
  <c r="M540" i="1"/>
  <c r="M616" i="1"/>
  <c r="M741" i="1"/>
  <c r="I821" i="1"/>
  <c r="M821" i="1"/>
  <c r="M844" i="1"/>
  <c r="I844" i="1"/>
  <c r="M852" i="1"/>
  <c r="M891" i="1"/>
  <c r="M942" i="1"/>
  <c r="J942" i="1"/>
  <c r="I942" i="1"/>
  <c r="J68" i="2"/>
  <c r="L68" i="2" s="1"/>
  <c r="J79" i="2"/>
  <c r="L79" i="2" s="1"/>
  <c r="J86" i="2"/>
  <c r="L86" i="2" s="1"/>
  <c r="J369" i="2"/>
  <c r="L369" i="2" s="1"/>
  <c r="K369" i="2"/>
  <c r="J422" i="2"/>
  <c r="L422" i="2" s="1"/>
  <c r="K422" i="2"/>
  <c r="J652" i="2"/>
  <c r="L652" i="2" s="1"/>
  <c r="K652" i="2"/>
  <c r="K759" i="2"/>
  <c r="J759" i="2"/>
  <c r="L759" i="2" s="1"/>
  <c r="M447" i="1"/>
  <c r="M78" i="1"/>
  <c r="I116" i="1"/>
  <c r="J121" i="1"/>
  <c r="I137" i="1"/>
  <c r="I254" i="1"/>
  <c r="I262" i="1"/>
  <c r="I278" i="1"/>
  <c r="M309" i="1"/>
  <c r="I334" i="1"/>
  <c r="I398" i="1"/>
  <c r="J466" i="1"/>
  <c r="J482" i="1"/>
  <c r="M497" i="1"/>
  <c r="I505" i="1"/>
  <c r="M548" i="1"/>
  <c r="I556" i="1"/>
  <c r="I608" i="1"/>
  <c r="J663" i="1"/>
  <c r="M663" i="1"/>
  <c r="J682" i="1"/>
  <c r="M754" i="1"/>
  <c r="J757" i="1"/>
  <c r="I757" i="1"/>
  <c r="I790" i="1"/>
  <c r="J872" i="1"/>
  <c r="J889" i="1"/>
  <c r="M889" i="1"/>
  <c r="J965" i="1"/>
  <c r="K54" i="2"/>
  <c r="J54" i="2"/>
  <c r="L54" i="2" s="1"/>
  <c r="J72" i="2"/>
  <c r="L72" i="2" s="1"/>
  <c r="J90" i="2"/>
  <c r="L90" i="2" s="1"/>
  <c r="K98" i="2"/>
  <c r="J193" i="2"/>
  <c r="L193" i="2" s="1"/>
  <c r="K403" i="2"/>
  <c r="J403" i="2"/>
  <c r="L403" i="2" s="1"/>
  <c r="K435" i="2"/>
  <c r="J435" i="2"/>
  <c r="L435" i="2" s="1"/>
  <c r="K460" i="2"/>
  <c r="J460" i="2"/>
  <c r="L460" i="2" s="1"/>
  <c r="K539" i="2"/>
  <c r="J539" i="2"/>
  <c r="L539" i="2" s="1"/>
  <c r="K768" i="2"/>
  <c r="J768" i="2"/>
  <c r="L768" i="2" s="1"/>
  <c r="K852" i="2"/>
  <c r="J852" i="2"/>
  <c r="L852" i="2" s="1"/>
  <c r="J65" i="1"/>
  <c r="J148" i="1"/>
  <c r="J156" i="1"/>
  <c r="I169" i="1"/>
  <c r="J199" i="1"/>
  <c r="I215" i="1"/>
  <c r="J262" i="1"/>
  <c r="I291" i="1"/>
  <c r="J361" i="1"/>
  <c r="J592" i="1"/>
  <c r="J614" i="1"/>
  <c r="I644" i="1"/>
  <c r="I677" i="1"/>
  <c r="J790" i="1"/>
  <c r="J821" i="1"/>
  <c r="J844" i="1"/>
  <c r="K106" i="2"/>
  <c r="J106" i="2"/>
  <c r="L106" i="2" s="1"/>
  <c r="J118" i="2"/>
  <c r="L118" i="2" s="1"/>
  <c r="K118" i="2"/>
  <c r="J490" i="2"/>
  <c r="L490" i="2" s="1"/>
  <c r="K490" i="2"/>
  <c r="K527" i="2"/>
  <c r="J527" i="2"/>
  <c r="L527" i="2" s="1"/>
  <c r="K458" i="2"/>
  <c r="J472" i="2"/>
  <c r="L472" i="2" s="1"/>
  <c r="J479" i="2"/>
  <c r="L479" i="2" s="1"/>
  <c r="J544" i="2"/>
  <c r="L544" i="2" s="1"/>
  <c r="J554" i="2"/>
  <c r="L554" i="2" s="1"/>
  <c r="J565" i="2"/>
  <c r="L565" i="2" s="1"/>
  <c r="K576" i="2"/>
  <c r="J583" i="2"/>
  <c r="L583" i="2" s="1"/>
  <c r="J611" i="2"/>
  <c r="L611" i="2" s="1"/>
  <c r="K679" i="2"/>
  <c r="J706" i="2"/>
  <c r="L706" i="2" s="1"/>
  <c r="K722" i="2"/>
  <c r="J757" i="2"/>
  <c r="L757" i="2" s="1"/>
  <c r="J829" i="2"/>
  <c r="L829" i="2" s="1"/>
  <c r="J867" i="2"/>
  <c r="L867" i="2" s="1"/>
  <c r="K867" i="2"/>
  <c r="J980" i="2"/>
  <c r="L980" i="2" s="1"/>
  <c r="K980" i="2"/>
  <c r="K994" i="2"/>
  <c r="J994" i="2"/>
  <c r="L994" i="2" s="1"/>
  <c r="K198" i="2"/>
  <c r="K233" i="2"/>
  <c r="K254" i="2"/>
  <c r="J258" i="2"/>
  <c r="L258" i="2" s="1"/>
  <c r="K305" i="2"/>
  <c r="J309" i="2"/>
  <c r="L309" i="2" s="1"/>
  <c r="K350" i="2"/>
  <c r="K358" i="2"/>
  <c r="J391" i="2"/>
  <c r="L391" i="2" s="1"/>
  <c r="J449" i="2"/>
  <c r="L449" i="2" s="1"/>
  <c r="J452" i="2"/>
  <c r="L452" i="2" s="1"/>
  <c r="J528" i="2"/>
  <c r="L528" i="2" s="1"/>
  <c r="J573" i="2"/>
  <c r="L573" i="2" s="1"/>
  <c r="K580" i="2"/>
  <c r="J624" i="2"/>
  <c r="L624" i="2" s="1"/>
  <c r="J645" i="2"/>
  <c r="L645" i="2" s="1"/>
  <c r="J676" i="2"/>
  <c r="L676" i="2" s="1"/>
  <c r="J703" i="2"/>
  <c r="L703" i="2" s="1"/>
  <c r="J719" i="2"/>
  <c r="L719" i="2" s="1"/>
  <c r="K746" i="2"/>
  <c r="J782" i="2"/>
  <c r="L782" i="2" s="1"/>
  <c r="J786" i="2"/>
  <c r="L786" i="2" s="1"/>
  <c r="K855" i="2"/>
  <c r="J929" i="2"/>
  <c r="L929" i="2" s="1"/>
  <c r="K929" i="2"/>
  <c r="K952" i="2"/>
  <c r="J952" i="2"/>
  <c r="L952" i="2" s="1"/>
  <c r="J873" i="2"/>
  <c r="L873" i="2" s="1"/>
  <c r="K873" i="2"/>
  <c r="K896" i="2"/>
  <c r="J896" i="2"/>
  <c r="L896" i="2" s="1"/>
  <c r="J943" i="2"/>
  <c r="L943" i="2" s="1"/>
  <c r="K943" i="2"/>
  <c r="J522" i="2"/>
  <c r="L522" i="2" s="1"/>
  <c r="J542" i="2"/>
  <c r="L542" i="2" s="1"/>
  <c r="J552" i="2"/>
  <c r="L552" i="2" s="1"/>
  <c r="J621" i="2"/>
  <c r="L621" i="2" s="1"/>
  <c r="K649" i="2"/>
  <c r="K692" i="2"/>
  <c r="J704" i="2"/>
  <c r="L704" i="2" s="1"/>
  <c r="J856" i="2"/>
  <c r="L856" i="2" s="1"/>
  <c r="K864" i="2"/>
  <c r="K972" i="2"/>
  <c r="J972" i="2"/>
  <c r="L972" i="2" s="1"/>
  <c r="K666" i="2"/>
  <c r="J666" i="2"/>
  <c r="L666" i="2" s="1"/>
  <c r="J381" i="2"/>
  <c r="L381" i="2" s="1"/>
  <c r="K385" i="2"/>
  <c r="J420" i="2"/>
  <c r="L420" i="2" s="1"/>
  <c r="J427" i="2"/>
  <c r="L427" i="2" s="1"/>
  <c r="J437" i="2"/>
  <c r="L437" i="2" s="1"/>
  <c r="J444" i="2"/>
  <c r="L444" i="2" s="1"/>
  <c r="J447" i="2"/>
  <c r="L447" i="2" s="1"/>
  <c r="J464" i="2"/>
  <c r="L464" i="2" s="1"/>
  <c r="J481" i="2"/>
  <c r="L481" i="2" s="1"/>
  <c r="J495" i="2"/>
  <c r="L495" i="2" s="1"/>
  <c r="J498" i="2"/>
  <c r="L498" i="2" s="1"/>
  <c r="J509" i="2"/>
  <c r="L509" i="2" s="1"/>
  <c r="J512" i="2"/>
  <c r="L512" i="2" s="1"/>
  <c r="J536" i="2"/>
  <c r="L536" i="2" s="1"/>
  <c r="J578" i="2"/>
  <c r="L578" i="2" s="1"/>
  <c r="J585" i="2"/>
  <c r="L585" i="2" s="1"/>
  <c r="K597" i="2"/>
  <c r="J605" i="2"/>
  <c r="L605" i="2" s="1"/>
  <c r="K658" i="2"/>
  <c r="J658" i="2"/>
  <c r="L658" i="2" s="1"/>
  <c r="J697" i="2"/>
  <c r="L697" i="2" s="1"/>
  <c r="J701" i="2"/>
  <c r="L701" i="2" s="1"/>
  <c r="J712" i="2"/>
  <c r="L712" i="2" s="1"/>
  <c r="J736" i="2"/>
  <c r="L736" i="2" s="1"/>
  <c r="J791" i="2"/>
  <c r="L791" i="2" s="1"/>
  <c r="M950" i="1"/>
  <c r="J950" i="1"/>
  <c r="K638" i="2"/>
  <c r="J638" i="2"/>
  <c r="L638" i="2" s="1"/>
  <c r="K936" i="2"/>
  <c r="J936" i="2"/>
  <c r="L936" i="2" s="1"/>
  <c r="J941" i="2"/>
  <c r="L941" i="2" s="1"/>
  <c r="K941" i="2"/>
  <c r="K316" i="2"/>
  <c r="J316" i="2"/>
  <c r="L316" i="2" s="1"/>
  <c r="K516" i="2"/>
  <c r="J533" i="2"/>
  <c r="L533" i="2" s="1"/>
  <c r="J564" i="2"/>
  <c r="L564" i="2" s="1"/>
  <c r="K643" i="2"/>
  <c r="K670" i="2"/>
  <c r="J674" i="2"/>
  <c r="L674" i="2" s="1"/>
  <c r="J678" i="2"/>
  <c r="L678" i="2" s="1"/>
  <c r="J682" i="2"/>
  <c r="L682" i="2" s="1"/>
  <c r="J689" i="2"/>
  <c r="L689" i="2" s="1"/>
  <c r="K705" i="2"/>
  <c r="J717" i="2"/>
  <c r="L717" i="2" s="1"/>
  <c r="J756" i="2"/>
  <c r="L756" i="2" s="1"/>
  <c r="K788" i="2"/>
  <c r="J804" i="2"/>
  <c r="L804" i="2" s="1"/>
  <c r="K840" i="2"/>
  <c r="K853" i="2"/>
  <c r="K922" i="2"/>
  <c r="J922" i="2"/>
  <c r="L922" i="2" s="1"/>
  <c r="J877" i="1"/>
  <c r="M877" i="1"/>
  <c r="M890" i="1"/>
  <c r="J890" i="1"/>
  <c r="J923" i="1"/>
  <c r="I923" i="1"/>
  <c r="J268" i="2"/>
  <c r="L268" i="2" s="1"/>
  <c r="J296" i="2"/>
  <c r="L296" i="2" s="1"/>
  <c r="J344" i="2"/>
  <c r="L344" i="2" s="1"/>
  <c r="K352" i="2"/>
  <c r="J401" i="2"/>
  <c r="L401" i="2" s="1"/>
  <c r="J461" i="2"/>
  <c r="L461" i="2" s="1"/>
  <c r="J485" i="2"/>
  <c r="L485" i="2" s="1"/>
  <c r="J489" i="2"/>
  <c r="L489" i="2" s="1"/>
  <c r="K530" i="2"/>
  <c r="J614" i="2"/>
  <c r="L614" i="2" s="1"/>
  <c r="J618" i="2"/>
  <c r="L618" i="2" s="1"/>
  <c r="K634" i="2"/>
  <c r="J647" i="2"/>
  <c r="L647" i="2" s="1"/>
  <c r="J667" i="2"/>
  <c r="L667" i="2" s="1"/>
  <c r="J748" i="2"/>
  <c r="L748" i="2" s="1"/>
  <c r="J752" i="2"/>
  <c r="L752" i="2" s="1"/>
  <c r="K764" i="2"/>
  <c r="J796" i="2"/>
  <c r="L796" i="2" s="1"/>
  <c r="J913" i="2"/>
  <c r="L913" i="2" s="1"/>
  <c r="K913" i="2"/>
  <c r="J964" i="2"/>
  <c r="L964" i="2" s="1"/>
  <c r="K964" i="2"/>
  <c r="K288" i="2"/>
  <c r="J288" i="2"/>
  <c r="L288" i="2" s="1"/>
  <c r="J340" i="2"/>
  <c r="L340" i="2" s="1"/>
  <c r="J382" i="2"/>
  <c r="L382" i="2" s="1"/>
  <c r="J520" i="2"/>
  <c r="L520" i="2" s="1"/>
  <c r="K540" i="2"/>
  <c r="J550" i="2"/>
  <c r="L550" i="2" s="1"/>
  <c r="K557" i="2"/>
  <c r="J741" i="2"/>
  <c r="L741" i="2" s="1"/>
  <c r="J760" i="2"/>
  <c r="L760" i="2" s="1"/>
  <c r="K825" i="2"/>
  <c r="K871" i="2"/>
  <c r="J902" i="2"/>
  <c r="L902" i="2" s="1"/>
  <c r="K933" i="2"/>
  <c r="K967" i="2"/>
  <c r="J984" i="2"/>
  <c r="L984" i="2" s="1"/>
  <c r="K907" i="2"/>
  <c r="K934" i="2"/>
  <c r="K968" i="2"/>
  <c r="J990" i="2"/>
  <c r="L990" i="2" s="1"/>
  <c r="F21" i="6"/>
  <c r="F22" i="6" s="1"/>
  <c r="G21" i="6"/>
  <c r="G22" i="6" s="1"/>
  <c r="I21" i="6"/>
  <c r="I22" i="6" s="1"/>
  <c r="J21" i="6"/>
  <c r="J22" i="6" s="1"/>
  <c r="H166" i="2"/>
  <c r="H143" i="2"/>
  <c r="H158" i="2"/>
  <c r="H190" i="2"/>
  <c r="H308" i="2"/>
  <c r="H235" i="2"/>
  <c r="H344" i="2"/>
  <c r="J99" i="1"/>
  <c r="I99" i="1"/>
  <c r="M172" i="1"/>
  <c r="I172" i="1"/>
  <c r="M410" i="1"/>
  <c r="J410" i="1"/>
  <c r="J847" i="1"/>
  <c r="I847" i="1"/>
  <c r="M847" i="1"/>
  <c r="I246" i="1"/>
  <c r="J246" i="1"/>
  <c r="I495" i="1"/>
  <c r="M495" i="1"/>
  <c r="I546" i="1"/>
  <c r="M546" i="1"/>
  <c r="J637" i="1"/>
  <c r="M637" i="1"/>
  <c r="I637" i="1"/>
  <c r="M709" i="1"/>
  <c r="I709" i="1"/>
  <c r="J709" i="1"/>
  <c r="I786" i="1"/>
  <c r="M786" i="1"/>
  <c r="J786" i="1"/>
  <c r="M973" i="1"/>
  <c r="J973" i="1"/>
  <c r="M390" i="1"/>
  <c r="J390" i="1"/>
  <c r="I601" i="1"/>
  <c r="J601" i="1"/>
  <c r="J863" i="1"/>
  <c r="M863" i="1"/>
  <c r="I863" i="1"/>
  <c r="M919" i="1"/>
  <c r="I919" i="1"/>
  <c r="M954" i="1"/>
  <c r="I954" i="1"/>
  <c r="J239" i="2"/>
  <c r="L239" i="2" s="1"/>
  <c r="K239" i="2"/>
  <c r="I77" i="1"/>
  <c r="I89" i="1"/>
  <c r="M131" i="1"/>
  <c r="J131" i="1"/>
  <c r="J172" i="1"/>
  <c r="J231" i="1"/>
  <c r="I236" i="1"/>
  <c r="I256" i="1"/>
  <c r="I303" i="1"/>
  <c r="I345" i="1"/>
  <c r="I363" i="1"/>
  <c r="J363" i="1"/>
  <c r="I390" i="1"/>
  <c r="I410" i="1"/>
  <c r="M445" i="1"/>
  <c r="J445" i="1"/>
  <c r="J468" i="1"/>
  <c r="I468" i="1"/>
  <c r="I581" i="1"/>
  <c r="J586" i="1"/>
  <c r="I675" i="1"/>
  <c r="I680" i="1"/>
  <c r="I688" i="1"/>
  <c r="J688" i="1"/>
  <c r="M688" i="1"/>
  <c r="M691" i="1"/>
  <c r="I691" i="1"/>
  <c r="J758" i="1"/>
  <c r="M758" i="1"/>
  <c r="J919" i="1"/>
  <c r="I946" i="1"/>
  <c r="J946" i="1"/>
  <c r="J954" i="1"/>
  <c r="J301" i="2"/>
  <c r="L301" i="2" s="1"/>
  <c r="K301" i="2"/>
  <c r="J355" i="1"/>
  <c r="I355" i="1"/>
  <c r="M355" i="1"/>
  <c r="J717" i="1"/>
  <c r="M717" i="1"/>
  <c r="I717" i="1"/>
  <c r="J58" i="1"/>
  <c r="I58" i="1"/>
  <c r="J77" i="1"/>
  <c r="J89" i="1"/>
  <c r="J109" i="1"/>
  <c r="I121" i="1"/>
  <c r="M126" i="1"/>
  <c r="I126" i="1"/>
  <c r="I148" i="1"/>
  <c r="M165" i="1"/>
  <c r="I165" i="1"/>
  <c r="I199" i="1"/>
  <c r="M204" i="1"/>
  <c r="I204" i="1"/>
  <c r="J266" i="1"/>
  <c r="M281" i="1"/>
  <c r="J281" i="1"/>
  <c r="I281" i="1"/>
  <c r="I333" i="1"/>
  <c r="I338" i="1"/>
  <c r="J345" i="1"/>
  <c r="I440" i="1"/>
  <c r="I483" i="1"/>
  <c r="J495" i="1"/>
  <c r="J546" i="1"/>
  <c r="J581" i="1"/>
  <c r="M650" i="1"/>
  <c r="I650" i="1"/>
  <c r="J675" i="1"/>
  <c r="I746" i="1"/>
  <c r="M746" i="1"/>
  <c r="I766" i="1"/>
  <c r="M766" i="1"/>
  <c r="J853" i="1"/>
  <c r="I853" i="1"/>
  <c r="M853" i="1"/>
  <c r="I973" i="1"/>
  <c r="H59" i="2"/>
  <c r="H131" i="2"/>
  <c r="I645" i="1"/>
  <c r="M645" i="1"/>
  <c r="M680" i="1"/>
  <c r="M909" i="1"/>
  <c r="J909" i="1"/>
  <c r="I968" i="1"/>
  <c r="M968" i="1"/>
  <c r="J968" i="1"/>
  <c r="J129" i="1"/>
  <c r="I129" i="1"/>
  <c r="I141" i="1"/>
  <c r="I158" i="1"/>
  <c r="I192" i="1"/>
  <c r="J207" i="1"/>
  <c r="I207" i="1"/>
  <c r="I249" i="1"/>
  <c r="I269" i="1"/>
  <c r="I301" i="1"/>
  <c r="I306" i="1"/>
  <c r="M306" i="1"/>
  <c r="I331" i="1"/>
  <c r="J356" i="1"/>
  <c r="I356" i="1"/>
  <c r="J401" i="1"/>
  <c r="I401" i="1"/>
  <c r="I461" i="1"/>
  <c r="I476" i="1"/>
  <c r="M539" i="1"/>
  <c r="J539" i="1"/>
  <c r="I539" i="1"/>
  <c r="I665" i="1"/>
  <c r="M668" i="1"/>
  <c r="I668" i="1"/>
  <c r="I898" i="1"/>
  <c r="M898" i="1"/>
  <c r="J898" i="1"/>
  <c r="H76" i="2"/>
  <c r="K232" i="2"/>
  <c r="H321" i="2"/>
  <c r="H332" i="2"/>
  <c r="I571" i="1"/>
  <c r="J571" i="1"/>
  <c r="M683" i="1"/>
  <c r="J683" i="1"/>
  <c r="I683" i="1"/>
  <c r="I792" i="1"/>
  <c r="M792" i="1"/>
  <c r="J792" i="1"/>
  <c r="M816" i="1"/>
  <c r="J816" i="1"/>
  <c r="I816" i="1"/>
  <c r="M834" i="1"/>
  <c r="J834" i="1"/>
  <c r="H999" i="2"/>
  <c r="H997" i="2"/>
  <c r="H995" i="2"/>
  <c r="H993" i="2"/>
  <c r="H984" i="2"/>
  <c r="H975" i="2"/>
  <c r="H964" i="2"/>
  <c r="H955" i="2"/>
  <c r="H944" i="2"/>
  <c r="H935" i="2"/>
  <c r="H924" i="2"/>
  <c r="H915" i="2"/>
  <c r="H904" i="2"/>
  <c r="H895" i="2"/>
  <c r="H884" i="2"/>
  <c r="H875" i="2"/>
  <c r="H864" i="2"/>
  <c r="H855" i="2"/>
  <c r="H986" i="2"/>
  <c r="H977" i="2"/>
  <c r="H966" i="2"/>
  <c r="H957" i="2"/>
  <c r="H946" i="2"/>
  <c r="H937" i="2"/>
  <c r="H926" i="2"/>
  <c r="H917" i="2"/>
  <c r="H906" i="2"/>
  <c r="H897" i="2"/>
  <c r="H886" i="2"/>
  <c r="H877" i="2"/>
  <c r="H866" i="2"/>
  <c r="H857" i="2"/>
  <c r="H846" i="2"/>
  <c r="H990" i="2"/>
  <c r="H981" i="2"/>
  <c r="H992" i="2"/>
  <c r="H983" i="2"/>
  <c r="H972" i="2"/>
  <c r="H963" i="2"/>
  <c r="H952" i="2"/>
  <c r="H943" i="2"/>
  <c r="H932" i="2"/>
  <c r="H923" i="2"/>
  <c r="H994" i="2"/>
  <c r="H987" i="2"/>
  <c r="H976" i="2"/>
  <c r="H967" i="2"/>
  <c r="H956" i="2"/>
  <c r="H947" i="2"/>
  <c r="H936" i="2"/>
  <c r="H996" i="2"/>
  <c r="H989" i="2"/>
  <c r="H978" i="2"/>
  <c r="H969" i="2"/>
  <c r="H991" i="2"/>
  <c r="H980" i="2"/>
  <c r="H971" i="2"/>
  <c r="H960" i="2"/>
  <c r="H951" i="2"/>
  <c r="H940" i="2"/>
  <c r="H931" i="2"/>
  <c r="H920" i="2"/>
  <c r="H985" i="2"/>
  <c r="H979" i="2"/>
  <c r="H934" i="2"/>
  <c r="H903" i="2"/>
  <c r="H883" i="2"/>
  <c r="H863" i="2"/>
  <c r="H844" i="2"/>
  <c r="H829" i="2"/>
  <c r="H808" i="2"/>
  <c r="H789" i="2"/>
  <c r="H768" i="2"/>
  <c r="H749" i="2"/>
  <c r="H728" i="2"/>
  <c r="H709" i="2"/>
  <c r="H688" i="2"/>
  <c r="H669" i="2"/>
  <c r="H648" i="2"/>
  <c r="H629" i="2"/>
  <c r="H988" i="2"/>
  <c r="H973" i="2"/>
  <c r="H953" i="2"/>
  <c r="H908" i="2"/>
  <c r="H888" i="2"/>
  <c r="H868" i="2"/>
  <c r="H851" i="2"/>
  <c r="H831" i="2"/>
  <c r="H810" i="2"/>
  <c r="H791" i="2"/>
  <c r="H770" i="2"/>
  <c r="H751" i="2"/>
  <c r="H730" i="2"/>
  <c r="H711" i="2"/>
  <c r="H690" i="2"/>
  <c r="H671" i="2"/>
  <c r="H650" i="2"/>
  <c r="H941" i="2"/>
  <c r="H907" i="2"/>
  <c r="H887" i="2"/>
  <c r="H867" i="2"/>
  <c r="H850" i="2"/>
  <c r="H826" i="2"/>
  <c r="H807" i="2"/>
  <c r="H786" i="2"/>
  <c r="H767" i="2"/>
  <c r="H746" i="2"/>
  <c r="H727" i="2"/>
  <c r="H706" i="2"/>
  <c r="H687" i="2"/>
  <c r="H666" i="2"/>
  <c r="H647" i="2"/>
  <c r="H902" i="2"/>
  <c r="H974" i="2"/>
  <c r="H925" i="2"/>
  <c r="H922" i="2"/>
  <c r="H911" i="2"/>
  <c r="H856" i="2"/>
  <c r="H841" i="2"/>
  <c r="H834" i="2"/>
  <c r="H818" i="2"/>
  <c r="H806" i="2"/>
  <c r="H774" i="2"/>
  <c r="H769" i="2"/>
  <c r="H744" i="2"/>
  <c r="H684" i="2"/>
  <c r="H670" i="2"/>
  <c r="H659" i="2"/>
  <c r="H625" i="2"/>
  <c r="H604" i="2"/>
  <c r="H585" i="2"/>
  <c r="H583" i="2"/>
  <c r="H581" i="2"/>
  <c r="H579" i="2"/>
  <c r="H577" i="2"/>
  <c r="H575" i="2"/>
  <c r="H573" i="2"/>
  <c r="H928" i="2"/>
  <c r="H919" i="2"/>
  <c r="H899" i="2"/>
  <c r="H861" i="2"/>
  <c r="H848" i="2"/>
  <c r="H813" i="2"/>
  <c r="H781" i="2"/>
  <c r="H753" i="2"/>
  <c r="H721" i="2"/>
  <c r="H714" i="2"/>
  <c r="H698" i="2"/>
  <c r="H686" i="2"/>
  <c r="H654" i="2"/>
  <c r="H649" i="2"/>
  <c r="H636" i="2"/>
  <c r="H627" i="2"/>
  <c r="H606" i="2"/>
  <c r="H587" i="2"/>
  <c r="H998" i="2"/>
  <c r="H961" i="2"/>
  <c r="H945" i="2"/>
  <c r="H916" i="2"/>
  <c r="H896" i="2"/>
  <c r="H853" i="2"/>
  <c r="H836" i="2"/>
  <c r="H776" i="2"/>
  <c r="H771" i="2"/>
  <c r="H760" i="2"/>
  <c r="H700" i="2"/>
  <c r="H672" i="2"/>
  <c r="H970" i="2"/>
  <c r="H948" i="2"/>
  <c r="H913" i="2"/>
  <c r="H942" i="2"/>
  <c r="H939" i="2"/>
  <c r="H901" i="2"/>
  <c r="H893" i="2"/>
  <c r="H882" i="2"/>
  <c r="H869" i="2"/>
  <c r="H933" i="2"/>
  <c r="H930" i="2"/>
  <c r="H921" i="2"/>
  <c r="H910" i="2"/>
  <c r="H962" i="2"/>
  <c r="H938" i="2"/>
  <c r="H889" i="2"/>
  <c r="H860" i="2"/>
  <c r="H784" i="2"/>
  <c r="H764" i="2"/>
  <c r="H759" i="2"/>
  <c r="H724" i="2"/>
  <c r="H677" i="2"/>
  <c r="H652" i="2"/>
  <c r="H638" i="2"/>
  <c r="H633" i="2"/>
  <c r="H626" i="2"/>
  <c r="H595" i="2"/>
  <c r="H571" i="2"/>
  <c r="H569" i="2"/>
  <c r="H567" i="2"/>
  <c r="H565" i="2"/>
  <c r="H563" i="2"/>
  <c r="H561" i="2"/>
  <c r="H559" i="2"/>
  <c r="H557" i="2"/>
  <c r="H555" i="2"/>
  <c r="H553" i="2"/>
  <c r="H551" i="2"/>
  <c r="H549" i="2"/>
  <c r="H547" i="2"/>
  <c r="H545" i="2"/>
  <c r="H543" i="2"/>
  <c r="H541" i="2"/>
  <c r="H539" i="2"/>
  <c r="H537" i="2"/>
  <c r="H535" i="2"/>
  <c r="H533" i="2"/>
  <c r="H531" i="2"/>
  <c r="H529" i="2"/>
  <c r="H527" i="2"/>
  <c r="H525" i="2"/>
  <c r="H523" i="2"/>
  <c r="H521" i="2"/>
  <c r="H519" i="2"/>
  <c r="H517" i="2"/>
  <c r="H515" i="2"/>
  <c r="H513" i="2"/>
  <c r="H511" i="2"/>
  <c r="H509" i="2"/>
  <c r="H507" i="2"/>
  <c r="H505" i="2"/>
  <c r="H503" i="2"/>
  <c r="H501" i="2"/>
  <c r="H499" i="2"/>
  <c r="H497" i="2"/>
  <c r="H495" i="2"/>
  <c r="H493" i="2"/>
  <c r="H491" i="2"/>
  <c r="H489" i="2"/>
  <c r="H487" i="2"/>
  <c r="H485" i="2"/>
  <c r="H483" i="2"/>
  <c r="H481" i="2"/>
  <c r="H479" i="2"/>
  <c r="H477" i="2"/>
  <c r="H475" i="2"/>
  <c r="H473" i="2"/>
  <c r="H471" i="2"/>
  <c r="H469" i="2"/>
  <c r="H467" i="2"/>
  <c r="H465" i="2"/>
  <c r="H463" i="2"/>
  <c r="H461" i="2"/>
  <c r="H459" i="2"/>
  <c r="H457" i="2"/>
  <c r="H455" i="2"/>
  <c r="H453" i="2"/>
  <c r="H451" i="2"/>
  <c r="H449" i="2"/>
  <c r="H447" i="2"/>
  <c r="H445" i="2"/>
  <c r="H443" i="2"/>
  <c r="H441" i="2"/>
  <c r="H439" i="2"/>
  <c r="H437" i="2"/>
  <c r="H435" i="2"/>
  <c r="H433" i="2"/>
  <c r="H431" i="2"/>
  <c r="H429" i="2"/>
  <c r="H427" i="2"/>
  <c r="H425" i="2"/>
  <c r="H423" i="2"/>
  <c r="H421" i="2"/>
  <c r="H419" i="2"/>
  <c r="H417" i="2"/>
  <c r="H415" i="2"/>
  <c r="H413" i="2"/>
  <c r="H411" i="2"/>
  <c r="H409" i="2"/>
  <c r="H407" i="2"/>
  <c r="H405" i="2"/>
  <c r="H403" i="2"/>
  <c r="H401" i="2"/>
  <c r="H399" i="2"/>
  <c r="H397" i="2"/>
  <c r="H395" i="2"/>
  <c r="H393" i="2"/>
  <c r="H391" i="2"/>
  <c r="H389" i="2"/>
  <c r="H387" i="2"/>
  <c r="H385" i="2"/>
  <c r="H383" i="2"/>
  <c r="H381" i="2"/>
  <c r="H379" i="2"/>
  <c r="H377" i="2"/>
  <c r="H375" i="2"/>
  <c r="H373" i="2"/>
  <c r="H371" i="2"/>
  <c r="H369" i="2"/>
  <c r="H367" i="2"/>
  <c r="H365" i="2"/>
  <c r="H363" i="2"/>
  <c r="H959" i="2"/>
  <c r="H880" i="2"/>
  <c r="H794" i="2"/>
  <c r="H739" i="2"/>
  <c r="H731" i="2"/>
  <c r="H726" i="2"/>
  <c r="H694" i="2"/>
  <c r="H662" i="2"/>
  <c r="H608" i="2"/>
  <c r="H588" i="2"/>
  <c r="H874" i="2"/>
  <c r="H843" i="2"/>
  <c r="H766" i="2"/>
  <c r="H748" i="2"/>
  <c r="H699" i="2"/>
  <c r="H691" i="2"/>
  <c r="H640" i="2"/>
  <c r="H635" i="2"/>
  <c r="H628" i="2"/>
  <c r="H599" i="2"/>
  <c r="H965" i="2"/>
  <c r="H958" i="2"/>
  <c r="H900" i="2"/>
  <c r="H950" i="2"/>
  <c r="H876" i="2"/>
  <c r="H873" i="2"/>
  <c r="H840" i="2"/>
  <c r="H785" i="2"/>
  <c r="H755" i="2"/>
  <c r="H725" i="2"/>
  <c r="H710" i="2"/>
  <c r="H656" i="2"/>
  <c r="H632" i="2"/>
  <c r="H614" i="2"/>
  <c r="H607" i="2"/>
  <c r="H594" i="2"/>
  <c r="H572" i="2"/>
  <c r="H570" i="2"/>
  <c r="H568" i="2"/>
  <c r="H566" i="2"/>
  <c r="H564" i="2"/>
  <c r="H562" i="2"/>
  <c r="H560" i="2"/>
  <c r="H558" i="2"/>
  <c r="H556" i="2"/>
  <c r="H554" i="2"/>
  <c r="H552" i="2"/>
  <c r="H550" i="2"/>
  <c r="H548" i="2"/>
  <c r="H546" i="2"/>
  <c r="H544" i="2"/>
  <c r="H542" i="2"/>
  <c r="H540" i="2"/>
  <c r="H538" i="2"/>
  <c r="H536" i="2"/>
  <c r="H534" i="2"/>
  <c r="H532" i="2"/>
  <c r="H530" i="2"/>
  <c r="H528" i="2"/>
  <c r="H526" i="2"/>
  <c r="H909" i="2"/>
  <c r="H832" i="2"/>
  <c r="H827" i="2"/>
  <c r="H812" i="2"/>
  <c r="H790" i="2"/>
  <c r="H949" i="2"/>
  <c r="H878" i="2"/>
  <c r="H824" i="2"/>
  <c r="H788" i="2"/>
  <c r="H695" i="2"/>
  <c r="H692" i="2"/>
  <c r="H679" i="2"/>
  <c r="H660" i="2"/>
  <c r="H598" i="2"/>
  <c r="H578" i="2"/>
  <c r="H514" i="2"/>
  <c r="H474" i="2"/>
  <c r="H434" i="2"/>
  <c r="H394" i="2"/>
  <c r="H845" i="2"/>
  <c r="H837" i="2"/>
  <c r="H804" i="2"/>
  <c r="H796" i="2"/>
  <c r="H779" i="2"/>
  <c r="H757" i="2"/>
  <c r="H754" i="2"/>
  <c r="H738" i="2"/>
  <c r="H719" i="2"/>
  <c r="H697" i="2"/>
  <c r="H683" i="2"/>
  <c r="H486" i="2"/>
  <c r="H446" i="2"/>
  <c r="H838" i="2"/>
  <c r="H815" i="2"/>
  <c r="H707" i="2"/>
  <c r="H673" i="2"/>
  <c r="H624" i="2"/>
  <c r="H605" i="2"/>
  <c r="H574" i="2"/>
  <c r="H432" i="2"/>
  <c r="H408" i="2"/>
  <c r="H382" i="2"/>
  <c r="H350" i="2"/>
  <c r="H329" i="2"/>
  <c r="H310" i="2"/>
  <c r="H289" i="2"/>
  <c r="H270" i="2"/>
  <c r="H249" i="2"/>
  <c r="H230" i="2"/>
  <c r="H914" i="2"/>
  <c r="H849" i="2"/>
  <c r="H828" i="2"/>
  <c r="H712" i="2"/>
  <c r="H701" i="2"/>
  <c r="H664" i="2"/>
  <c r="H591" i="2"/>
  <c r="H498" i="2"/>
  <c r="H456" i="2"/>
  <c r="H392" i="2"/>
  <c r="H362" i="2"/>
  <c r="H341" i="2"/>
  <c r="H322" i="2"/>
  <c r="H301" i="2"/>
  <c r="H282" i="2"/>
  <c r="H261" i="2"/>
  <c r="H242" i="2"/>
  <c r="H823" i="2"/>
  <c r="H817" i="2"/>
  <c r="H805" i="2"/>
  <c r="H800" i="2"/>
  <c r="H782" i="2"/>
  <c r="H718" i="2"/>
  <c r="H703" i="2"/>
  <c r="H685" i="2"/>
  <c r="H674" i="2"/>
  <c r="H618" i="2"/>
  <c r="H356" i="2"/>
  <c r="H347" i="2"/>
  <c r="H318" i="2"/>
  <c r="H309" i="2"/>
  <c r="H280" i="2"/>
  <c r="H251" i="2"/>
  <c r="H222" i="2"/>
  <c r="H203" i="2"/>
  <c r="H182" i="2"/>
  <c r="H163" i="2"/>
  <c r="H142" i="2"/>
  <c r="H123" i="2"/>
  <c r="H929" i="2"/>
  <c r="H894" i="2"/>
  <c r="H723" i="2"/>
  <c r="H708" i="2"/>
  <c r="H680" i="2"/>
  <c r="H645" i="2"/>
  <c r="H631" i="2"/>
  <c r="H603" i="2"/>
  <c r="H589" i="2"/>
  <c r="H470" i="2"/>
  <c r="H410" i="2"/>
  <c r="H376" i="2"/>
  <c r="H340" i="2"/>
  <c r="H311" i="2"/>
  <c r="H302" i="2"/>
  <c r="H284" i="2"/>
  <c r="H865" i="2"/>
  <c r="H793" i="2"/>
  <c r="H705" i="2"/>
  <c r="H576" i="2"/>
  <c r="H500" i="2"/>
  <c r="H472" i="2"/>
  <c r="H424" i="2"/>
  <c r="H396" i="2"/>
  <c r="H360" i="2"/>
  <c r="H331" i="2"/>
  <c r="H293" i="2"/>
  <c r="H912" i="2"/>
  <c r="H879" i="2"/>
  <c r="H862" i="2"/>
  <c r="H859" i="2"/>
  <c r="H890" i="2"/>
  <c r="H872" i="2"/>
  <c r="H822" i="2"/>
  <c r="H816" i="2"/>
  <c r="H799" i="2"/>
  <c r="H775" i="2"/>
  <c r="H772" i="2"/>
  <c r="H717" i="2"/>
  <c r="H693" i="2"/>
  <c r="H617" i="2"/>
  <c r="H600" i="2"/>
  <c r="H586" i="2"/>
  <c r="H442" i="2"/>
  <c r="H412" i="2"/>
  <c r="H380" i="2"/>
  <c r="H333" i="2"/>
  <c r="H313" i="2"/>
  <c r="H295" i="2"/>
  <c r="H275" i="2"/>
  <c r="H257" i="2"/>
  <c r="H237" i="2"/>
  <c r="H215" i="2"/>
  <c r="H194" i="2"/>
  <c r="H175" i="2"/>
  <c r="H154" i="2"/>
  <c r="H135" i="2"/>
  <c r="H114" i="2"/>
  <c r="H982" i="2"/>
  <c r="H713" i="2"/>
  <c r="H655" i="2"/>
  <c r="H504" i="2"/>
  <c r="H490" i="2"/>
  <c r="H858" i="2"/>
  <c r="H839" i="2"/>
  <c r="H809" i="2"/>
  <c r="H795" i="2"/>
  <c r="H792" i="2"/>
  <c r="H783" i="2"/>
  <c r="H750" i="2"/>
  <c r="H742" i="2"/>
  <c r="H736" i="2"/>
  <c r="H716" i="2"/>
  <c r="H644" i="2"/>
  <c r="H630" i="2"/>
  <c r="H622" i="2"/>
  <c r="H602" i="2"/>
  <c r="H520" i="2"/>
  <c r="H460" i="2"/>
  <c r="H968" i="2"/>
  <c r="H898" i="2"/>
  <c r="H820" i="2"/>
  <c r="H682" i="2"/>
  <c r="H663" i="2"/>
  <c r="H642" i="2"/>
  <c r="H580" i="2"/>
  <c r="H323" i="2"/>
  <c r="H288" i="2"/>
  <c r="H281" i="2"/>
  <c r="H238" i="2"/>
  <c r="H231" i="2"/>
  <c r="H217" i="2"/>
  <c r="H197" i="2"/>
  <c r="H179" i="2"/>
  <c r="H159" i="2"/>
  <c r="H141" i="2"/>
  <c r="H121" i="2"/>
  <c r="H110" i="2"/>
  <c r="H89" i="2"/>
  <c r="H70" i="2"/>
  <c r="H49" i="2"/>
  <c r="H763" i="2"/>
  <c r="H733" i="2"/>
  <c r="H623" i="2"/>
  <c r="H620" i="2"/>
  <c r="H601" i="2"/>
  <c r="H506" i="2"/>
  <c r="H954" i="2"/>
  <c r="H516" i="2"/>
  <c r="H885" i="2"/>
  <c r="H847" i="2"/>
  <c r="H825" i="2"/>
  <c r="H811" i="2"/>
  <c r="H743" i="2"/>
  <c r="H740" i="2"/>
  <c r="H704" i="2"/>
  <c r="H653" i="2"/>
  <c r="H616" i="2"/>
  <c r="H610" i="2"/>
  <c r="H482" i="2"/>
  <c r="H462" i="2"/>
  <c r="H454" i="2"/>
  <c r="H881" i="2"/>
  <c r="H675" i="2"/>
  <c r="H613" i="2"/>
  <c r="H592" i="2"/>
  <c r="H756" i="2"/>
  <c r="H681" i="2"/>
  <c r="H678" i="2"/>
  <c r="H833" i="2"/>
  <c r="H830" i="2"/>
  <c r="H801" i="2"/>
  <c r="H745" i="2"/>
  <c r="H609" i="2"/>
  <c r="H466" i="2"/>
  <c r="H438" i="2"/>
  <c r="H418" i="2"/>
  <c r="H354" i="2"/>
  <c r="H324" i="2"/>
  <c r="H307" i="2"/>
  <c r="H297" i="2"/>
  <c r="H287" i="2"/>
  <c r="H216" i="2"/>
  <c r="H187" i="2"/>
  <c r="H178" i="2"/>
  <c r="H149" i="2"/>
  <c r="H140" i="2"/>
  <c r="H109" i="2"/>
  <c r="H90" i="2"/>
  <c r="H69" i="2"/>
  <c r="H50" i="2"/>
  <c r="H891" i="2"/>
  <c r="H871" i="2"/>
  <c r="H797" i="2"/>
  <c r="H787" i="2"/>
  <c r="H658" i="2"/>
  <c r="H927" i="2"/>
  <c r="H918" i="2"/>
  <c r="H835" i="2"/>
  <c r="H803" i="2"/>
  <c r="H702" i="2"/>
  <c r="H696" i="2"/>
  <c r="H870" i="2"/>
  <c r="H752" i="2"/>
  <c r="H735" i="2"/>
  <c r="H651" i="2"/>
  <c r="H596" i="2"/>
  <c r="H593" i="2"/>
  <c r="H494" i="2"/>
  <c r="H444" i="2"/>
  <c r="H416" i="2"/>
  <c r="H305" i="2"/>
  <c r="H259" i="2"/>
  <c r="H191" i="2"/>
  <c r="H165" i="2"/>
  <c r="H151" i="2"/>
  <c r="H139" i="2"/>
  <c r="H118" i="2"/>
  <c r="H91" i="2"/>
  <c r="H58" i="2"/>
  <c r="H780" i="2"/>
  <c r="H777" i="2"/>
  <c r="H773" i="2"/>
  <c r="H641" i="2"/>
  <c r="H400" i="2"/>
  <c r="H378" i="2"/>
  <c r="H368" i="2"/>
  <c r="H349" i="2"/>
  <c r="H328" i="2"/>
  <c r="H279" i="2"/>
  <c r="H271" i="2"/>
  <c r="H266" i="2"/>
  <c r="H239" i="2"/>
  <c r="H229" i="2"/>
  <c r="H224" i="2"/>
  <c r="H210" i="2"/>
  <c r="H205" i="2"/>
  <c r="H186" i="2"/>
  <c r="H144" i="2"/>
  <c r="H100" i="2"/>
  <c r="H71" i="2"/>
  <c r="H852" i="2"/>
  <c r="H637" i="2"/>
  <c r="H657" i="2"/>
  <c r="H508" i="2"/>
  <c r="H502" i="2"/>
  <c r="H276" i="2"/>
  <c r="H246" i="2"/>
  <c r="H200" i="2"/>
  <c r="H193" i="2"/>
  <c r="H153" i="2"/>
  <c r="H146" i="2"/>
  <c r="H104" i="2"/>
  <c r="H93" i="2"/>
  <c r="H82" i="2"/>
  <c r="H60" i="2"/>
  <c r="H802" i="2"/>
  <c r="H582" i="2"/>
  <c r="H370" i="2"/>
  <c r="H357" i="2"/>
  <c r="H336" i="2"/>
  <c r="H268" i="2"/>
  <c r="H241" i="2"/>
  <c r="H212" i="2"/>
  <c r="H207" i="2"/>
  <c r="H188" i="2"/>
  <c r="H174" i="2"/>
  <c r="H798" i="2"/>
  <c r="H762" i="2"/>
  <c r="H734" i="2"/>
  <c r="H720" i="2"/>
  <c r="H524" i="2"/>
  <c r="H468" i="2"/>
  <c r="H402" i="2"/>
  <c r="H315" i="2"/>
  <c r="H294" i="2"/>
  <c r="H286" i="2"/>
  <c r="H256" i="2"/>
  <c r="H236" i="2"/>
  <c r="H226" i="2"/>
  <c r="H214" i="2"/>
  <c r="H195" i="2"/>
  <c r="H169" i="2"/>
  <c r="H162" i="2"/>
  <c r="H148" i="2"/>
  <c r="H134" i="2"/>
  <c r="H122" i="2"/>
  <c r="H108" i="2"/>
  <c r="H95" i="2"/>
  <c r="H86" i="2"/>
  <c r="H64" i="2"/>
  <c r="H905" i="2"/>
  <c r="H819" i="2"/>
  <c r="H741" i="2"/>
  <c r="H667" i="2"/>
  <c r="H765" i="2"/>
  <c r="H892" i="2"/>
  <c r="H758" i="2"/>
  <c r="H643" i="2"/>
  <c r="H615" i="2"/>
  <c r="H842" i="2"/>
  <c r="H814" i="2"/>
  <c r="H722" i="2"/>
  <c r="H689" i="2"/>
  <c r="H480" i="2"/>
  <c r="H448" i="2"/>
  <c r="H364" i="2"/>
  <c r="H303" i="2"/>
  <c r="H298" i="2"/>
  <c r="H258" i="2"/>
  <c r="H247" i="2"/>
  <c r="H233" i="2"/>
  <c r="H219" i="2"/>
  <c r="H189" i="2"/>
  <c r="H152" i="2"/>
  <c r="H126" i="2"/>
  <c r="H62" i="2"/>
  <c r="H55" i="2"/>
  <c r="H422" i="2"/>
  <c r="H390" i="2"/>
  <c r="H255" i="2"/>
  <c r="H244" i="2"/>
  <c r="H208" i="2"/>
  <c r="H170" i="2"/>
  <c r="H157" i="2"/>
  <c r="H136" i="2"/>
  <c r="H101" i="2"/>
  <c r="H96" i="2"/>
  <c r="H79" i="2"/>
  <c r="H854" i="2"/>
  <c r="H778" i="2"/>
  <c r="H384" i="2"/>
  <c r="H352" i="2"/>
  <c r="H283" i="2"/>
  <c r="H263" i="2"/>
  <c r="H167" i="2"/>
  <c r="H88" i="2"/>
  <c r="H74" i="2"/>
  <c r="H611" i="2"/>
  <c r="H436" i="2"/>
  <c r="H430" i="2"/>
  <c r="H320" i="2"/>
  <c r="H300" i="2"/>
  <c r="H252" i="2"/>
  <c r="H133" i="2"/>
  <c r="H128" i="2"/>
  <c r="H120" i="2"/>
  <c r="H115" i="2"/>
  <c r="H103" i="2"/>
  <c r="H747" i="2"/>
  <c r="H639" i="2"/>
  <c r="H584" i="2"/>
  <c r="H496" i="2"/>
  <c r="H464" i="2"/>
  <c r="H348" i="2"/>
  <c r="H345" i="2"/>
  <c r="H339" i="2"/>
  <c r="H299" i="2"/>
  <c r="H273" i="2"/>
  <c r="H248" i="2"/>
  <c r="H204" i="2"/>
  <c r="H102" i="2"/>
  <c r="H51" i="2"/>
  <c r="H668" i="2"/>
  <c r="H484" i="2"/>
  <c r="H426" i="2"/>
  <c r="H374" i="2"/>
  <c r="H342" i="2"/>
  <c r="H597" i="2"/>
  <c r="H476" i="2"/>
  <c r="H232" i="2"/>
  <c r="H113" i="2"/>
  <c r="H94" i="2"/>
  <c r="H67" i="2"/>
  <c r="H821" i="2"/>
  <c r="H518" i="2"/>
  <c r="H478" i="2"/>
  <c r="H420" i="2"/>
  <c r="H361" i="2"/>
  <c r="H326" i="2"/>
  <c r="H317" i="2"/>
  <c r="H156" i="2"/>
  <c r="H150" i="2"/>
  <c r="H112" i="2"/>
  <c r="H77" i="2"/>
  <c r="H56" i="2"/>
  <c r="H761" i="2"/>
  <c r="H221" i="2"/>
  <c r="H176" i="2"/>
  <c r="H164" i="2"/>
  <c r="H87" i="2"/>
  <c r="H343" i="2"/>
  <c r="H291" i="2"/>
  <c r="H269" i="2"/>
  <c r="H260" i="2"/>
  <c r="H225" i="2"/>
  <c r="H206" i="2"/>
  <c r="H488" i="2"/>
  <c r="H398" i="2"/>
  <c r="H272" i="2"/>
  <c r="H209" i="2"/>
  <c r="H285" i="2"/>
  <c r="H250" i="2"/>
  <c r="H228" i="2"/>
  <c r="H181" i="2"/>
  <c r="H168" i="2"/>
  <c r="H147" i="2"/>
  <c r="H234" i="2"/>
  <c r="H590" i="2"/>
  <c r="H404" i="2"/>
  <c r="H388" i="2"/>
  <c r="H366" i="2"/>
  <c r="H346" i="2"/>
  <c r="H306" i="2"/>
  <c r="H278" i="2"/>
  <c r="H218" i="2"/>
  <c r="H171" i="2"/>
  <c r="H137" i="2"/>
  <c r="H125" i="2"/>
  <c r="H621" i="2"/>
  <c r="H522" i="2"/>
  <c r="H510" i="2"/>
  <c r="H450" i="2"/>
  <c r="H372" i="2"/>
  <c r="H359" i="2"/>
  <c r="H262" i="2"/>
  <c r="H253" i="2"/>
  <c r="H243" i="2"/>
  <c r="H184" i="2"/>
  <c r="H92" i="2"/>
  <c r="H428" i="2"/>
  <c r="H325" i="2"/>
  <c r="H277" i="2"/>
  <c r="H274" i="2"/>
  <c r="H211" i="2"/>
  <c r="H612" i="2"/>
  <c r="H452" i="2"/>
  <c r="H338" i="2"/>
  <c r="H319" i="2"/>
  <c r="H312" i="2"/>
  <c r="H661" i="2"/>
  <c r="H512" i="2"/>
  <c r="H458" i="2"/>
  <c r="H440" i="2"/>
  <c r="H406" i="2"/>
  <c r="H296" i="2"/>
  <c r="H183" i="2"/>
  <c r="H180" i="2"/>
  <c r="H161" i="2"/>
  <c r="H155" i="2"/>
  <c r="H124" i="2"/>
  <c r="H83" i="2"/>
  <c r="H737" i="2"/>
  <c r="H729" i="2"/>
  <c r="H665" i="2"/>
  <c r="H358" i="2"/>
  <c r="H351" i="2"/>
  <c r="H267" i="2"/>
  <c r="H220" i="2"/>
  <c r="H173" i="2"/>
  <c r="H106" i="2"/>
  <c r="H66" i="2"/>
  <c r="H61" i="2"/>
  <c r="H53" i="2"/>
  <c r="H676" i="2"/>
  <c r="H619" i="2"/>
  <c r="H732" i="2"/>
  <c r="H646" i="2"/>
  <c r="H414" i="2"/>
  <c r="H386" i="2"/>
  <c r="H337" i="2"/>
  <c r="H185" i="2"/>
  <c r="H160" i="2"/>
  <c r="H138" i="2"/>
  <c r="H634" i="2"/>
  <c r="H130" i="2"/>
  <c r="H111" i="2"/>
  <c r="H99" i="2"/>
  <c r="H78" i="2"/>
  <c r="H75" i="2"/>
  <c r="H715" i="2"/>
  <c r="H292" i="2"/>
  <c r="H199" i="2"/>
  <c r="H196" i="2"/>
  <c r="H105" i="2"/>
  <c r="H72" i="2"/>
  <c r="H52" i="2"/>
  <c r="H213" i="2"/>
  <c r="H127" i="2"/>
  <c r="H334" i="2"/>
  <c r="H245" i="2"/>
  <c r="H327" i="2"/>
  <c r="H202" i="2"/>
  <c r="H192" i="2"/>
  <c r="H63" i="2"/>
  <c r="H330" i="2"/>
  <c r="H227" i="2"/>
  <c r="H117" i="2"/>
  <c r="H80" i="2"/>
  <c r="H355" i="2"/>
  <c r="H129" i="2"/>
  <c r="H98" i="2"/>
  <c r="H68" i="2"/>
  <c r="H57" i="2"/>
  <c r="H132" i="2"/>
  <c r="H107" i="2"/>
  <c r="H65" i="2"/>
  <c r="H54" i="2"/>
  <c r="H290" i="2"/>
  <c r="H240" i="2"/>
  <c r="H85" i="2"/>
  <c r="H97" i="2"/>
  <c r="H73" i="2"/>
  <c r="H335" i="2"/>
  <c r="H264" i="2"/>
  <c r="H172" i="2"/>
  <c r="H145" i="2"/>
  <c r="H314" i="2"/>
  <c r="H81" i="2"/>
  <c r="H353" i="2"/>
  <c r="I68" i="1"/>
  <c r="J102" i="1"/>
  <c r="J141" i="1"/>
  <c r="I146" i="1"/>
  <c r="J158" i="1"/>
  <c r="J192" i="1"/>
  <c r="I197" i="1"/>
  <c r="I202" i="1"/>
  <c r="M202" i="1"/>
  <c r="M227" i="1"/>
  <c r="I227" i="1"/>
  <c r="J249" i="1"/>
  <c r="J269" i="1"/>
  <c r="J301" i="1"/>
  <c r="J311" i="1"/>
  <c r="I311" i="1"/>
  <c r="J331" i="1"/>
  <c r="I366" i="1"/>
  <c r="M366" i="1"/>
  <c r="J371" i="1"/>
  <c r="I376" i="1"/>
  <c r="M391" i="1"/>
  <c r="I391" i="1"/>
  <c r="I443" i="1"/>
  <c r="J461" i="1"/>
  <c r="J476" i="1"/>
  <c r="J481" i="1"/>
  <c r="I513" i="1"/>
  <c r="I559" i="1"/>
  <c r="I579" i="1"/>
  <c r="J645" i="1"/>
  <c r="J665" i="1"/>
  <c r="I707" i="1"/>
  <c r="M707" i="1"/>
  <c r="M710" i="1"/>
  <c r="I710" i="1"/>
  <c r="M787" i="1"/>
  <c r="J787" i="1"/>
  <c r="I787" i="1"/>
  <c r="I834" i="1"/>
  <c r="J901" i="1"/>
  <c r="M901" i="1"/>
  <c r="I901" i="1"/>
  <c r="I909" i="1"/>
  <c r="I955" i="1"/>
  <c r="M955" i="1"/>
  <c r="J955" i="1"/>
  <c r="H492" i="2"/>
  <c r="J775" i="2"/>
  <c r="L775" i="2" s="1"/>
  <c r="K775" i="2"/>
  <c r="J68" i="1"/>
  <c r="J90" i="1"/>
  <c r="I90" i="1"/>
  <c r="I112" i="1"/>
  <c r="I139" i="1"/>
  <c r="J146" i="1"/>
  <c r="I185" i="1"/>
  <c r="J232" i="1"/>
  <c r="I232" i="1"/>
  <c r="J242" i="1"/>
  <c r="M242" i="1"/>
  <c r="M299" i="1"/>
  <c r="I299" i="1"/>
  <c r="J443" i="1"/>
  <c r="J513" i="1"/>
  <c r="I526" i="1"/>
  <c r="M526" i="1"/>
  <c r="J559" i="1"/>
  <c r="J579" i="1"/>
  <c r="M587" i="1"/>
  <c r="J587" i="1"/>
  <c r="I587" i="1"/>
  <c r="I723" i="1"/>
  <c r="M723" i="1"/>
  <c r="J723" i="1"/>
  <c r="I749" i="1"/>
  <c r="M749" i="1"/>
  <c r="M840" i="1"/>
  <c r="I840" i="1"/>
  <c r="H177" i="2"/>
  <c r="I85" i="1"/>
  <c r="I117" i="1"/>
  <c r="I122" i="1"/>
  <c r="J122" i="1"/>
  <c r="I151" i="1"/>
  <c r="I156" i="1"/>
  <c r="J202" i="1"/>
  <c r="J217" i="1"/>
  <c r="I222" i="1"/>
  <c r="M222" i="1"/>
  <c r="J227" i="1"/>
  <c r="I267" i="1"/>
  <c r="M267" i="1"/>
  <c r="J267" i="1"/>
  <c r="J294" i="1"/>
  <c r="M294" i="1"/>
  <c r="I336" i="1"/>
  <c r="I341" i="1"/>
  <c r="I346" i="1"/>
  <c r="J346" i="1"/>
  <c r="M346" i="1"/>
  <c r="J366" i="1"/>
  <c r="J386" i="1"/>
  <c r="J391" i="1"/>
  <c r="J411" i="1"/>
  <c r="I436" i="1"/>
  <c r="M571" i="1"/>
  <c r="I574" i="1"/>
  <c r="M582" i="1"/>
  <c r="J582" i="1"/>
  <c r="I582" i="1"/>
  <c r="J615" i="1"/>
  <c r="I638" i="1"/>
  <c r="J653" i="1"/>
  <c r="I663" i="1"/>
  <c r="I686" i="1"/>
  <c r="M686" i="1"/>
  <c r="J686" i="1"/>
  <c r="J707" i="1"/>
  <c r="J710" i="1"/>
  <c r="J718" i="1"/>
  <c r="M759" i="1"/>
  <c r="I759" i="1"/>
  <c r="J885" i="1"/>
  <c r="I885" i="1"/>
  <c r="K169" i="2"/>
  <c r="J933" i="1"/>
  <c r="I933" i="1"/>
  <c r="M66" i="1"/>
  <c r="I66" i="1"/>
  <c r="M102" i="1"/>
  <c r="M129" i="1"/>
  <c r="J161" i="1"/>
  <c r="I161" i="1"/>
  <c r="I190" i="1"/>
  <c r="I195" i="1"/>
  <c r="M197" i="1"/>
  <c r="M207" i="1"/>
  <c r="I242" i="1"/>
  <c r="J247" i="1"/>
  <c r="I252" i="1"/>
  <c r="I257" i="1"/>
  <c r="J299" i="1"/>
  <c r="M356" i="1"/>
  <c r="M371" i="1"/>
  <c r="M376" i="1"/>
  <c r="M401" i="1"/>
  <c r="I416" i="1"/>
  <c r="J426" i="1"/>
  <c r="I441" i="1"/>
  <c r="M441" i="1"/>
  <c r="J441" i="1"/>
  <c r="I474" i="1"/>
  <c r="M474" i="1"/>
  <c r="J474" i="1"/>
  <c r="M481" i="1"/>
  <c r="I506" i="1"/>
  <c r="J506" i="1"/>
  <c r="J526" i="1"/>
  <c r="M534" i="1"/>
  <c r="J534" i="1"/>
  <c r="I534" i="1"/>
  <c r="J574" i="1"/>
  <c r="M610" i="1"/>
  <c r="I610" i="1"/>
  <c r="I633" i="1"/>
  <c r="J638" i="1"/>
  <c r="I734" i="1"/>
  <c r="I739" i="1"/>
  <c r="J749" i="1"/>
  <c r="I798" i="1"/>
  <c r="M798" i="1"/>
  <c r="I829" i="1"/>
  <c r="J840" i="1"/>
  <c r="I170" i="1"/>
  <c r="M170" i="1"/>
  <c r="J239" i="1"/>
  <c r="I239" i="1"/>
  <c r="I353" i="1"/>
  <c r="M353" i="1"/>
  <c r="M523" i="1"/>
  <c r="J523" i="1"/>
  <c r="I566" i="1"/>
  <c r="M566" i="1"/>
  <c r="J594" i="1"/>
  <c r="M594" i="1"/>
  <c r="J771" i="1"/>
  <c r="M771" i="1"/>
  <c r="M231" i="1"/>
  <c r="M236" i="1"/>
  <c r="M256" i="1"/>
  <c r="J453" i="1"/>
  <c r="I453" i="1"/>
  <c r="I493" i="1"/>
  <c r="M493" i="1"/>
  <c r="I779" i="1"/>
  <c r="M779" i="1"/>
  <c r="M115" i="1"/>
  <c r="J115" i="1"/>
  <c r="M154" i="1"/>
  <c r="J154" i="1"/>
  <c r="M434" i="1"/>
  <c r="J434" i="1"/>
  <c r="J729" i="1"/>
  <c r="M729" i="1"/>
  <c r="M762" i="1"/>
  <c r="I762" i="1"/>
  <c r="J762" i="1"/>
  <c r="J253" i="2"/>
  <c r="L253" i="2" s="1"/>
  <c r="K253" i="2"/>
  <c r="M454" i="1"/>
  <c r="J454" i="1"/>
  <c r="M519" i="1"/>
  <c r="J519" i="1"/>
  <c r="J557" i="1"/>
  <c r="I557" i="1"/>
  <c r="I618" i="1"/>
  <c r="J618" i="1"/>
  <c r="J628" i="1"/>
  <c r="M628" i="1"/>
  <c r="M631" i="1"/>
  <c r="J631" i="1"/>
  <c r="J656" i="1"/>
  <c r="M656" i="1"/>
  <c r="I98" i="1"/>
  <c r="I142" i="1"/>
  <c r="J142" i="1"/>
  <c r="I176" i="1"/>
  <c r="I183" i="1"/>
  <c r="J193" i="1"/>
  <c r="M193" i="1"/>
  <c r="I193" i="1"/>
  <c r="J210" i="1"/>
  <c r="J215" i="1"/>
  <c r="M250" i="1"/>
  <c r="J250" i="1"/>
  <c r="M257" i="1"/>
  <c r="J287" i="1"/>
  <c r="I314" i="1"/>
  <c r="J319" i="1"/>
  <c r="J329" i="1"/>
  <c r="J339" i="1"/>
  <c r="J357" i="1"/>
  <c r="M357" i="1"/>
  <c r="I389" i="1"/>
  <c r="J389" i="1"/>
  <c r="I409" i="1"/>
  <c r="M416" i="1"/>
  <c r="J419" i="1"/>
  <c r="M426" i="1"/>
  <c r="I434" i="1"/>
  <c r="M462" i="1"/>
  <c r="J462" i="1"/>
  <c r="I499" i="1"/>
  <c r="I567" i="1"/>
  <c r="I600" i="1"/>
  <c r="I613" i="1"/>
  <c r="I623" i="1"/>
  <c r="I666" i="1"/>
  <c r="M666" i="1"/>
  <c r="J666" i="1"/>
  <c r="I705" i="1"/>
  <c r="M716" i="1"/>
  <c r="I716" i="1"/>
  <c r="I729" i="1"/>
  <c r="M739" i="1"/>
  <c r="I742" i="1"/>
  <c r="I793" i="1"/>
  <c r="I817" i="1"/>
  <c r="J827" i="1"/>
  <c r="M829" i="1"/>
  <c r="I875" i="1"/>
  <c r="J875" i="1"/>
  <c r="M875" i="1"/>
  <c r="K77" i="2"/>
  <c r="J77" i="2"/>
  <c r="L77" i="2" s="1"/>
  <c r="I93" i="1"/>
  <c r="I292" i="1"/>
  <c r="J499" i="1"/>
  <c r="M506" i="1"/>
  <c r="I519" i="1"/>
  <c r="I550" i="1"/>
  <c r="M560" i="1"/>
  <c r="J560" i="1"/>
  <c r="J600" i="1"/>
  <c r="I603" i="1"/>
  <c r="M603" i="1"/>
  <c r="J613" i="1"/>
  <c r="J623" i="1"/>
  <c r="I628" i="1"/>
  <c r="I631" i="1"/>
  <c r="J646" i="1"/>
  <c r="I656" i="1"/>
  <c r="J705" i="1"/>
  <c r="J708" i="1"/>
  <c r="M708" i="1"/>
  <c r="M711" i="1"/>
  <c r="J711" i="1"/>
  <c r="I711" i="1"/>
  <c r="J732" i="1"/>
  <c r="M732" i="1"/>
  <c r="J742" i="1"/>
  <c r="J793" i="1"/>
  <c r="J838" i="1"/>
  <c r="I838" i="1"/>
  <c r="M838" i="1"/>
  <c r="J883" i="1"/>
  <c r="I883" i="1"/>
  <c r="M883" i="1"/>
  <c r="H84" i="2"/>
  <c r="H119" i="2"/>
  <c r="K211" i="2"/>
  <c r="J211" i="2"/>
  <c r="L211" i="2" s="1"/>
  <c r="K226" i="2"/>
  <c r="J226" i="2"/>
  <c r="L226" i="2" s="1"/>
  <c r="I103" i="1"/>
  <c r="I130" i="1"/>
  <c r="M149" i="1"/>
  <c r="I208" i="1"/>
  <c r="I245" i="1"/>
  <c r="I250" i="1"/>
  <c r="I275" i="1"/>
  <c r="M277" i="1"/>
  <c r="M334" i="1"/>
  <c r="J337" i="1"/>
  <c r="I337" i="1"/>
  <c r="M337" i="1"/>
  <c r="I357" i="1"/>
  <c r="I372" i="1"/>
  <c r="M379" i="1"/>
  <c r="J382" i="1"/>
  <c r="I382" i="1"/>
  <c r="J397" i="1"/>
  <c r="I397" i="1"/>
  <c r="J414" i="1"/>
  <c r="I462" i="1"/>
  <c r="I509" i="1"/>
  <c r="I514" i="1"/>
  <c r="J527" i="1"/>
  <c r="I527" i="1"/>
  <c r="I545" i="1"/>
  <c r="J550" i="1"/>
  <c r="I598" i="1"/>
  <c r="M639" i="1"/>
  <c r="I639" i="1"/>
  <c r="J659" i="1"/>
  <c r="I659" i="1"/>
  <c r="J687" i="1"/>
  <c r="M687" i="1"/>
  <c r="I698" i="1"/>
  <c r="J716" i="1"/>
  <c r="I788" i="1"/>
  <c r="M865" i="1"/>
  <c r="J865" i="1"/>
  <c r="J937" i="1"/>
  <c r="I937" i="1"/>
  <c r="M937" i="1"/>
  <c r="J265" i="2"/>
  <c r="L265" i="2" s="1"/>
  <c r="K265" i="2"/>
  <c r="I83" i="1"/>
  <c r="J137" i="1"/>
  <c r="J314" i="1"/>
  <c r="I69" i="1"/>
  <c r="M71" i="1"/>
  <c r="J74" i="1"/>
  <c r="I74" i="1"/>
  <c r="M83" i="1"/>
  <c r="M93" i="1"/>
  <c r="J130" i="1"/>
  <c r="I135" i="1"/>
  <c r="I164" i="1"/>
  <c r="I203" i="1"/>
  <c r="J208" i="1"/>
  <c r="I218" i="1"/>
  <c r="J223" i="1"/>
  <c r="I223" i="1"/>
  <c r="M240" i="1"/>
  <c r="J245" i="1"/>
  <c r="M253" i="1"/>
  <c r="J253" i="1"/>
  <c r="I253" i="1"/>
  <c r="J275" i="1"/>
  <c r="I285" i="1"/>
  <c r="J285" i="1"/>
  <c r="J295" i="1"/>
  <c r="I295" i="1"/>
  <c r="I312" i="1"/>
  <c r="M319" i="1"/>
  <c r="I327" i="1"/>
  <c r="I362" i="1"/>
  <c r="I422" i="1"/>
  <c r="M422" i="1"/>
  <c r="M427" i="1"/>
  <c r="J427" i="1"/>
  <c r="I427" i="1"/>
  <c r="I449" i="1"/>
  <c r="J509" i="1"/>
  <c r="M535" i="1"/>
  <c r="J535" i="1"/>
  <c r="I535" i="1"/>
  <c r="J545" i="1"/>
  <c r="M557" i="1"/>
  <c r="I560" i="1"/>
  <c r="M567" i="1"/>
  <c r="J598" i="1"/>
  <c r="J603" i="1"/>
  <c r="M618" i="1"/>
  <c r="I690" i="1"/>
  <c r="J698" i="1"/>
  <c r="I703" i="1"/>
  <c r="I708" i="1"/>
  <c r="I732" i="1"/>
  <c r="M735" i="1"/>
  <c r="J735" i="1"/>
  <c r="I735" i="1"/>
  <c r="M817" i="1"/>
  <c r="I886" i="1"/>
  <c r="M886" i="1"/>
  <c r="J886" i="1"/>
  <c r="H223" i="2"/>
  <c r="H254" i="2"/>
  <c r="H265" i="2"/>
  <c r="M247" i="1"/>
  <c r="M106" i="1"/>
  <c r="J106" i="1"/>
  <c r="I106" i="1"/>
  <c r="J218" i="1"/>
  <c r="M235" i="1"/>
  <c r="M292" i="1"/>
  <c r="M389" i="1"/>
  <c r="J407" i="1"/>
  <c r="M407" i="1"/>
  <c r="M409" i="1"/>
  <c r="J449" i="1"/>
  <c r="M507" i="1"/>
  <c r="J507" i="1"/>
  <c r="J517" i="1"/>
  <c r="M517" i="1"/>
  <c r="I517" i="1"/>
  <c r="M543" i="1"/>
  <c r="J543" i="1"/>
  <c r="I611" i="1"/>
  <c r="M611" i="1"/>
  <c r="M646" i="1"/>
  <c r="I649" i="1"/>
  <c r="M649" i="1"/>
  <c r="J649" i="1"/>
  <c r="J690" i="1"/>
  <c r="J703" i="1"/>
  <c r="J799" i="1"/>
  <c r="M799" i="1"/>
  <c r="I812" i="1"/>
  <c r="M812" i="1"/>
  <c r="J812" i="1"/>
  <c r="H48" i="2"/>
  <c r="J857" i="1"/>
  <c r="I857" i="1"/>
  <c r="J86" i="1"/>
  <c r="I238" i="1"/>
  <c r="I248" i="1"/>
  <c r="I263" i="1"/>
  <c r="J280" i="1"/>
  <c r="I442" i="1"/>
  <c r="I447" i="1"/>
  <c r="I452" i="1"/>
  <c r="I460" i="1"/>
  <c r="I480" i="1"/>
  <c r="I502" i="1"/>
  <c r="M502" i="1"/>
  <c r="I621" i="1"/>
  <c r="M701" i="1"/>
  <c r="J701" i="1"/>
  <c r="I727" i="1"/>
  <c r="M727" i="1"/>
  <c r="J727" i="1"/>
  <c r="M916" i="1"/>
  <c r="J916" i="1"/>
  <c r="I916" i="1"/>
  <c r="H116" i="2"/>
  <c r="M92" i="1"/>
  <c r="J92" i="1"/>
  <c r="M348" i="1"/>
  <c r="I348" i="1"/>
  <c r="J408" i="1"/>
  <c r="I408" i="1"/>
  <c r="J609" i="1"/>
  <c r="I609" i="1"/>
  <c r="M609" i="1"/>
  <c r="J694" i="1"/>
  <c r="I694" i="1"/>
  <c r="M694" i="1"/>
  <c r="J728" i="1"/>
  <c r="I728" i="1"/>
  <c r="K236" i="2"/>
  <c r="J236" i="2"/>
  <c r="L236" i="2" s="1"/>
  <c r="M303" i="1"/>
  <c r="J318" i="1"/>
  <c r="M318" i="1"/>
  <c r="I318" i="1"/>
  <c r="M586" i="1"/>
  <c r="J369" i="1"/>
  <c r="I369" i="1"/>
  <c r="I429" i="1"/>
  <c r="M429" i="1"/>
  <c r="J577" i="1"/>
  <c r="M577" i="1"/>
  <c r="I577" i="1"/>
  <c r="I801" i="1"/>
  <c r="J801" i="1"/>
  <c r="I822" i="1"/>
  <c r="M822" i="1"/>
  <c r="K839" i="2"/>
  <c r="J839" i="2"/>
  <c r="L839" i="2" s="1"/>
  <c r="J188" i="1"/>
  <c r="I188" i="1"/>
  <c r="M225" i="1"/>
  <c r="J225" i="1"/>
  <c r="I260" i="1"/>
  <c r="J260" i="1"/>
  <c r="M270" i="1"/>
  <c r="I270" i="1"/>
  <c r="J297" i="1"/>
  <c r="M297" i="1"/>
  <c r="M572" i="1"/>
  <c r="I572" i="1"/>
  <c r="I832" i="1"/>
  <c r="M832" i="1"/>
  <c r="J832" i="1"/>
  <c r="J97" i="2"/>
  <c r="L97" i="2" s="1"/>
  <c r="K97" i="2"/>
  <c r="J59" i="1"/>
  <c r="I71" i="1"/>
  <c r="I115" i="1"/>
  <c r="I154" i="1"/>
  <c r="I171" i="1"/>
  <c r="I235" i="1"/>
  <c r="I240" i="1"/>
  <c r="J98" i="1"/>
  <c r="M161" i="1"/>
  <c r="J171" i="1"/>
  <c r="J176" i="1"/>
  <c r="J183" i="1"/>
  <c r="J270" i="1"/>
  <c r="I297" i="1"/>
  <c r="I414" i="1"/>
  <c r="I454" i="1"/>
  <c r="J57" i="1"/>
  <c r="J69" i="1"/>
  <c r="I86" i="1"/>
  <c r="I91" i="1"/>
  <c r="I96" i="1"/>
  <c r="J118" i="1"/>
  <c r="M142" i="1"/>
  <c r="J62" i="1"/>
  <c r="M103" i="1"/>
  <c r="I123" i="1"/>
  <c r="J133" i="1"/>
  <c r="M133" i="1"/>
  <c r="I196" i="1"/>
  <c r="M330" i="1"/>
  <c r="J330" i="1"/>
  <c r="I330" i="1"/>
  <c r="M370" i="1"/>
  <c r="J370" i="1"/>
  <c r="M372" i="1"/>
  <c r="J422" i="1"/>
  <c r="I492" i="1"/>
  <c r="M514" i="1"/>
  <c r="M553" i="1"/>
  <c r="I553" i="1"/>
  <c r="I693" i="1"/>
  <c r="I783" i="1"/>
  <c r="M788" i="1"/>
  <c r="I791" i="1"/>
  <c r="J791" i="1"/>
  <c r="J807" i="1"/>
  <c r="M807" i="1"/>
  <c r="M855" i="1"/>
  <c r="I855" i="1"/>
  <c r="I67" i="1"/>
  <c r="J138" i="1"/>
  <c r="I138" i="1"/>
  <c r="J162" i="1"/>
  <c r="J184" i="1"/>
  <c r="I184" i="1"/>
  <c r="M206" i="1"/>
  <c r="J206" i="1"/>
  <c r="M211" i="1"/>
  <c r="I211" i="1"/>
  <c r="I216" i="1"/>
  <c r="J216" i="1"/>
  <c r="J238" i="1"/>
  <c r="J248" i="1"/>
  <c r="I288" i="1"/>
  <c r="J288" i="1"/>
  <c r="I317" i="1"/>
  <c r="M320" i="1"/>
  <c r="I320" i="1"/>
  <c r="I325" i="1"/>
  <c r="M325" i="1"/>
  <c r="M327" i="1"/>
  <c r="M362" i="1"/>
  <c r="M382" i="1"/>
  <c r="M397" i="1"/>
  <c r="I407" i="1"/>
  <c r="M455" i="1"/>
  <c r="I455" i="1"/>
  <c r="J460" i="1"/>
  <c r="I507" i="1"/>
  <c r="M527" i="1"/>
  <c r="I543" i="1"/>
  <c r="J558" i="1"/>
  <c r="M558" i="1"/>
  <c r="I558" i="1"/>
  <c r="J611" i="1"/>
  <c r="M659" i="1"/>
  <c r="J667" i="1"/>
  <c r="I667" i="1"/>
  <c r="I682" i="1"/>
  <c r="M696" i="1"/>
  <c r="J696" i="1"/>
  <c r="I763" i="1"/>
  <c r="M794" i="1"/>
  <c r="I794" i="1"/>
  <c r="I799" i="1"/>
  <c r="J818" i="1"/>
  <c r="M818" i="1"/>
  <c r="I818" i="1"/>
  <c r="J903" i="1"/>
  <c r="M903" i="1"/>
  <c r="K142" i="2"/>
  <c r="J142" i="2"/>
  <c r="L142" i="2" s="1"/>
  <c r="J146" i="2"/>
  <c r="L146" i="2" s="1"/>
  <c r="K146" i="2"/>
  <c r="H201" i="2"/>
  <c r="H304" i="2"/>
  <c r="H316" i="2"/>
  <c r="J900" i="1"/>
  <c r="I900" i="1"/>
  <c r="J314" i="2"/>
  <c r="L314" i="2" s="1"/>
  <c r="K314" i="2"/>
  <c r="J908" i="1"/>
  <c r="M908" i="1"/>
  <c r="I972" i="1"/>
  <c r="M972" i="1"/>
  <c r="K134" i="2"/>
  <c r="K145" i="2"/>
  <c r="J145" i="2"/>
  <c r="L145" i="2" s="1"/>
  <c r="K396" i="2"/>
  <c r="K514" i="2"/>
  <c r="J115" i="2"/>
  <c r="L115" i="2" s="1"/>
  <c r="K115" i="2"/>
  <c r="K138" i="2"/>
  <c r="J138" i="2"/>
  <c r="L138" i="2" s="1"/>
  <c r="K176" i="2"/>
  <c r="J176" i="2"/>
  <c r="L176" i="2" s="1"/>
  <c r="J282" i="2"/>
  <c r="L282" i="2" s="1"/>
  <c r="K282" i="2"/>
  <c r="K361" i="2"/>
  <c r="J361" i="2"/>
  <c r="L361" i="2" s="1"/>
  <c r="M959" i="1"/>
  <c r="K243" i="2"/>
  <c r="J243" i="2"/>
  <c r="L243" i="2" s="1"/>
  <c r="J837" i="1"/>
  <c r="I837" i="1"/>
  <c r="I926" i="1"/>
  <c r="J926" i="1"/>
  <c r="J947" i="1"/>
  <c r="M947" i="1"/>
  <c r="M975" i="1"/>
  <c r="I975" i="1"/>
  <c r="K194" i="2"/>
  <c r="J194" i="2"/>
  <c r="L194" i="2" s="1"/>
  <c r="K204" i="2"/>
  <c r="J204" i="2"/>
  <c r="L204" i="2" s="1"/>
  <c r="J354" i="2"/>
  <c r="L354" i="2" s="1"/>
  <c r="K354" i="2"/>
  <c r="M848" i="1"/>
  <c r="J848" i="1"/>
  <c r="I848" i="1"/>
  <c r="M896" i="1"/>
  <c r="I896" i="1"/>
  <c r="I914" i="1"/>
  <c r="J914" i="1"/>
  <c r="J963" i="1"/>
  <c r="M963" i="1"/>
  <c r="J690" i="2"/>
  <c r="L690" i="2" s="1"/>
  <c r="K690" i="2"/>
  <c r="J417" i="1"/>
  <c r="M417" i="1"/>
  <c r="I486" i="1"/>
  <c r="M486" i="1"/>
  <c r="J629" i="1"/>
  <c r="I629" i="1"/>
  <c r="I714" i="1"/>
  <c r="J714" i="1"/>
  <c r="J835" i="1"/>
  <c r="M835" i="1"/>
  <c r="J843" i="1"/>
  <c r="M843" i="1"/>
  <c r="I843" i="1"/>
  <c r="M845" i="1"/>
  <c r="J896" i="1"/>
  <c r="J917" i="1"/>
  <c r="I917" i="1"/>
  <c r="J929" i="1"/>
  <c r="M934" i="1"/>
  <c r="M940" i="1"/>
  <c r="I940" i="1"/>
  <c r="I963" i="1"/>
  <c r="K51" i="2"/>
  <c r="J51" i="2"/>
  <c r="L51" i="2" s="1"/>
  <c r="K143" i="2"/>
  <c r="K195" i="2"/>
  <c r="J195" i="2"/>
  <c r="L195" i="2" s="1"/>
  <c r="M856" i="1"/>
  <c r="I856" i="1"/>
  <c r="M871" i="1"/>
  <c r="J871" i="1"/>
  <c r="M876" i="1"/>
  <c r="I876" i="1"/>
  <c r="J876" i="1"/>
  <c r="J71" i="2"/>
  <c r="L71" i="2" s="1"/>
  <c r="K71" i="2"/>
  <c r="K418" i="2"/>
  <c r="J418" i="2"/>
  <c r="L418" i="2" s="1"/>
  <c r="J486" i="2"/>
  <c r="L486" i="2" s="1"/>
  <c r="K486" i="2"/>
  <c r="J927" i="1"/>
  <c r="I927" i="1"/>
  <c r="I932" i="1"/>
  <c r="M932" i="1"/>
  <c r="J932" i="1"/>
  <c r="J953" i="1"/>
  <c r="I953" i="1"/>
  <c r="M953" i="1"/>
  <c r="M976" i="1"/>
  <c r="I976" i="1"/>
  <c r="J63" i="2"/>
  <c r="L63" i="2" s="1"/>
  <c r="K63" i="2"/>
  <c r="K95" i="2"/>
  <c r="J95" i="2"/>
  <c r="L95" i="2" s="1"/>
  <c r="K202" i="2"/>
  <c r="J202" i="2"/>
  <c r="L202" i="2" s="1"/>
  <c r="J277" i="2"/>
  <c r="L277" i="2" s="1"/>
  <c r="K277" i="2"/>
  <c r="J597" i="1"/>
  <c r="M597" i="1"/>
  <c r="J689" i="1"/>
  <c r="I689" i="1"/>
  <c r="J856" i="1"/>
  <c r="I871" i="1"/>
  <c r="I912" i="1"/>
  <c r="J912" i="1"/>
  <c r="M912" i="1"/>
  <c r="M929" i="1"/>
  <c r="J961" i="1"/>
  <c r="M961" i="1"/>
  <c r="J117" i="2"/>
  <c r="L117" i="2" s="1"/>
  <c r="K154" i="2"/>
  <c r="J337" i="2"/>
  <c r="L337" i="2" s="1"/>
  <c r="J602" i="1"/>
  <c r="I602" i="1"/>
  <c r="I642" i="1"/>
  <c r="J642" i="1"/>
  <c r="J722" i="1"/>
  <c r="I722" i="1"/>
  <c r="I740" i="1"/>
  <c r="J740" i="1"/>
  <c r="J841" i="1"/>
  <c r="M841" i="1"/>
  <c r="I894" i="1"/>
  <c r="J907" i="1"/>
  <c r="I907" i="1"/>
  <c r="M907" i="1"/>
  <c r="J922" i="1"/>
  <c r="I948" i="1"/>
  <c r="J976" i="1"/>
  <c r="K238" i="2"/>
  <c r="J238" i="2"/>
  <c r="L238" i="2" s="1"/>
  <c r="J256" i="2"/>
  <c r="L256" i="2" s="1"/>
  <c r="K256" i="2"/>
  <c r="I458" i="1"/>
  <c r="I470" i="1"/>
  <c r="I477" i="1"/>
  <c r="I496" i="1"/>
  <c r="I503" i="1"/>
  <c r="I510" i="1"/>
  <c r="I580" i="1"/>
  <c r="I597" i="1"/>
  <c r="I612" i="1"/>
  <c r="J697" i="1"/>
  <c r="I697" i="1"/>
  <c r="M745" i="1"/>
  <c r="I745" i="1"/>
  <c r="J772" i="1"/>
  <c r="M813" i="1"/>
  <c r="J813" i="1"/>
  <c r="J894" i="1"/>
  <c r="I902" i="1"/>
  <c r="I943" i="1"/>
  <c r="J948" i="1"/>
  <c r="I961" i="1"/>
  <c r="J89" i="2"/>
  <c r="L89" i="2" s="1"/>
  <c r="J114" i="2"/>
  <c r="L114" i="2" s="1"/>
  <c r="K199" i="2"/>
  <c r="J199" i="2"/>
  <c r="L199" i="2" s="1"/>
  <c r="J245" i="2"/>
  <c r="L245" i="2" s="1"/>
  <c r="I97" i="1"/>
  <c r="I175" i="1"/>
  <c r="I214" i="1"/>
  <c r="I349" i="1"/>
  <c r="I375" i="1"/>
  <c r="I394" i="1"/>
  <c r="I537" i="1"/>
  <c r="I674" i="1"/>
  <c r="I692" i="1"/>
  <c r="M692" i="1"/>
  <c r="I777" i="1"/>
  <c r="J800" i="1"/>
  <c r="J869" i="1"/>
  <c r="I869" i="1"/>
  <c r="K75" i="2"/>
  <c r="J75" i="2"/>
  <c r="L75" i="2" s="1"/>
  <c r="K130" i="2"/>
  <c r="J130" i="2"/>
  <c r="L130" i="2" s="1"/>
  <c r="J171" i="2"/>
  <c r="L171" i="2" s="1"/>
  <c r="K171" i="2"/>
  <c r="K334" i="2"/>
  <c r="I113" i="1"/>
  <c r="I145" i="1"/>
  <c r="I152" i="1"/>
  <c r="I191" i="1"/>
  <c r="I272" i="1"/>
  <c r="I286" i="1"/>
  <c r="J286" i="1"/>
  <c r="I323" i="1"/>
  <c r="J415" i="1"/>
  <c r="J432" i="1"/>
  <c r="J446" i="1"/>
  <c r="J470" i="1"/>
  <c r="J510" i="1"/>
  <c r="J532" i="1"/>
  <c r="J549" i="1"/>
  <c r="I563" i="1"/>
  <c r="M590" i="1"/>
  <c r="J590" i="1"/>
  <c r="I627" i="1"/>
  <c r="M627" i="1"/>
  <c r="J657" i="1"/>
  <c r="I657" i="1"/>
  <c r="I833" i="1"/>
  <c r="I841" i="1"/>
  <c r="I849" i="1"/>
  <c r="J902" i="1"/>
  <c r="M927" i="1"/>
  <c r="I136" i="1"/>
  <c r="J258" i="1"/>
  <c r="J302" i="1"/>
  <c r="J323" i="1"/>
  <c r="J375" i="1"/>
  <c r="J394" i="1"/>
  <c r="I399" i="1"/>
  <c r="M418" i="1"/>
  <c r="J418" i="1"/>
  <c r="J425" i="1"/>
  <c r="I425" i="1"/>
  <c r="J451" i="1"/>
  <c r="I515" i="1"/>
  <c r="I520" i="1"/>
  <c r="M630" i="1"/>
  <c r="J630" i="1"/>
  <c r="I630" i="1"/>
  <c r="J674" i="1"/>
  <c r="J679" i="1"/>
  <c r="M689" i="1"/>
  <c r="J733" i="1"/>
  <c r="I733" i="1"/>
  <c r="J745" i="1"/>
  <c r="M780" i="1"/>
  <c r="J780" i="1"/>
  <c r="J803" i="1"/>
  <c r="M803" i="1"/>
  <c r="I813" i="1"/>
  <c r="J849" i="1"/>
  <c r="I892" i="1"/>
  <c r="M892" i="1"/>
  <c r="M922" i="1"/>
  <c r="J938" i="1"/>
  <c r="J969" i="1"/>
  <c r="I969" i="1"/>
  <c r="K137" i="2"/>
  <c r="J182" i="2"/>
  <c r="L182" i="2" s="1"/>
  <c r="K182" i="2"/>
  <c r="K235" i="2"/>
  <c r="J235" i="2"/>
  <c r="L235" i="2" s="1"/>
  <c r="K267" i="2"/>
  <c r="J267" i="2"/>
  <c r="L267" i="2" s="1"/>
  <c r="K665" i="2"/>
  <c r="J665" i="2"/>
  <c r="L665" i="2" s="1"/>
  <c r="J459" i="1"/>
  <c r="I459" i="1"/>
  <c r="I706" i="1"/>
  <c r="J706" i="1"/>
  <c r="M796" i="1"/>
  <c r="I796" i="1"/>
  <c r="I806" i="1"/>
  <c r="M806" i="1"/>
  <c r="J811" i="1"/>
  <c r="M811" i="1"/>
  <c r="J915" i="1"/>
  <c r="M915" i="1"/>
  <c r="K83" i="2"/>
  <c r="J83" i="2"/>
  <c r="L83" i="2" s="1"/>
  <c r="K103" i="2"/>
  <c r="J103" i="2"/>
  <c r="L103" i="2" s="1"/>
  <c r="K183" i="2"/>
  <c r="J183" i="2"/>
  <c r="L183" i="2" s="1"/>
  <c r="K371" i="2"/>
  <c r="J371" i="2"/>
  <c r="L371" i="2" s="1"/>
  <c r="J374" i="2"/>
  <c r="L374" i="2" s="1"/>
  <c r="K374" i="2"/>
  <c r="I636" i="1"/>
  <c r="J636" i="1"/>
  <c r="M878" i="1"/>
  <c r="J878" i="1"/>
  <c r="I960" i="1"/>
  <c r="J960" i="1"/>
  <c r="M960" i="1"/>
  <c r="J252" i="2"/>
  <c r="L252" i="2" s="1"/>
  <c r="K252" i="2"/>
  <c r="K380" i="2"/>
  <c r="J380" i="2"/>
  <c r="L380" i="2" s="1"/>
  <c r="K400" i="2"/>
  <c r="J400" i="2"/>
  <c r="L400" i="2" s="1"/>
  <c r="J325" i="2"/>
  <c r="L325" i="2" s="1"/>
  <c r="K325" i="2"/>
  <c r="K328" i="2"/>
  <c r="J328" i="2"/>
  <c r="L328" i="2" s="1"/>
  <c r="K412" i="2"/>
  <c r="J412" i="2"/>
  <c r="L412" i="2" s="1"/>
  <c r="K428" i="2"/>
  <c r="J428" i="2"/>
  <c r="L428" i="2" s="1"/>
  <c r="J608" i="2"/>
  <c r="L608" i="2" s="1"/>
  <c r="K608" i="2"/>
  <c r="K227" i="2"/>
  <c r="J227" i="2"/>
  <c r="L227" i="2" s="1"/>
  <c r="K335" i="2"/>
  <c r="J335" i="2"/>
  <c r="L335" i="2" s="1"/>
  <c r="J355" i="2"/>
  <c r="L355" i="2" s="1"/>
  <c r="K355" i="2"/>
  <c r="K81" i="2"/>
  <c r="J81" i="2"/>
  <c r="L81" i="2" s="1"/>
  <c r="J271" i="2"/>
  <c r="L271" i="2" s="1"/>
  <c r="K271" i="2"/>
  <c r="K221" i="2"/>
  <c r="J221" i="2"/>
  <c r="L221" i="2" s="1"/>
  <c r="K306" i="2"/>
  <c r="J306" i="2"/>
  <c r="L306" i="2" s="1"/>
  <c r="K346" i="2"/>
  <c r="J346" i="2"/>
  <c r="L346" i="2" s="1"/>
  <c r="K388" i="2"/>
  <c r="J388" i="2"/>
  <c r="L388" i="2" s="1"/>
  <c r="J190" i="2"/>
  <c r="L190" i="2" s="1"/>
  <c r="J500" i="2"/>
  <c r="L500" i="2" s="1"/>
  <c r="K500" i="2"/>
  <c r="K218" i="2"/>
  <c r="J250" i="2"/>
  <c r="L250" i="2" s="1"/>
  <c r="K250" i="2"/>
  <c r="J366" i="2"/>
  <c r="L366" i="2" s="1"/>
  <c r="J590" i="2"/>
  <c r="L590" i="2" s="1"/>
  <c r="K153" i="2"/>
  <c r="J153" i="2"/>
  <c r="L153" i="2" s="1"/>
  <c r="J159" i="2"/>
  <c r="L159" i="2" s="1"/>
  <c r="J398" i="2"/>
  <c r="L398" i="2" s="1"/>
  <c r="K398" i="2"/>
  <c r="K343" i="2"/>
  <c r="J343" i="2"/>
  <c r="L343" i="2" s="1"/>
  <c r="M761" i="1"/>
  <c r="J761" i="1"/>
  <c r="M778" i="1"/>
  <c r="J778" i="1"/>
  <c r="I939" i="1"/>
  <c r="J939" i="1"/>
  <c r="K131" i="2"/>
  <c r="K175" i="2"/>
  <c r="J175" i="2"/>
  <c r="L175" i="2" s="1"/>
  <c r="K209" i="2"/>
  <c r="K294" i="2"/>
  <c r="J317" i="2"/>
  <c r="L317" i="2" s="1"/>
  <c r="K570" i="2"/>
  <c r="J570" i="2"/>
  <c r="L570" i="2" s="1"/>
  <c r="J53" i="2"/>
  <c r="L53" i="2" s="1"/>
  <c r="K53" i="2"/>
  <c r="K341" i="2"/>
  <c r="J341" i="2"/>
  <c r="L341" i="2" s="1"/>
  <c r="K599" i="2"/>
  <c r="J599" i="2"/>
  <c r="L599" i="2" s="1"/>
  <c r="M750" i="1"/>
  <c r="J750" i="1"/>
  <c r="K307" i="2"/>
  <c r="J307" i="2"/>
  <c r="L307" i="2" s="1"/>
  <c r="J750" i="2"/>
  <c r="L750" i="2" s="1"/>
  <c r="K750" i="2"/>
  <c r="J823" i="1"/>
  <c r="M823" i="1"/>
  <c r="I952" i="1"/>
  <c r="J952" i="1"/>
  <c r="K57" i="2"/>
  <c r="J57" i="2"/>
  <c r="L57" i="2" s="1"/>
  <c r="K105" i="2"/>
  <c r="J105" i="2"/>
  <c r="L105" i="2" s="1"/>
  <c r="K284" i="2"/>
  <c r="J284" i="2"/>
  <c r="L284" i="2" s="1"/>
  <c r="J315" i="2"/>
  <c r="L315" i="2" s="1"/>
  <c r="K315" i="2"/>
  <c r="J345" i="2"/>
  <c r="L345" i="2" s="1"/>
  <c r="K345" i="2"/>
  <c r="J639" i="2"/>
  <c r="L639" i="2" s="1"/>
  <c r="K639" i="2"/>
  <c r="J293" i="2"/>
  <c r="L293" i="2" s="1"/>
  <c r="K293" i="2"/>
  <c r="K330" i="2"/>
  <c r="J330" i="2"/>
  <c r="L330" i="2" s="1"/>
  <c r="J574" i="2"/>
  <c r="L574" i="2" s="1"/>
  <c r="K574" i="2"/>
  <c r="K591" i="2"/>
  <c r="J591" i="2"/>
  <c r="L591" i="2" s="1"/>
  <c r="J739" i="2"/>
  <c r="L739" i="2" s="1"/>
  <c r="K739" i="2"/>
  <c r="J845" i="2"/>
  <c r="L845" i="2" s="1"/>
  <c r="K845" i="2"/>
  <c r="K874" i="2"/>
  <c r="J874" i="2"/>
  <c r="L874" i="2" s="1"/>
  <c r="J93" i="2"/>
  <c r="L93" i="2" s="1"/>
  <c r="K93" i="2"/>
  <c r="K263" i="2"/>
  <c r="J263" i="2"/>
  <c r="L263" i="2" s="1"/>
  <c r="K468" i="2"/>
  <c r="J468" i="2"/>
  <c r="L468" i="2" s="1"/>
  <c r="K721" i="2"/>
  <c r="J721" i="2"/>
  <c r="L721" i="2" s="1"/>
  <c r="K854" i="2"/>
  <c r="J854" i="2"/>
  <c r="L854" i="2" s="1"/>
  <c r="K870" i="2"/>
  <c r="J870" i="2"/>
  <c r="L870" i="2" s="1"/>
  <c r="J892" i="2"/>
  <c r="L892" i="2" s="1"/>
  <c r="K892" i="2"/>
  <c r="J149" i="2"/>
  <c r="L149" i="2" s="1"/>
  <c r="K162" i="2"/>
  <c r="J162" i="2"/>
  <c r="L162" i="2" s="1"/>
  <c r="J622" i="2"/>
  <c r="L622" i="2" s="1"/>
  <c r="K797" i="2"/>
  <c r="J797" i="2"/>
  <c r="L797" i="2" s="1"/>
  <c r="J123" i="2"/>
  <c r="L123" i="2" s="1"/>
  <c r="J216" i="2"/>
  <c r="L216" i="2" s="1"/>
  <c r="K295" i="2"/>
  <c r="J295" i="2"/>
  <c r="L295" i="2" s="1"/>
  <c r="J364" i="2"/>
  <c r="L364" i="2" s="1"/>
  <c r="K364" i="2"/>
  <c r="K384" i="2"/>
  <c r="J560" i="2"/>
  <c r="L560" i="2" s="1"/>
  <c r="M450" i="1"/>
  <c r="I450" i="1"/>
  <c r="M622" i="1"/>
  <c r="I622" i="1"/>
  <c r="I726" i="1"/>
  <c r="M726" i="1"/>
  <c r="K141" i="2"/>
  <c r="K144" i="2"/>
  <c r="K230" i="2"/>
  <c r="J518" i="2"/>
  <c r="L518" i="2" s="1"/>
  <c r="K518" i="2"/>
  <c r="J718" i="2"/>
  <c r="L718" i="2" s="1"/>
  <c r="K718" i="2"/>
  <c r="J661" i="2"/>
  <c r="L661" i="2" s="1"/>
  <c r="K661" i="2"/>
  <c r="K813" i="2"/>
  <c r="J813" i="2"/>
  <c r="L813" i="2" s="1"/>
  <c r="K781" i="2"/>
  <c r="J781" i="2"/>
  <c r="L781" i="2" s="1"/>
  <c r="J662" i="2"/>
  <c r="L662" i="2" s="1"/>
  <c r="K662" i="2"/>
  <c r="K694" i="2"/>
  <c r="J694" i="2"/>
  <c r="L694" i="2" s="1"/>
  <c r="K612" i="2"/>
  <c r="J612" i="2"/>
  <c r="L612" i="2" s="1"/>
  <c r="J619" i="2"/>
  <c r="L619" i="2" s="1"/>
  <c r="K619" i="2"/>
  <c r="K687" i="2"/>
  <c r="J687" i="2"/>
  <c r="L687" i="2" s="1"/>
  <c r="J969" i="2"/>
  <c r="L969" i="2" s="1"/>
  <c r="K969" i="2"/>
  <c r="K699" i="2"/>
  <c r="J699" i="2"/>
  <c r="L699" i="2" s="1"/>
  <c r="K716" i="2"/>
  <c r="J716" i="2"/>
  <c r="L716" i="2" s="1"/>
  <c r="J783" i="2"/>
  <c r="L783" i="2" s="1"/>
  <c r="K783" i="2"/>
  <c r="J798" i="2"/>
  <c r="L798" i="2" s="1"/>
  <c r="K798" i="2"/>
  <c r="K932" i="2"/>
  <c r="J932" i="2"/>
  <c r="L932" i="2" s="1"/>
  <c r="K207" i="2"/>
  <c r="J207" i="2"/>
  <c r="L207" i="2" s="1"/>
  <c r="J333" i="2"/>
  <c r="L333" i="2" s="1"/>
  <c r="K333" i="2"/>
  <c r="K681" i="2"/>
  <c r="J681" i="2"/>
  <c r="L681" i="2" s="1"/>
  <c r="K502" i="2"/>
  <c r="J502" i="2"/>
  <c r="L502" i="2" s="1"/>
  <c r="J558" i="2"/>
  <c r="L558" i="2" s="1"/>
  <c r="K558" i="2"/>
  <c r="K755" i="2"/>
  <c r="J755" i="2"/>
  <c r="L755" i="2" s="1"/>
  <c r="J762" i="2"/>
  <c r="L762" i="2" s="1"/>
  <c r="J188" i="2"/>
  <c r="L188" i="2" s="1"/>
  <c r="K582" i="2"/>
  <c r="K630" i="2"/>
  <c r="J644" i="2"/>
  <c r="L644" i="2" s="1"/>
  <c r="K644" i="2"/>
  <c r="J641" i="2"/>
  <c r="L641" i="2" s="1"/>
  <c r="K641" i="2"/>
  <c r="K654" i="2"/>
  <c r="J654" i="2"/>
  <c r="L654" i="2" s="1"/>
  <c r="K727" i="2"/>
  <c r="J727" i="2"/>
  <c r="L727" i="2" s="1"/>
  <c r="J777" i="2"/>
  <c r="L777" i="2" s="1"/>
  <c r="K777" i="2"/>
  <c r="K780" i="2"/>
  <c r="J780" i="2"/>
  <c r="L780" i="2" s="1"/>
  <c r="J113" i="2"/>
  <c r="L113" i="2" s="1"/>
  <c r="K125" i="2"/>
  <c r="J160" i="2"/>
  <c r="L160" i="2" s="1"/>
  <c r="J181" i="2"/>
  <c r="L181" i="2" s="1"/>
  <c r="J200" i="2"/>
  <c r="L200" i="2" s="1"/>
  <c r="J219" i="2"/>
  <c r="L219" i="2" s="1"/>
  <c r="J261" i="2"/>
  <c r="L261" i="2" s="1"/>
  <c r="K297" i="2"/>
  <c r="J310" i="2"/>
  <c r="L310" i="2" s="1"/>
  <c r="J318" i="2"/>
  <c r="L318" i="2" s="1"/>
  <c r="J323" i="2"/>
  <c r="L323" i="2" s="1"/>
  <c r="J416" i="2"/>
  <c r="L416" i="2" s="1"/>
  <c r="K416" i="2"/>
  <c r="K488" i="2"/>
  <c r="J508" i="2"/>
  <c r="L508" i="2" s="1"/>
  <c r="J596" i="2"/>
  <c r="L596" i="2" s="1"/>
  <c r="K596" i="2"/>
  <c r="K637" i="2"/>
  <c r="J745" i="2"/>
  <c r="L745" i="2" s="1"/>
  <c r="J872" i="2"/>
  <c r="L872" i="2" s="1"/>
  <c r="K872" i="2"/>
  <c r="J132" i="2"/>
  <c r="L132" i="2" s="1"/>
  <c r="K234" i="2"/>
  <c r="K313" i="2"/>
  <c r="J313" i="2"/>
  <c r="L313" i="2" s="1"/>
  <c r="J386" i="2"/>
  <c r="L386" i="2" s="1"/>
  <c r="J394" i="2"/>
  <c r="L394" i="2" s="1"/>
  <c r="K394" i="2"/>
  <c r="K474" i="2"/>
  <c r="J731" i="2"/>
  <c r="L731" i="2" s="1"/>
  <c r="K731" i="2"/>
  <c r="J915" i="2"/>
  <c r="L915" i="2" s="1"/>
  <c r="K915" i="2"/>
  <c r="K835" i="2"/>
  <c r="J835" i="2"/>
  <c r="L835" i="2" s="1"/>
  <c r="K878" i="2"/>
  <c r="J878" i="2"/>
  <c r="L878" i="2" s="1"/>
  <c r="K890" i="2"/>
  <c r="J890" i="2"/>
  <c r="L890" i="2" s="1"/>
  <c r="K935" i="2"/>
  <c r="K640" i="2"/>
  <c r="J640" i="2"/>
  <c r="L640" i="2" s="1"/>
  <c r="K693" i="2"/>
  <c r="J693" i="2"/>
  <c r="L693" i="2" s="1"/>
  <c r="K715" i="2"/>
  <c r="J715" i="2"/>
  <c r="L715" i="2" s="1"/>
  <c r="J887" i="2"/>
  <c r="L887" i="2" s="1"/>
  <c r="K887" i="2"/>
  <c r="K817" i="2"/>
  <c r="J817" i="2"/>
  <c r="L817" i="2" s="1"/>
  <c r="K810" i="2"/>
  <c r="J810" i="2"/>
  <c r="L810" i="2" s="1"/>
  <c r="K566" i="2"/>
  <c r="J566" i="2"/>
  <c r="L566" i="2" s="1"/>
  <c r="K628" i="2"/>
  <c r="J628" i="2"/>
  <c r="L628" i="2" s="1"/>
  <c r="J881" i="2"/>
  <c r="L881" i="2" s="1"/>
  <c r="K881" i="2"/>
  <c r="J900" i="2"/>
  <c r="L900" i="2" s="1"/>
  <c r="K900" i="2"/>
  <c r="K610" i="2"/>
  <c r="J610" i="2"/>
  <c r="L610" i="2" s="1"/>
  <c r="K616" i="2"/>
  <c r="J616" i="2"/>
  <c r="L616" i="2" s="1"/>
  <c r="J650" i="2"/>
  <c r="L650" i="2" s="1"/>
  <c r="K650" i="2"/>
  <c r="J729" i="2"/>
  <c r="L729" i="2" s="1"/>
  <c r="K743" i="2"/>
  <c r="J743" i="2"/>
  <c r="L743" i="2" s="1"/>
  <c r="J847" i="2"/>
  <c r="L847" i="2" s="1"/>
  <c r="K847" i="2"/>
  <c r="K851" i="2"/>
  <c r="K858" i="2"/>
  <c r="J858" i="2"/>
  <c r="L858" i="2" s="1"/>
  <c r="K635" i="2"/>
  <c r="J635" i="2"/>
  <c r="L635" i="2" s="1"/>
  <c r="J954" i="2"/>
  <c r="L954" i="2" s="1"/>
  <c r="K954" i="2"/>
  <c r="K733" i="2"/>
  <c r="J733" i="2"/>
  <c r="L733" i="2" s="1"/>
  <c r="J434" i="2"/>
  <c r="L434" i="2" s="1"/>
  <c r="K442" i="2"/>
  <c r="J442" i="2"/>
  <c r="L442" i="2" s="1"/>
  <c r="J462" i="2"/>
  <c r="L462" i="2" s="1"/>
  <c r="J482" i="2"/>
  <c r="L482" i="2" s="1"/>
  <c r="J598" i="2"/>
  <c r="L598" i="2" s="1"/>
  <c r="J607" i="2"/>
  <c r="L607" i="2" s="1"/>
  <c r="K629" i="2"/>
  <c r="J629" i="2"/>
  <c r="L629" i="2" s="1"/>
  <c r="K663" i="2"/>
  <c r="J663" i="2"/>
  <c r="L663" i="2" s="1"/>
  <c r="J753" i="2"/>
  <c r="L753" i="2" s="1"/>
  <c r="K753" i="2"/>
  <c r="K772" i="2"/>
  <c r="J822" i="2"/>
  <c r="L822" i="2" s="1"/>
  <c r="K506" i="2"/>
  <c r="K586" i="2"/>
  <c r="J586" i="2"/>
  <c r="L586" i="2" s="1"/>
  <c r="J601" i="2"/>
  <c r="L601" i="2" s="1"/>
  <c r="J620" i="2"/>
  <c r="L620" i="2" s="1"/>
  <c r="K776" i="2"/>
  <c r="J776" i="2"/>
  <c r="L776" i="2" s="1"/>
  <c r="K884" i="2"/>
  <c r="J884" i="2"/>
  <c r="L884" i="2" s="1"/>
  <c r="K898" i="2"/>
  <c r="J898" i="2"/>
  <c r="L898" i="2" s="1"/>
  <c r="J713" i="2"/>
  <c r="L713" i="2" s="1"/>
  <c r="K713" i="2"/>
  <c r="J771" i="2"/>
  <c r="L771" i="2" s="1"/>
  <c r="K771" i="2"/>
  <c r="K842" i="2"/>
  <c r="J842" i="2"/>
  <c r="L842" i="2" s="1"/>
  <c r="J848" i="2"/>
  <c r="L848" i="2" s="1"/>
  <c r="K848" i="2"/>
  <c r="J923" i="2"/>
  <c r="L923" i="2" s="1"/>
  <c r="K923" i="2"/>
  <c r="J673" i="2"/>
  <c r="L673" i="2" s="1"/>
  <c r="K673" i="2"/>
  <c r="J859" i="2"/>
  <c r="L859" i="2" s="1"/>
  <c r="K859" i="2"/>
  <c r="J879" i="2"/>
  <c r="L879" i="2" s="1"/>
  <c r="K879" i="2"/>
  <c r="J920" i="2"/>
  <c r="L920" i="2" s="1"/>
  <c r="K920" i="2"/>
  <c r="J589" i="2"/>
  <c r="L589" i="2" s="1"/>
  <c r="K589" i="2"/>
  <c r="J951" i="2"/>
  <c r="L951" i="2" s="1"/>
  <c r="K951" i="2"/>
  <c r="J963" i="2"/>
  <c r="L963" i="2" s="1"/>
  <c r="K963" i="2"/>
  <c r="K653" i="2"/>
  <c r="J653" i="2"/>
  <c r="L653" i="2" s="1"/>
  <c r="J711" i="2"/>
  <c r="L711" i="2" s="1"/>
  <c r="K711" i="2"/>
  <c r="J761" i="2"/>
  <c r="L761" i="2" s="1"/>
  <c r="K761" i="2"/>
  <c r="J837" i="2"/>
  <c r="L837" i="2" s="1"/>
  <c r="J869" i="2"/>
  <c r="L869" i="2" s="1"/>
  <c r="K869" i="2"/>
  <c r="K947" i="2"/>
  <c r="J921" i="2"/>
  <c r="L921" i="2" s="1"/>
  <c r="K921" i="2"/>
  <c r="J440" i="2"/>
  <c r="L440" i="2" s="1"/>
  <c r="J454" i="2"/>
  <c r="L454" i="2" s="1"/>
  <c r="K562" i="2"/>
  <c r="J562" i="2"/>
  <c r="L562" i="2" s="1"/>
  <c r="J609" i="2"/>
  <c r="L609" i="2" s="1"/>
  <c r="K773" i="2"/>
  <c r="J773" i="2"/>
  <c r="L773" i="2" s="1"/>
  <c r="K814" i="2"/>
  <c r="J814" i="2"/>
  <c r="L814" i="2" s="1"/>
  <c r="K909" i="2"/>
  <c r="K795" i="2"/>
  <c r="J795" i="2"/>
  <c r="L795" i="2" s="1"/>
  <c r="K801" i="2"/>
  <c r="J801" i="2"/>
  <c r="L801" i="2" s="1"/>
  <c r="K823" i="2"/>
  <c r="J823" i="2"/>
  <c r="L823" i="2" s="1"/>
  <c r="K910" i="2"/>
  <c r="J910" i="2"/>
  <c r="L910" i="2" s="1"/>
  <c r="K960" i="2"/>
  <c r="J960" i="2"/>
  <c r="L960" i="2" s="1"/>
  <c r="J975" i="2"/>
  <c r="L975" i="2" s="1"/>
  <c r="K975" i="2"/>
  <c r="K930" i="2"/>
  <c r="J930" i="2"/>
  <c r="L930" i="2" s="1"/>
  <c r="J812" i="2"/>
  <c r="L812" i="2" s="1"/>
  <c r="K812" i="2"/>
  <c r="J927" i="2"/>
  <c r="L927" i="2" s="1"/>
  <c r="K927" i="2"/>
  <c r="J691" i="2"/>
  <c r="L691" i="2" s="1"/>
  <c r="K691" i="2"/>
  <c r="K918" i="2"/>
  <c r="J918" i="2"/>
  <c r="L918" i="2" s="1"/>
  <c r="J971" i="2"/>
  <c r="L971" i="2" s="1"/>
  <c r="K971" i="2"/>
  <c r="J888" i="2"/>
  <c r="L888" i="2" s="1"/>
  <c r="K888" i="2"/>
  <c r="J912" i="2"/>
  <c r="L912" i="2" s="1"/>
  <c r="K912" i="2"/>
  <c r="J919" i="2"/>
  <c r="L919" i="2" s="1"/>
  <c r="K919" i="2"/>
  <c r="K850" i="2"/>
  <c r="J850" i="2"/>
  <c r="L850" i="2" s="1"/>
  <c r="J899" i="2"/>
  <c r="L899" i="2" s="1"/>
  <c r="K899" i="2"/>
  <c r="K976" i="2"/>
  <c r="J976" i="2"/>
  <c r="L976" i="2" s="1"/>
  <c r="J992" i="2"/>
  <c r="L992" i="2" s="1"/>
  <c r="K992" i="2"/>
  <c r="J868" i="2"/>
  <c r="L868" i="2" s="1"/>
  <c r="K868" i="2"/>
  <c r="J931" i="2"/>
  <c r="L931" i="2" s="1"/>
  <c r="K931" i="2"/>
  <c r="J959" i="2"/>
  <c r="L959" i="2" s="1"/>
  <c r="K959" i="2"/>
  <c r="J938" i="2"/>
  <c r="L938" i="2" s="1"/>
  <c r="K938" i="2"/>
  <c r="K734" i="2"/>
  <c r="J734" i="2"/>
  <c r="L734" i="2" s="1"/>
  <c r="J816" i="2"/>
  <c r="L816" i="2" s="1"/>
  <c r="K865" i="2"/>
  <c r="K924" i="2"/>
  <c r="J924" i="2"/>
  <c r="L924" i="2" s="1"/>
  <c r="J989" i="2"/>
  <c r="L989" i="2" s="1"/>
  <c r="K989" i="2"/>
  <c r="K978" i="2"/>
  <c r="J978" i="2"/>
  <c r="L978" i="2" s="1"/>
  <c r="J988" i="2"/>
  <c r="L988" i="2" s="1"/>
  <c r="K988" i="2"/>
  <c r="J939" i="2"/>
  <c r="L939" i="2" s="1"/>
  <c r="K939" i="2"/>
  <c r="J997" i="2"/>
  <c r="L997" i="2" s="1"/>
  <c r="K997" i="2"/>
  <c r="J945" i="2"/>
  <c r="L945" i="2" s="1"/>
  <c r="K945" i="2"/>
  <c r="J983" i="2"/>
  <c r="L983" i="2" s="1"/>
  <c r="K983" i="2"/>
  <c r="K901" i="2"/>
  <c r="K948" i="2"/>
  <c r="K998" i="2"/>
  <c r="J998" i="2"/>
  <c r="L998" i="2" s="1"/>
  <c r="J991" i="2"/>
  <c r="L991" i="2" s="1"/>
  <c r="K991" i="2"/>
  <c r="J677" i="2"/>
  <c r="L677" i="2" s="1"/>
  <c r="J737" i="2"/>
  <c r="L737" i="2" s="1"/>
  <c r="K774" i="2"/>
  <c r="J774" i="2"/>
  <c r="L774" i="2" s="1"/>
  <c r="J785" i="2"/>
  <c r="L785" i="2" s="1"/>
  <c r="J792" i="2"/>
  <c r="L792" i="2" s="1"/>
  <c r="J820" i="2"/>
  <c r="L820" i="2" s="1"/>
  <c r="J880" i="2"/>
  <c r="L880" i="2" s="1"/>
  <c r="K885" i="2"/>
  <c r="J925" i="2"/>
  <c r="L925" i="2" s="1"/>
  <c r="K925" i="2"/>
  <c r="K955" i="2"/>
  <c r="K987" i="2"/>
  <c r="K675" i="2"/>
  <c r="J675" i="2"/>
  <c r="L675" i="2" s="1"/>
  <c r="J908" i="2"/>
  <c r="L908" i="2" s="1"/>
  <c r="K908" i="2"/>
  <c r="J949" i="2"/>
  <c r="L949" i="2" s="1"/>
  <c r="K949" i="2"/>
  <c r="K958" i="2"/>
  <c r="J958" i="2"/>
  <c r="L958" i="2" s="1"/>
  <c r="J979" i="2"/>
  <c r="L979" i="2" s="1"/>
  <c r="K979" i="2"/>
  <c r="E21" i="6"/>
  <c r="E22" i="6" s="1"/>
  <c r="J996" i="2"/>
  <c r="L996" i="2" s="1"/>
  <c r="H21" i="6"/>
  <c r="H22" i="6" s="1"/>
  <c r="K965" i="2"/>
  <c r="K985" i="2"/>
  <c r="K857" i="2"/>
  <c r="J866" i="2"/>
  <c r="L866" i="2" s="1"/>
  <c r="K877" i="2"/>
  <c r="J886" i="2"/>
  <c r="L886" i="2" s="1"/>
  <c r="K897" i="2"/>
  <c r="J906" i="2"/>
  <c r="L906" i="2" s="1"/>
  <c r="K917" i="2"/>
  <c r="J926" i="2"/>
  <c r="L926" i="2" s="1"/>
  <c r="K937" i="2"/>
  <c r="J946" i="2"/>
  <c r="L946" i="2" s="1"/>
  <c r="K957" i="2"/>
  <c r="J966" i="2"/>
  <c r="L966" i="2" s="1"/>
  <c r="K977" i="2"/>
  <c r="J986" i="2"/>
  <c r="L986" i="2" s="1"/>
  <c r="K995" i="2"/>
  <c r="L19" i="6"/>
  <c r="L20" i="6"/>
  <c r="M60" i="1" l="1"/>
  <c r="K60" i="1"/>
  <c r="L60" i="1" s="1"/>
  <c r="M56" i="1"/>
  <c r="H198" i="2"/>
  <c r="I847" i="2"/>
  <c r="M847" i="2" s="1"/>
  <c r="I411" i="2"/>
  <c r="M411" i="2" s="1"/>
  <c r="I724" i="2"/>
  <c r="M724" i="2" s="1"/>
  <c r="I750" i="2"/>
  <c r="M750" i="2" s="1"/>
  <c r="I264" i="2"/>
  <c r="M264" i="2" s="1"/>
  <c r="I106" i="2"/>
  <c r="M106" i="2" s="1"/>
  <c r="I358" i="2"/>
  <c r="M358" i="2" s="1"/>
  <c r="I875" i="2"/>
  <c r="M875" i="2" s="1"/>
  <c r="I203" i="2"/>
  <c r="M203" i="2" s="1"/>
  <c r="I562" i="2"/>
  <c r="M562" i="2" s="1"/>
  <c r="I618" i="2"/>
  <c r="M618" i="2" s="1"/>
  <c r="I194" i="2"/>
  <c r="M194" i="2" s="1"/>
  <c r="I686" i="2"/>
  <c r="M686" i="2" s="1"/>
  <c r="I522" i="2"/>
  <c r="M522" i="2" s="1"/>
  <c r="I790" i="2"/>
  <c r="M790" i="2" s="1"/>
  <c r="I986" i="2"/>
  <c r="M986" i="2" s="1"/>
  <c r="I785" i="2"/>
  <c r="M785" i="2" s="1"/>
  <c r="I516" i="2"/>
  <c r="M516" i="2" s="1"/>
  <c r="I944" i="2"/>
  <c r="M944" i="2" s="1"/>
  <c r="I905" i="2"/>
  <c r="M905" i="2" s="1"/>
  <c r="I448" i="2"/>
  <c r="M448" i="2" s="1"/>
  <c r="I585" i="2"/>
  <c r="M585" i="2" s="1"/>
  <c r="I218" i="2"/>
  <c r="M218" i="2" s="1"/>
  <c r="I195" i="2"/>
  <c r="M195" i="2" s="1"/>
  <c r="I733" i="2"/>
  <c r="M733" i="2" s="1"/>
  <c r="I736" i="2"/>
  <c r="M736" i="2" s="1"/>
  <c r="I111" i="2"/>
  <c r="M111" i="2" s="1"/>
  <c r="I921" i="2"/>
  <c r="M921" i="2" s="1"/>
  <c r="I999" i="2"/>
  <c r="M999" i="2" s="1"/>
  <c r="I395" i="2"/>
  <c r="M395" i="2" s="1"/>
  <c r="I338" i="2"/>
  <c r="M338" i="2" s="1"/>
  <c r="I930" i="2"/>
  <c r="M930" i="2" s="1"/>
  <c r="I440" i="2"/>
  <c r="M440" i="2" s="1"/>
  <c r="I835" i="2"/>
  <c r="M835" i="2" s="1"/>
  <c r="I638" i="2"/>
  <c r="M638" i="2" s="1"/>
  <c r="I367" i="2"/>
  <c r="M367" i="2" s="1"/>
  <c r="I78" i="2"/>
  <c r="M78" i="2" s="1"/>
  <c r="I180" i="2"/>
  <c r="M180" i="2" s="1"/>
  <c r="I227" i="2"/>
  <c r="M227" i="2" s="1"/>
  <c r="I385" i="2"/>
  <c r="M385" i="2" s="1"/>
  <c r="I345" i="2"/>
  <c r="M345" i="2" s="1"/>
  <c r="I320" i="2"/>
  <c r="M320" i="2" s="1"/>
  <c r="I283" i="2"/>
  <c r="M283" i="2" s="1"/>
  <c r="I295" i="2"/>
  <c r="M295" i="2" s="1"/>
  <c r="I759" i="2"/>
  <c r="M759" i="2" s="1"/>
  <c r="I886" i="2"/>
  <c r="M886" i="2" s="1"/>
  <c r="I510" i="2"/>
  <c r="M510" i="2" s="1"/>
  <c r="I869" i="2"/>
  <c r="M869" i="2" s="1"/>
  <c r="I91" i="2"/>
  <c r="M91" i="2" s="1"/>
  <c r="I645" i="2"/>
  <c r="M645" i="2" s="1"/>
  <c r="I722" i="2"/>
  <c r="M722" i="2" s="1"/>
  <c r="I740" i="2"/>
  <c r="M740" i="2" s="1"/>
  <c r="I197" i="2"/>
  <c r="M197" i="2" s="1"/>
  <c r="I529" i="2"/>
  <c r="M529" i="2" s="1"/>
  <c r="I352" i="2"/>
  <c r="M352" i="2" s="1"/>
  <c r="I827" i="2"/>
  <c r="M827" i="2" s="1"/>
  <c r="I741" i="2"/>
  <c r="M741" i="2" s="1"/>
  <c r="I865" i="2"/>
  <c r="M865" i="2" s="1"/>
  <c r="I933" i="2"/>
  <c r="M933" i="2" s="1"/>
  <c r="I922" i="2"/>
  <c r="M922" i="2" s="1"/>
  <c r="I915" i="2"/>
  <c r="M915" i="2" s="1"/>
  <c r="I470" i="2"/>
  <c r="M470" i="2" s="1"/>
  <c r="I274" i="2"/>
  <c r="M274" i="2" s="1"/>
  <c r="I401" i="2"/>
  <c r="M401" i="2" s="1"/>
  <c r="I282" i="2"/>
  <c r="M282" i="2" s="1"/>
  <c r="I989" i="2"/>
  <c r="M989" i="2" s="1"/>
  <c r="I238" i="2"/>
  <c r="M238" i="2" s="1"/>
  <c r="I226" i="2"/>
  <c r="M226" i="2" s="1"/>
  <c r="I699" i="2"/>
  <c r="M699" i="2" s="1"/>
  <c r="I122" i="2"/>
  <c r="M122" i="2" s="1"/>
  <c r="I725" i="2"/>
  <c r="M725" i="2" s="1"/>
  <c r="I462" i="2"/>
  <c r="M462" i="2" s="1"/>
  <c r="I792" i="2"/>
  <c r="M792" i="2" s="1"/>
  <c r="I802" i="2"/>
  <c r="M802" i="2" s="1"/>
  <c r="I840" i="2"/>
  <c r="M840" i="2" s="1"/>
  <c r="I365" i="2"/>
  <c r="M365" i="2" s="1"/>
  <c r="I115" i="2"/>
  <c r="M115" i="2" s="1"/>
  <c r="I215" i="2"/>
  <c r="M215" i="2" s="1"/>
  <c r="I890" i="2"/>
  <c r="M890" i="2" s="1"/>
  <c r="I877" i="2"/>
  <c r="M877" i="2" s="1"/>
  <c r="I698" i="2"/>
  <c r="M698" i="2" s="1"/>
  <c r="I966" i="2"/>
  <c r="M966" i="2" s="1"/>
  <c r="I888" i="2"/>
  <c r="M888" i="2" s="1"/>
  <c r="I955" i="2"/>
  <c r="M955" i="2" s="1"/>
  <c r="I77" i="2"/>
  <c r="M77" i="2" s="1"/>
  <c r="I844" i="2"/>
  <c r="M844" i="2" s="1"/>
  <c r="I449" i="2"/>
  <c r="M449" i="2" s="1"/>
  <c r="I465" i="2"/>
  <c r="M465" i="2" s="1"/>
  <c r="I512" i="2"/>
  <c r="M512" i="2" s="1"/>
  <c r="I715" i="2"/>
  <c r="M715" i="2" s="1"/>
  <c r="I450" i="2"/>
  <c r="M450" i="2" s="1"/>
  <c r="I509" i="2"/>
  <c r="M509" i="2" s="1"/>
  <c r="I364" i="2"/>
  <c r="M364" i="2" s="1"/>
  <c r="I310" i="2"/>
  <c r="M310" i="2" s="1"/>
  <c r="I430" i="2"/>
  <c r="M430" i="2" s="1"/>
  <c r="I515" i="2"/>
  <c r="M515" i="2" s="1"/>
  <c r="I386" i="2"/>
  <c r="M386" i="2" s="1"/>
  <c r="I229" i="2"/>
  <c r="M229" i="2" s="1"/>
  <c r="I760" i="2"/>
  <c r="M760" i="2" s="1"/>
  <c r="I978" i="2"/>
  <c r="M978" i="2" s="1"/>
  <c r="I428" i="2"/>
  <c r="M428" i="2" s="1"/>
  <c r="I825" i="2"/>
  <c r="M825" i="2" s="1"/>
  <c r="I374" i="2"/>
  <c r="M374" i="2" s="1"/>
  <c r="I117" i="2"/>
  <c r="M117" i="2" s="1"/>
  <c r="I223" i="2"/>
  <c r="M223" i="2" s="1"/>
  <c r="I672" i="2"/>
  <c r="M672" i="2" s="1"/>
  <c r="I603" i="2"/>
  <c r="M603" i="2" s="1"/>
  <c r="I981" i="2"/>
  <c r="M981" i="2" s="1"/>
  <c r="I880" i="2"/>
  <c r="M880" i="2" s="1"/>
  <c r="I901" i="2"/>
  <c r="M901" i="2" s="1"/>
  <c r="I714" i="2"/>
  <c r="M714" i="2" s="1"/>
  <c r="I970" i="2"/>
  <c r="M970" i="2" s="1"/>
  <c r="I899" i="2"/>
  <c r="M899" i="2" s="1"/>
  <c r="I964" i="2"/>
  <c r="M964" i="2" s="1"/>
  <c r="I443" i="2"/>
  <c r="M443" i="2" s="1"/>
  <c r="I651" i="2"/>
  <c r="M651" i="2" s="1"/>
  <c r="I86" i="2"/>
  <c r="M86" i="2" s="1"/>
  <c r="I543" i="2"/>
  <c r="M543" i="2" s="1"/>
  <c r="I253" i="2"/>
  <c r="M253" i="2" s="1"/>
  <c r="I586" i="2"/>
  <c r="M586" i="2" s="1"/>
  <c r="I99" i="2"/>
  <c r="M99" i="2" s="1"/>
  <c r="I313" i="2"/>
  <c r="M313" i="2" s="1"/>
  <c r="I277" i="2"/>
  <c r="M277" i="2" s="1"/>
  <c r="I471" i="2"/>
  <c r="M471" i="2" s="1"/>
  <c r="I390" i="2"/>
  <c r="M390" i="2" s="1"/>
  <c r="I341" i="2"/>
  <c r="M341" i="2" s="1"/>
  <c r="I256" i="2"/>
  <c r="M256" i="2" s="1"/>
  <c r="I80" i="2"/>
  <c r="M80" i="2" s="1"/>
  <c r="I239" i="2"/>
  <c r="M239" i="2" s="1"/>
  <c r="I653" i="2"/>
  <c r="M653" i="2" s="1"/>
  <c r="I150" i="2"/>
  <c r="M150" i="2" s="1"/>
  <c r="I897" i="2"/>
  <c r="M897" i="2" s="1"/>
  <c r="I468" i="2"/>
  <c r="M468" i="2" s="1"/>
  <c r="I121" i="2"/>
  <c r="M121" i="2" s="1"/>
  <c r="I419" i="2"/>
  <c r="M419" i="2" s="1"/>
  <c r="I611" i="2"/>
  <c r="M611" i="2" s="1"/>
  <c r="I946" i="2"/>
  <c r="M946" i="2" s="1"/>
  <c r="I909" i="2"/>
  <c r="M909" i="2" s="1"/>
  <c r="I871" i="2"/>
  <c r="M871" i="2" s="1"/>
  <c r="I908" i="2"/>
  <c r="M908" i="2" s="1"/>
  <c r="I975" i="2"/>
  <c r="M975" i="2" s="1"/>
  <c r="I437" i="2"/>
  <c r="M437" i="2" s="1"/>
  <c r="I287" i="2"/>
  <c r="M287" i="2" s="1"/>
  <c r="I200" i="2"/>
  <c r="M200" i="2" s="1"/>
  <c r="I712" i="2"/>
  <c r="M712" i="2" s="1"/>
  <c r="I423" i="2"/>
  <c r="M423" i="2" s="1"/>
  <c r="I319" i="2"/>
  <c r="M319" i="2" s="1"/>
  <c r="I596" i="2"/>
  <c r="M596" i="2" s="1"/>
  <c r="I75" i="2"/>
  <c r="M75" i="2" s="1"/>
  <c r="I466" i="2"/>
  <c r="M466" i="2" s="1"/>
  <c r="I249" i="2"/>
  <c r="M249" i="2" s="1"/>
  <c r="I804" i="2"/>
  <c r="M804" i="2" s="1"/>
  <c r="I273" i="2"/>
  <c r="M273" i="2" s="1"/>
  <c r="I916" i="2"/>
  <c r="M916" i="2" s="1"/>
  <c r="I519" i="2"/>
  <c r="M519" i="2" s="1"/>
  <c r="I127" i="2"/>
  <c r="M127" i="2" s="1"/>
  <c r="I244" i="2"/>
  <c r="M244" i="2" s="1"/>
  <c r="I616" i="2"/>
  <c r="M616" i="2" s="1"/>
  <c r="I673" i="2"/>
  <c r="M673" i="2" s="1"/>
  <c r="I926" i="2"/>
  <c r="M926" i="2" s="1"/>
  <c r="I939" i="2"/>
  <c r="M939" i="2" s="1"/>
  <c r="I984" i="2"/>
  <c r="M984" i="2" s="1"/>
  <c r="I126" i="2"/>
  <c r="M126" i="2" s="1"/>
  <c r="I393" i="2"/>
  <c r="M393" i="2" s="1"/>
  <c r="I237" i="2"/>
  <c r="M237" i="2" s="1"/>
  <c r="I333" i="2"/>
  <c r="M333" i="2" s="1"/>
  <c r="I241" i="2"/>
  <c r="M241" i="2" s="1"/>
  <c r="I132" i="2"/>
  <c r="M132" i="2" s="1"/>
  <c r="I533" i="2"/>
  <c r="M533" i="2" s="1"/>
  <c r="I878" i="2"/>
  <c r="M878" i="2" s="1"/>
  <c r="I355" i="2"/>
  <c r="M355" i="2" s="1"/>
  <c r="I789" i="2"/>
  <c r="M789" i="2" s="1"/>
  <c r="I116" i="2"/>
  <c r="M116" i="2" s="1"/>
  <c r="I584" i="2"/>
  <c r="M584" i="2" s="1"/>
  <c r="I133" i="2"/>
  <c r="M133" i="2" s="1"/>
  <c r="I817" i="2"/>
  <c r="M817" i="2" s="1"/>
  <c r="I532" i="2"/>
  <c r="M532" i="2" s="1"/>
  <c r="I621" i="2"/>
  <c r="M621" i="2" s="1"/>
  <c r="I894" i="2"/>
  <c r="M894" i="2" s="1"/>
  <c r="I993" i="2"/>
  <c r="M993" i="2" s="1"/>
  <c r="I708" i="2"/>
  <c r="M708" i="2" s="1"/>
  <c r="I959" i="2"/>
  <c r="M959" i="2" s="1"/>
  <c r="I267" i="2"/>
  <c r="M267" i="2" s="1"/>
  <c r="I407" i="2"/>
  <c r="M407" i="2" s="1"/>
  <c r="I536" i="2"/>
  <c r="M536" i="2" s="1"/>
  <c r="I394" i="2"/>
  <c r="M394" i="2" s="1"/>
  <c r="I446" i="2"/>
  <c r="M446" i="2" s="1"/>
  <c r="I612" i="2"/>
  <c r="M612" i="2" s="1"/>
  <c r="I137" i="2"/>
  <c r="M137" i="2" s="1"/>
  <c r="I971" i="2"/>
  <c r="M971" i="2" s="1"/>
  <c r="I781" i="2"/>
  <c r="M781" i="2" s="1"/>
  <c r="I692" i="2"/>
  <c r="M692" i="2" s="1"/>
  <c r="I631" i="2"/>
  <c r="M631" i="2" s="1"/>
  <c r="I968" i="2"/>
  <c r="M968" i="2" s="1"/>
  <c r="I233" i="2"/>
  <c r="M233" i="2" s="1"/>
  <c r="I363" i="2"/>
  <c r="M363" i="2" s="1"/>
  <c r="I842" i="2"/>
  <c r="M842" i="2" s="1"/>
  <c r="I521" i="2"/>
  <c r="M521" i="2" s="1"/>
  <c r="I941" i="2"/>
  <c r="M941" i="2" s="1"/>
  <c r="I531" i="2"/>
  <c r="M531" i="2" s="1"/>
  <c r="I124" i="2"/>
  <c r="M124" i="2" s="1"/>
  <c r="I556" i="2"/>
  <c r="M556" i="2" s="1"/>
  <c r="I478" i="2"/>
  <c r="M478" i="2" s="1"/>
  <c r="I508" i="2"/>
  <c r="M508" i="2" s="1"/>
  <c r="I538" i="2"/>
  <c r="M538" i="2" s="1"/>
  <c r="I599" i="2"/>
  <c r="M599" i="2" s="1"/>
  <c r="I328" i="2"/>
  <c r="M328" i="2" s="1"/>
  <c r="I225" i="2"/>
  <c r="M225" i="2" s="1"/>
  <c r="I659" i="2"/>
  <c r="M659" i="2" s="1"/>
  <c r="I498" i="2"/>
  <c r="M498" i="2" s="1"/>
  <c r="I206" i="2"/>
  <c r="M206" i="2" s="1"/>
  <c r="I687" i="2"/>
  <c r="M687" i="2" s="1"/>
  <c r="I351" i="2"/>
  <c r="M351" i="2" s="1"/>
  <c r="I141" i="2"/>
  <c r="M141" i="2" s="1"/>
  <c r="I575" i="2"/>
  <c r="M575" i="2" s="1"/>
  <c r="I967" i="2"/>
  <c r="M967" i="2" s="1"/>
  <c r="I979" i="2"/>
  <c r="M979" i="2" s="1"/>
  <c r="I541" i="2"/>
  <c r="M541" i="2" s="1"/>
  <c r="I289" i="2"/>
  <c r="M289" i="2" s="1"/>
  <c r="I492" i="2"/>
  <c r="M492" i="2" s="1"/>
  <c r="I156" i="2"/>
  <c r="M156" i="2" s="1"/>
  <c r="I145" i="2"/>
  <c r="M145" i="2" s="1"/>
  <c r="I748" i="2"/>
  <c r="M748" i="2" s="1"/>
  <c r="I995" i="2"/>
  <c r="M995" i="2" s="1"/>
  <c r="I976" i="2"/>
  <c r="M976" i="2" s="1"/>
  <c r="I988" i="2"/>
  <c r="M988" i="2" s="1"/>
  <c r="I105" i="2"/>
  <c r="M105" i="2" s="1"/>
  <c r="I305" i="2"/>
  <c r="M305" i="2" s="1"/>
  <c r="I101" i="2"/>
  <c r="M101" i="2" s="1"/>
  <c r="I368" i="2"/>
  <c r="M368" i="2" s="1"/>
  <c r="I258" i="2"/>
  <c r="M258" i="2" s="1"/>
  <c r="I613" i="2"/>
  <c r="M613" i="2" s="1"/>
  <c r="I322" i="2"/>
  <c r="M322" i="2" s="1"/>
  <c r="I640" i="2"/>
  <c r="M640" i="2" s="1"/>
  <c r="I579" i="2"/>
  <c r="M579" i="2" s="1"/>
  <c r="I164" i="2"/>
  <c r="M164" i="2" s="1"/>
  <c r="I371" i="2"/>
  <c r="M371" i="2" s="1"/>
  <c r="I628" i="2"/>
  <c r="M628" i="2" s="1"/>
  <c r="I85" i="2"/>
  <c r="M85" i="2" s="1"/>
  <c r="I49" i="2"/>
  <c r="M49" i="2" s="1"/>
  <c r="I118" i="2"/>
  <c r="M118" i="2" s="1"/>
  <c r="I552" i="2"/>
  <c r="M552" i="2" s="1"/>
  <c r="I402" i="2"/>
  <c r="M402" i="2" s="1"/>
  <c r="I336" i="2"/>
  <c r="M336" i="2" s="1"/>
  <c r="I761" i="2"/>
  <c r="M761" i="2" s="1"/>
  <c r="I378" i="2"/>
  <c r="M378" i="2" s="1"/>
  <c r="I665" i="2"/>
  <c r="M665" i="2" s="1"/>
  <c r="I165" i="2"/>
  <c r="M165" i="2" s="1"/>
  <c r="I324" i="2"/>
  <c r="M324" i="2" s="1"/>
  <c r="I960" i="2"/>
  <c r="M960" i="2" s="1"/>
  <c r="I829" i="2"/>
  <c r="M829" i="2" s="1"/>
  <c r="I671" i="2"/>
  <c r="M671" i="2" s="1"/>
  <c r="I240" i="2"/>
  <c r="M240" i="2" s="1"/>
  <c r="I242" i="2"/>
  <c r="M242" i="2" s="1"/>
  <c r="I259" i="2"/>
  <c r="M259" i="2" s="1"/>
  <c r="I412" i="2"/>
  <c r="M412" i="2" s="1"/>
  <c r="I54" i="2"/>
  <c r="M54" i="2" s="1"/>
  <c r="I104" i="2"/>
  <c r="M104" i="2" s="1"/>
  <c r="I633" i="2"/>
  <c r="M633" i="2" s="1"/>
  <c r="I421" i="2"/>
  <c r="M421" i="2" s="1"/>
  <c r="I432" i="2"/>
  <c r="M432" i="2" s="1"/>
  <c r="I527" i="2"/>
  <c r="M527" i="2" s="1"/>
  <c r="I720" i="2"/>
  <c r="M720" i="2" s="1"/>
  <c r="I167" i="2"/>
  <c r="M167" i="2" s="1"/>
  <c r="I834" i="2"/>
  <c r="M834" i="2" s="1"/>
  <c r="I717" i="2"/>
  <c r="M717" i="2" s="1"/>
  <c r="I601" i="2"/>
  <c r="M601" i="2" s="1"/>
  <c r="I693" i="2"/>
  <c r="M693" i="2" s="1"/>
  <c r="I769" i="2"/>
  <c r="M769" i="2" s="1"/>
  <c r="I753" i="2"/>
  <c r="M753" i="2" s="1"/>
  <c r="I334" i="2"/>
  <c r="M334" i="2" s="1"/>
  <c r="I660" i="2"/>
  <c r="M660" i="2" s="1"/>
  <c r="I435" i="2"/>
  <c r="M435" i="2" s="1"/>
  <c r="I276" i="2"/>
  <c r="M276" i="2" s="1"/>
  <c r="I962" i="2"/>
  <c r="M962" i="2" s="1"/>
  <c r="I728" i="2"/>
  <c r="M728" i="2" s="1"/>
  <c r="I417" i="2"/>
  <c r="M417" i="2" s="1"/>
  <c r="I752" i="2"/>
  <c r="M752" i="2" s="1"/>
  <c r="I787" i="2"/>
  <c r="M787" i="2" s="1"/>
  <c r="I376" i="2"/>
  <c r="M376" i="2" s="1"/>
  <c r="I292" i="2"/>
  <c r="M292" i="2" s="1"/>
  <c r="I409" i="2"/>
  <c r="M409" i="2" s="1"/>
  <c r="I460" i="2"/>
  <c r="M460" i="2" s="1"/>
  <c r="I765" i="2"/>
  <c r="M765" i="2" s="1"/>
  <c r="I539" i="2"/>
  <c r="M539" i="2" s="1"/>
  <c r="I196" i="2"/>
  <c r="M196" i="2" s="1"/>
  <c r="I171" i="2"/>
  <c r="M171" i="2" s="1"/>
  <c r="I232" i="2"/>
  <c r="M232" i="2" s="1"/>
  <c r="I690" i="2"/>
  <c r="M690" i="2" s="1"/>
  <c r="I48" i="2"/>
  <c r="M48" i="2" s="1"/>
  <c r="I337" i="2"/>
  <c r="M337" i="2" s="1"/>
  <c r="I464" i="2"/>
  <c r="M464" i="2" s="1"/>
  <c r="I296" i="2"/>
  <c r="M296" i="2" s="1"/>
  <c r="I261" i="2"/>
  <c r="M261" i="2" s="1"/>
  <c r="I565" i="2"/>
  <c r="M565" i="2" s="1"/>
  <c r="I985" i="2"/>
  <c r="M985" i="2" s="1"/>
  <c r="I93" i="2"/>
  <c r="M93" i="2" s="1"/>
  <c r="I170" i="2"/>
  <c r="M170" i="2" s="1"/>
  <c r="I646" i="2"/>
  <c r="M646" i="2" s="1"/>
  <c r="I524" i="2"/>
  <c r="M524" i="2" s="1"/>
  <c r="I234" i="2"/>
  <c r="M234" i="2" s="1"/>
  <c r="I571" i="2"/>
  <c r="M571" i="2" s="1"/>
  <c r="I317" i="2"/>
  <c r="M317" i="2" s="1"/>
  <c r="I429" i="2"/>
  <c r="M429" i="2" s="1"/>
  <c r="I710" i="2"/>
  <c r="M710" i="2" s="1"/>
  <c r="I580" i="2"/>
  <c r="M580" i="2" s="1"/>
  <c r="I745" i="2"/>
  <c r="M745" i="2" s="1"/>
  <c r="I224" i="2"/>
  <c r="M224" i="2" s="1"/>
  <c r="I175" i="2"/>
  <c r="M175" i="2" s="1"/>
  <c r="I784" i="2"/>
  <c r="M784" i="2" s="1"/>
  <c r="I704" i="2"/>
  <c r="M704" i="2" s="1"/>
  <c r="I951" i="2"/>
  <c r="M951" i="2" s="1"/>
  <c r="I799" i="2"/>
  <c r="M799" i="2" s="1"/>
  <c r="I473" i="2"/>
  <c r="M473" i="2" s="1"/>
  <c r="I275" i="2"/>
  <c r="M275" i="2" s="1"/>
  <c r="I50" i="2"/>
  <c r="M50" i="2" s="1"/>
  <c r="I110" i="2"/>
  <c r="M110" i="2" s="1"/>
  <c r="I176" i="2"/>
  <c r="M176" i="2" s="1"/>
  <c r="I444" i="2"/>
  <c r="M444" i="2" s="1"/>
  <c r="I528" i="2"/>
  <c r="M528" i="2" s="1"/>
  <c r="I177" i="2"/>
  <c r="M177" i="2" s="1"/>
  <c r="I403" i="2"/>
  <c r="M403" i="2" s="1"/>
  <c r="I719" i="2"/>
  <c r="M719" i="2" s="1"/>
  <c r="I815" i="2"/>
  <c r="M815" i="2" s="1"/>
  <c r="I861" i="2"/>
  <c r="M861" i="2" s="1"/>
  <c r="I793" i="2"/>
  <c r="M793" i="2" s="1"/>
  <c r="I503" i="2"/>
  <c r="M503" i="2" s="1"/>
  <c r="I243" i="2"/>
  <c r="M243" i="2" s="1"/>
  <c r="I235" i="2"/>
  <c r="M235" i="2" s="1"/>
  <c r="I70" i="2"/>
  <c r="M70" i="2" s="1"/>
  <c r="I81" i="2"/>
  <c r="M81" i="2" s="1"/>
  <c r="I162" i="2"/>
  <c r="M162" i="2" s="1"/>
  <c r="I544" i="2"/>
  <c r="M544" i="2" s="1"/>
  <c r="I254" i="2"/>
  <c r="M254" i="2" s="1"/>
  <c r="I518" i="2"/>
  <c r="M518" i="2" s="1"/>
  <c r="I838" i="2"/>
  <c r="M838" i="2" s="1"/>
  <c r="I520" i="2"/>
  <c r="M520" i="2" s="1"/>
  <c r="I479" i="2"/>
  <c r="M479" i="2" s="1"/>
  <c r="I776" i="2"/>
  <c r="M776" i="2" s="1"/>
  <c r="I183" i="2"/>
  <c r="M183" i="2" s="1"/>
  <c r="I438" i="2"/>
  <c r="M438" i="2" s="1"/>
  <c r="I272" i="2"/>
  <c r="M272" i="2" s="1"/>
  <c r="I818" i="2"/>
  <c r="M818" i="2" s="1"/>
  <c r="I415" i="2"/>
  <c r="M415" i="2" s="1"/>
  <c r="I718" i="2"/>
  <c r="M718" i="2" s="1"/>
  <c r="I664" i="2"/>
  <c r="M664" i="2" s="1"/>
  <c r="I694" i="2"/>
  <c r="M694" i="2" s="1"/>
  <c r="I874" i="2"/>
  <c r="M874" i="2" s="1"/>
  <c r="I723" i="2"/>
  <c r="M723" i="2" s="1"/>
  <c r="I627" i="2"/>
  <c r="M627" i="2" s="1"/>
  <c r="I845" i="2"/>
  <c r="M845" i="2" s="1"/>
  <c r="I260" i="2"/>
  <c r="M260" i="2" s="1"/>
  <c r="I55" i="2"/>
  <c r="M55" i="2" s="1"/>
  <c r="I578" i="2"/>
  <c r="M578" i="2" s="1"/>
  <c r="I202" i="2"/>
  <c r="M202" i="2" s="1"/>
  <c r="I491" i="2"/>
  <c r="M491" i="2" s="1"/>
  <c r="I270" i="2"/>
  <c r="M270" i="2" s="1"/>
  <c r="I257" i="2"/>
  <c r="M257" i="2" s="1"/>
  <c r="I216" i="2"/>
  <c r="M216" i="2" s="1"/>
  <c r="I702" i="2"/>
  <c r="M702" i="2" s="1"/>
  <c r="I569" i="2"/>
  <c r="M569" i="2" s="1"/>
  <c r="I782" i="2"/>
  <c r="M782" i="2" s="1"/>
  <c r="I382" i="2"/>
  <c r="M382" i="2" s="1"/>
  <c r="I602" i="2"/>
  <c r="M602" i="2" s="1"/>
  <c r="I778" i="2"/>
  <c r="M778" i="2" s="1"/>
  <c r="I300" i="2"/>
  <c r="M300" i="2" s="1"/>
  <c r="I185" i="2"/>
  <c r="M185" i="2" s="1"/>
  <c r="I674" i="2"/>
  <c r="M674" i="2" s="1"/>
  <c r="I746" i="2"/>
  <c r="M746" i="2" s="1"/>
  <c r="I636" i="2"/>
  <c r="M636" i="2" s="1"/>
  <c r="I751" i="2"/>
  <c r="M751" i="2" s="1"/>
  <c r="I83" i="2"/>
  <c r="M83" i="2" s="1"/>
  <c r="I58" i="2"/>
  <c r="M58" i="2" s="1"/>
  <c r="I461" i="2"/>
  <c r="M461" i="2" s="1"/>
  <c r="I301" i="2"/>
  <c r="M301" i="2" s="1"/>
  <c r="I380" i="2"/>
  <c r="M380" i="2" s="1"/>
  <c r="I114" i="2"/>
  <c r="M114" i="2" s="1"/>
  <c r="I819" i="2"/>
  <c r="M819" i="2" s="1"/>
  <c r="I62" i="2"/>
  <c r="M62" i="2" s="1"/>
  <c r="I696" i="2"/>
  <c r="M696" i="2" s="1"/>
  <c r="I100" i="2"/>
  <c r="M100" i="2" s="1"/>
  <c r="I433" i="2"/>
  <c r="M433" i="2" s="1"/>
  <c r="I537" i="2"/>
  <c r="M537" i="2" s="1"/>
  <c r="I622" i="2"/>
  <c r="M622" i="2" s="1"/>
  <c r="I288" i="2"/>
  <c r="M288" i="2" s="1"/>
  <c r="I187" i="2"/>
  <c r="M187" i="2" s="1"/>
  <c r="I427" i="2"/>
  <c r="M427" i="2" s="1"/>
  <c r="I807" i="2"/>
  <c r="M807" i="2" s="1"/>
  <c r="I739" i="2"/>
  <c r="M739" i="2" s="1"/>
  <c r="I858" i="2"/>
  <c r="M858" i="2" s="1"/>
  <c r="I654" i="2"/>
  <c r="M654" i="2" s="1"/>
  <c r="I857" i="2"/>
  <c r="M857" i="2" s="1"/>
  <c r="I833" i="2"/>
  <c r="M833" i="2" s="1"/>
  <c r="I557" i="2"/>
  <c r="M557" i="2" s="1"/>
  <c r="I64" i="2"/>
  <c r="M64" i="2" s="1"/>
  <c r="I298" i="2"/>
  <c r="M298" i="2" s="1"/>
  <c r="I182" i="2"/>
  <c r="M182" i="2" s="1"/>
  <c r="I418" i="2"/>
  <c r="M418" i="2" s="1"/>
  <c r="I190" i="2"/>
  <c r="M190" i="2" s="1"/>
  <c r="I280" i="2"/>
  <c r="M280" i="2" s="1"/>
  <c r="I255" i="2"/>
  <c r="M255" i="2" s="1"/>
  <c r="I965" i="2"/>
  <c r="M965" i="2" s="1"/>
  <c r="I231" i="2"/>
  <c r="M231" i="2" s="1"/>
  <c r="I71" i="2"/>
  <c r="M71" i="2" s="1"/>
  <c r="I707" i="2"/>
  <c r="M707" i="2" s="1"/>
  <c r="I644" i="2"/>
  <c r="M644" i="2" s="1"/>
  <c r="I682" i="2"/>
  <c r="M682" i="2" s="1"/>
  <c r="I191" i="2"/>
  <c r="M191" i="2" s="1"/>
  <c r="I500" i="2"/>
  <c r="M500" i="2" s="1"/>
  <c r="I771" i="2"/>
  <c r="M771" i="2" s="1"/>
  <c r="I866" i="2"/>
  <c r="M866" i="2" s="1"/>
  <c r="I758" i="2"/>
  <c r="M758" i="2" s="1"/>
  <c r="I59" i="2"/>
  <c r="M59" i="2" s="1"/>
  <c r="I314" i="2"/>
  <c r="M314" i="2" s="1"/>
  <c r="I420" i="2"/>
  <c r="M420" i="2" s="1"/>
  <c r="I481" i="2"/>
  <c r="M481" i="2" s="1"/>
  <c r="I600" i="2"/>
  <c r="M600" i="2" s="1"/>
  <c r="I820" i="2"/>
  <c r="M820" i="2" s="1"/>
  <c r="I641" i="2"/>
  <c r="M641" i="2" s="1"/>
  <c r="I867" i="2"/>
  <c r="M867" i="2" s="1"/>
  <c r="I130" i="2"/>
  <c r="M130" i="2" s="1"/>
  <c r="I766" i="2"/>
  <c r="M766" i="2" s="1"/>
  <c r="I637" i="2"/>
  <c r="M637" i="2" s="1"/>
  <c r="I135" i="2"/>
  <c r="M135" i="2" s="1"/>
  <c r="I217" i="2"/>
  <c r="M217" i="2" s="1"/>
  <c r="I583" i="2"/>
  <c r="M583" i="2" s="1"/>
  <c r="I331" i="2"/>
  <c r="M331" i="2" s="1"/>
  <c r="I918" i="2"/>
  <c r="M918" i="2" s="1"/>
  <c r="I911" i="2"/>
  <c r="M911" i="2" s="1"/>
  <c r="I744" i="2"/>
  <c r="M744" i="2" s="1"/>
  <c r="I969" i="2"/>
  <c r="M969" i="2" s="1"/>
  <c r="I907" i="2"/>
  <c r="M907" i="2" s="1"/>
  <c r="I958" i="2"/>
  <c r="M958" i="2" s="1"/>
  <c r="I912" i="2"/>
  <c r="M912" i="2" s="1"/>
  <c r="I82" i="2"/>
  <c r="M82" i="2" s="1"/>
  <c r="I68" i="2"/>
  <c r="M68" i="2" s="1"/>
  <c r="I302" i="2"/>
  <c r="M302" i="2" s="1"/>
  <c r="I451" i="2"/>
  <c r="M451" i="2" s="1"/>
  <c r="I863" i="2"/>
  <c r="M863" i="2" s="1"/>
  <c r="I773" i="2"/>
  <c r="M773" i="2" s="1"/>
  <c r="I974" i="2"/>
  <c r="M974" i="2" s="1"/>
  <c r="I823" i="2"/>
  <c r="M823" i="2" s="1"/>
  <c r="I855" i="2"/>
  <c r="M855" i="2" s="1"/>
  <c r="I326" i="2"/>
  <c r="M326" i="2" s="1"/>
  <c r="I547" i="2"/>
  <c r="M547" i="2" s="1"/>
  <c r="I564" i="2"/>
  <c r="M564" i="2" s="1"/>
  <c r="I677" i="2"/>
  <c r="M677" i="2" s="1"/>
  <c r="I147" i="2"/>
  <c r="M147" i="2" s="1"/>
  <c r="I683" i="2"/>
  <c r="M683" i="2" s="1"/>
  <c r="I467" i="2"/>
  <c r="M467" i="2" s="1"/>
  <c r="I663" i="2"/>
  <c r="M663" i="2" s="1"/>
  <c r="I610" i="2"/>
  <c r="M610" i="2" s="1"/>
  <c r="I597" i="2"/>
  <c r="M597" i="2" s="1"/>
  <c r="I588" i="2"/>
  <c r="M588" i="2" s="1"/>
  <c r="I931" i="2"/>
  <c r="M931" i="2" s="1"/>
  <c r="I900" i="2"/>
  <c r="M900" i="2" s="1"/>
  <c r="I148" i="2"/>
  <c r="M148" i="2" s="1"/>
  <c r="I514" i="2"/>
  <c r="M514" i="2" s="1"/>
  <c r="I250" i="2"/>
  <c r="M250" i="2" s="1"/>
  <c r="I98" i="2"/>
  <c r="M98" i="2" s="1"/>
  <c r="I74" i="2"/>
  <c r="M74" i="2" s="1"/>
  <c r="I286" i="2"/>
  <c r="M286" i="2" s="1"/>
  <c r="I174" i="2"/>
  <c r="M174" i="2" s="1"/>
  <c r="I830" i="2"/>
  <c r="M830" i="2" s="1"/>
  <c r="I339" i="2"/>
  <c r="M339" i="2" s="1"/>
  <c r="I379" i="2"/>
  <c r="M379" i="2" s="1"/>
  <c r="I511" i="2"/>
  <c r="M511" i="2" s="1"/>
  <c r="I188" i="2"/>
  <c r="M188" i="2" s="1"/>
  <c r="I860" i="2"/>
  <c r="M860" i="2" s="1"/>
  <c r="I896" i="2"/>
  <c r="M896" i="2" s="1"/>
  <c r="I271" i="2"/>
  <c r="M271" i="2" s="1"/>
  <c r="I149" i="2"/>
  <c r="M149" i="2" s="1"/>
  <c r="I263" i="2"/>
  <c r="M263" i="2" s="1"/>
  <c r="I397" i="2"/>
  <c r="M397" i="2" s="1"/>
  <c r="I476" i="2"/>
  <c r="M476" i="2" s="1"/>
  <c r="I775" i="2"/>
  <c r="M775" i="2" s="1"/>
  <c r="I685" i="2"/>
  <c r="M685" i="2" s="1"/>
  <c r="I991" i="2"/>
  <c r="M991" i="2" s="1"/>
  <c r="I910" i="2"/>
  <c r="M910" i="2" s="1"/>
  <c r="I998" i="2"/>
  <c r="M998" i="2" s="1"/>
  <c r="I517" i="2"/>
  <c r="M517" i="2" s="1"/>
  <c r="I53" i="2"/>
  <c r="M53" i="2" s="1"/>
  <c r="I290" i="2"/>
  <c r="M290" i="2" s="1"/>
  <c r="I158" i="2"/>
  <c r="M158" i="2" s="1"/>
  <c r="I228" i="2"/>
  <c r="M228" i="2" s="1"/>
  <c r="I69" i="2"/>
  <c r="M69" i="2" s="1"/>
  <c r="I294" i="2"/>
  <c r="M294" i="2" s="1"/>
  <c r="I52" i="2"/>
  <c r="M52" i="2" s="1"/>
  <c r="I416" i="2"/>
  <c r="M416" i="2" s="1"/>
  <c r="I691" i="2"/>
  <c r="M691" i="2" s="1"/>
  <c r="I553" i="2"/>
  <c r="M553" i="2" s="1"/>
  <c r="I950" i="2"/>
  <c r="M950" i="2" s="1"/>
  <c r="I344" i="2"/>
  <c r="M344" i="2" s="1"/>
  <c r="I625" i="2"/>
  <c r="M625" i="2" s="1"/>
  <c r="I151" i="2"/>
  <c r="M151" i="2" s="1"/>
  <c r="I566" i="2"/>
  <c r="M566" i="2" s="1"/>
  <c r="I689" i="2"/>
  <c r="M689" i="2" s="1"/>
  <c r="I925" i="2"/>
  <c r="M925" i="2" s="1"/>
  <c r="I893" i="2"/>
  <c r="M893" i="2" s="1"/>
  <c r="I810" i="2"/>
  <c r="M810" i="2" s="1"/>
  <c r="I624" i="2"/>
  <c r="M624" i="2" s="1"/>
  <c r="I246" i="2"/>
  <c r="M246" i="2" s="1"/>
  <c r="I945" i="2"/>
  <c r="M945" i="2" s="1"/>
  <c r="I889" i="2"/>
  <c r="M889" i="2" s="1"/>
  <c r="I475" i="2"/>
  <c r="M475" i="2" s="1"/>
  <c r="I342" i="2"/>
  <c r="M342" i="2" s="1"/>
  <c r="I876" i="2"/>
  <c r="M876" i="2" s="1"/>
  <c r="I856" i="2"/>
  <c r="M856" i="2" s="1"/>
  <c r="I179" i="2"/>
  <c r="M179" i="2" s="1"/>
  <c r="I343" i="2"/>
  <c r="M343" i="2" s="1"/>
  <c r="I917" i="2"/>
  <c r="M917" i="2" s="1"/>
  <c r="I441" i="2"/>
  <c r="M441" i="2" s="1"/>
  <c r="I540" i="2"/>
  <c r="M540" i="2" s="1"/>
  <c r="I798" i="2"/>
  <c r="M798" i="2" s="1"/>
  <c r="I716" i="2"/>
  <c r="M716" i="2" s="1"/>
  <c r="I977" i="2"/>
  <c r="M977" i="2" s="1"/>
  <c r="I721" i="2"/>
  <c r="M721" i="2" s="1"/>
  <c r="I957" i="2"/>
  <c r="M957" i="2" s="1"/>
  <c r="I902" i="2"/>
  <c r="M902" i="2" s="1"/>
  <c r="I730" i="2"/>
  <c r="M730" i="2" s="1"/>
  <c r="I204" i="2"/>
  <c r="M204" i="2" s="1"/>
  <c r="I311" i="2"/>
  <c r="M311" i="2" s="1"/>
  <c r="I348" i="2"/>
  <c r="M348" i="2" s="1"/>
  <c r="I60" i="2"/>
  <c r="M60" i="2" s="1"/>
  <c r="I323" i="2"/>
  <c r="M323" i="2" s="1"/>
  <c r="I359" i="2"/>
  <c r="M359" i="2" s="1"/>
  <c r="I549" i="2"/>
  <c r="M549" i="2" s="1"/>
  <c r="I824" i="2"/>
  <c r="M824" i="2" s="1"/>
  <c r="I593" i="2"/>
  <c r="M593" i="2" s="1"/>
  <c r="I932" i="2"/>
  <c r="M932" i="2" s="1"/>
  <c r="I499" i="2"/>
  <c r="M499" i="2" s="1"/>
  <c r="I349" i="2"/>
  <c r="M349" i="2" s="1"/>
  <c r="I800" i="2"/>
  <c r="M800" i="2" s="1"/>
  <c r="I92" i="2"/>
  <c r="M92" i="2" s="1"/>
  <c r="I388" i="2"/>
  <c r="M388" i="2" s="1"/>
  <c r="I384" i="2"/>
  <c r="M384" i="2" s="1"/>
  <c r="I561" i="2"/>
  <c r="M561" i="2" s="1"/>
  <c r="I607" i="2"/>
  <c r="M607" i="2" s="1"/>
  <c r="I72" i="2"/>
  <c r="M72" i="2" s="1"/>
  <c r="I330" i="2"/>
  <c r="M330" i="2" s="1"/>
  <c r="I497" i="2"/>
  <c r="M497" i="2" s="1"/>
  <c r="I389" i="2"/>
  <c r="M389" i="2" s="1"/>
  <c r="I472" i="2"/>
  <c r="M472" i="2" s="1"/>
  <c r="I184" i="2"/>
  <c r="M184" i="2" s="1"/>
  <c r="I634" i="2"/>
  <c r="M634" i="2" s="1"/>
  <c r="I131" i="2"/>
  <c r="M131" i="2" s="1"/>
  <c r="I189" i="2"/>
  <c r="M189" i="2" s="1"/>
  <c r="I837" i="2"/>
  <c r="M837" i="2" s="1"/>
  <c r="I706" i="2"/>
  <c r="M706" i="2" s="1"/>
  <c r="I980" i="2"/>
  <c r="M980" i="2" s="1"/>
  <c r="I994" i="2"/>
  <c r="M994" i="2" s="1"/>
  <c r="I797" i="2"/>
  <c r="M797" i="2" s="1"/>
  <c r="I923" i="2"/>
  <c r="M923" i="2" s="1"/>
  <c r="I791" i="2"/>
  <c r="M791" i="2" s="1"/>
  <c r="I94" i="2"/>
  <c r="M94" i="2" s="1"/>
  <c r="I309" i="2"/>
  <c r="M309" i="2" s="1"/>
  <c r="I555" i="2"/>
  <c r="M555" i="2" s="1"/>
  <c r="I431" i="2"/>
  <c r="M431" i="2" s="1"/>
  <c r="I504" i="2"/>
  <c r="M504" i="2" s="1"/>
  <c r="I109" i="2"/>
  <c r="M109" i="2" s="1"/>
  <c r="I103" i="2"/>
  <c r="M103" i="2" s="1"/>
  <c r="I425" i="2"/>
  <c r="M425" i="2" s="1"/>
  <c r="I325" i="2"/>
  <c r="M325" i="2" s="1"/>
  <c r="I487" i="2"/>
  <c r="M487" i="2" s="1"/>
  <c r="I372" i="2"/>
  <c r="M372" i="2" s="1"/>
  <c r="I567" i="2"/>
  <c r="M567" i="2" s="1"/>
  <c r="I551" i="2"/>
  <c r="M551" i="2" s="1"/>
  <c r="I456" i="2"/>
  <c r="M456" i="2" s="1"/>
  <c r="I734" i="2"/>
  <c r="M734" i="2" s="1"/>
  <c r="I139" i="2"/>
  <c r="M139" i="2" s="1"/>
  <c r="I201" i="2"/>
  <c r="M201" i="2" s="1"/>
  <c r="I447" i="2"/>
  <c r="M447" i="2" s="1"/>
  <c r="I956" i="2"/>
  <c r="M956" i="2" s="1"/>
  <c r="I483" i="2"/>
  <c r="M483" i="2" s="1"/>
  <c r="I488" i="2"/>
  <c r="M488" i="2" s="1"/>
  <c r="I574" i="2"/>
  <c r="M574" i="2" s="1"/>
  <c r="I961" i="2"/>
  <c r="M961" i="2" s="1"/>
  <c r="I954" i="2"/>
  <c r="M954" i="2" s="1"/>
  <c r="I727" i="2"/>
  <c r="M727" i="2" s="1"/>
  <c r="I589" i="2"/>
  <c r="M589" i="2" s="1"/>
  <c r="I872" i="2"/>
  <c r="M872" i="2" s="1"/>
  <c r="I809" i="2"/>
  <c r="M809" i="2" s="1"/>
  <c r="I982" i="2"/>
  <c r="M982" i="2" s="1"/>
  <c r="I972" i="2"/>
  <c r="M972" i="2" s="1"/>
  <c r="I494" i="2"/>
  <c r="M494" i="2" s="1"/>
  <c r="I507" i="2"/>
  <c r="M507" i="2" s="1"/>
  <c r="I436" i="2"/>
  <c r="M436" i="2" s="1"/>
  <c r="I816" i="2"/>
  <c r="M816" i="2" s="1"/>
  <c r="I726" i="2"/>
  <c r="M726" i="2" s="1"/>
  <c r="I963" i="2"/>
  <c r="M963" i="2" s="1"/>
  <c r="I891" i="2"/>
  <c r="M891" i="2" s="1"/>
  <c r="I713" i="2"/>
  <c r="M713" i="2" s="1"/>
  <c r="I851" i="2"/>
  <c r="M851" i="2" s="1"/>
  <c r="I983" i="2"/>
  <c r="M983" i="2" s="1"/>
  <c r="I373" i="2"/>
  <c r="M373" i="2" s="1"/>
  <c r="I548" i="2"/>
  <c r="M548" i="2" s="1"/>
  <c r="I680" i="2"/>
  <c r="M680" i="2" s="1"/>
  <c r="I67" i="2"/>
  <c r="M67" i="2" s="1"/>
  <c r="I658" i="2"/>
  <c r="M658" i="2" s="1"/>
  <c r="I166" i="2"/>
  <c r="M166" i="2" s="1"/>
  <c r="I128" i="2"/>
  <c r="M128" i="2" s="1"/>
  <c r="I236" i="2"/>
  <c r="M236" i="2" s="1"/>
  <c r="I160" i="2"/>
  <c r="M160" i="2" s="1"/>
  <c r="I550" i="2"/>
  <c r="M550" i="2" s="1"/>
  <c r="I695" i="2"/>
  <c r="M695" i="2" s="1"/>
  <c r="I414" i="2"/>
  <c r="M414" i="2" s="1"/>
  <c r="I626" i="2"/>
  <c r="M626" i="2" s="1"/>
  <c r="I591" i="2"/>
  <c r="M591" i="2" s="1"/>
  <c r="I143" i="2"/>
  <c r="M143" i="2" s="1"/>
  <c r="I213" i="2"/>
  <c r="M213" i="2" s="1"/>
  <c r="I480" i="2"/>
  <c r="M480" i="2" s="1"/>
  <c r="I525" i="2"/>
  <c r="M525" i="2" s="1"/>
  <c r="I526" i="2"/>
  <c r="M526" i="2" s="1"/>
  <c r="I849" i="2"/>
  <c r="M849" i="2" s="1"/>
  <c r="I947" i="2"/>
  <c r="M947" i="2" s="1"/>
  <c r="I854" i="2"/>
  <c r="M854" i="2" s="1"/>
  <c r="I846" i="2"/>
  <c r="M846" i="2" s="1"/>
  <c r="I731" i="2"/>
  <c r="M731" i="2" s="1"/>
  <c r="I762" i="2"/>
  <c r="M762" i="2" s="1"/>
  <c r="I828" i="2"/>
  <c r="M828" i="2" s="1"/>
  <c r="I992" i="2"/>
  <c r="M992" i="2" s="1"/>
  <c r="I882" i="2"/>
  <c r="M882" i="2" s="1"/>
  <c r="I772" i="2"/>
  <c r="M772" i="2" s="1"/>
  <c r="I650" i="2"/>
  <c r="M650" i="2" s="1"/>
  <c r="I884" i="2"/>
  <c r="M884" i="2" s="1"/>
  <c r="I125" i="2"/>
  <c r="M125" i="2" s="1"/>
  <c r="I181" i="2"/>
  <c r="M181" i="2" s="1"/>
  <c r="I284" i="2"/>
  <c r="M284" i="2" s="1"/>
  <c r="I291" i="2"/>
  <c r="M291" i="2" s="1"/>
  <c r="I688" i="2"/>
  <c r="M688" i="2" s="1"/>
  <c r="I881" i="2"/>
  <c r="M881" i="2" s="1"/>
  <c r="I903" i="2"/>
  <c r="M903" i="2" s="1"/>
  <c r="I786" i="2"/>
  <c r="M786" i="2" s="1"/>
  <c r="I779" i="2"/>
  <c r="M779" i="2" s="1"/>
  <c r="I669" i="2"/>
  <c r="M669" i="2" s="1"/>
  <c r="I927" i="2"/>
  <c r="M927" i="2" s="1"/>
  <c r="I587" i="2"/>
  <c r="M587" i="2" s="1"/>
  <c r="I952" i="2"/>
  <c r="M952" i="2" s="1"/>
  <c r="I812" i="2"/>
  <c r="M812" i="2" s="1"/>
  <c r="I868" i="2"/>
  <c r="M868" i="2" s="1"/>
  <c r="I895" i="2"/>
  <c r="M895" i="2" s="1"/>
  <c r="I269" i="2"/>
  <c r="M269" i="2" s="1"/>
  <c r="I285" i="2"/>
  <c r="M285" i="2" s="1"/>
  <c r="I297" i="2"/>
  <c r="M297" i="2" s="1"/>
  <c r="I749" i="2"/>
  <c r="M749" i="2" s="1"/>
  <c r="I252" i="2"/>
  <c r="M252" i="2" s="1"/>
  <c r="I79" i="2"/>
  <c r="M79" i="2" s="1"/>
  <c r="I563" i="2"/>
  <c r="M563" i="2" s="1"/>
  <c r="I383" i="2"/>
  <c r="M383" i="2" s="1"/>
  <c r="I214" i="2"/>
  <c r="M214" i="2" s="1"/>
  <c r="I73" i="2"/>
  <c r="M73" i="2" s="1"/>
  <c r="I530" i="2"/>
  <c r="M530" i="2" s="1"/>
  <c r="I400" i="2"/>
  <c r="M400" i="2" s="1"/>
  <c r="I406" i="2"/>
  <c r="M406" i="2" s="1"/>
  <c r="I534" i="2"/>
  <c r="M534" i="2" s="1"/>
  <c r="I490" i="2"/>
  <c r="M490" i="2" s="1"/>
  <c r="I439" i="2"/>
  <c r="M439" i="2" s="1"/>
  <c r="I795" i="2"/>
  <c r="M795" i="2" s="1"/>
  <c r="I306" i="2"/>
  <c r="M306" i="2" s="1"/>
  <c r="I754" i="2"/>
  <c r="M754" i="2" s="1"/>
  <c r="I387" i="2"/>
  <c r="M387" i="2" s="1"/>
  <c r="I163" i="2"/>
  <c r="M163" i="2" s="1"/>
  <c r="I219" i="2"/>
  <c r="M219" i="2" s="1"/>
  <c r="I489" i="2"/>
  <c r="M489" i="2" s="1"/>
  <c r="I937" i="2"/>
  <c r="M937" i="2" s="1"/>
  <c r="I452" i="2"/>
  <c r="M452" i="2" s="1"/>
  <c r="I375" i="2"/>
  <c r="M375" i="2" s="1"/>
  <c r="I850" i="2"/>
  <c r="M850" i="2" s="1"/>
  <c r="I573" i="2"/>
  <c r="M573" i="2" s="1"/>
  <c r="I936" i="2"/>
  <c r="M936" i="2" s="1"/>
  <c r="I990" i="2"/>
  <c r="M990" i="2" s="1"/>
  <c r="I862" i="2"/>
  <c r="M862" i="2" s="1"/>
  <c r="I831" i="2"/>
  <c r="M831" i="2" s="1"/>
  <c r="I347" i="2"/>
  <c r="M347" i="2" s="1"/>
  <c r="I321" i="2"/>
  <c r="M321" i="2" s="1"/>
  <c r="I570" i="2"/>
  <c r="M570" i="2" s="1"/>
  <c r="I248" i="2"/>
  <c r="M248" i="2" s="1"/>
  <c r="I247" i="2"/>
  <c r="M247" i="2" s="1"/>
  <c r="I614" i="2"/>
  <c r="M614" i="2" s="1"/>
  <c r="I329" i="2"/>
  <c r="M329" i="2" s="1"/>
  <c r="I299" i="2"/>
  <c r="M299" i="2" s="1"/>
  <c r="I136" i="2"/>
  <c r="M136" i="2" s="1"/>
  <c r="I767" i="2"/>
  <c r="M767" i="2" s="1"/>
  <c r="I88" i="2"/>
  <c r="M88" i="2" s="1"/>
  <c r="I354" i="2"/>
  <c r="M354" i="2" s="1"/>
  <c r="I681" i="2"/>
  <c r="M681" i="2" s="1"/>
  <c r="I357" i="2"/>
  <c r="M357" i="2" s="1"/>
  <c r="I186" i="2"/>
  <c r="M186" i="2" s="1"/>
  <c r="I780" i="2"/>
  <c r="M780" i="2" s="1"/>
  <c r="I457" i="2"/>
  <c r="M457" i="2" s="1"/>
  <c r="I577" i="2"/>
  <c r="M577" i="2" s="1"/>
  <c r="I434" i="2"/>
  <c r="M434" i="2" s="1"/>
  <c r="I763" i="2"/>
  <c r="M763" i="2" s="1"/>
  <c r="I568" i="2"/>
  <c r="M568" i="2" s="1"/>
  <c r="I535" i="2"/>
  <c r="M535" i="2" s="1"/>
  <c r="I929" i="2"/>
  <c r="M929" i="2" s="1"/>
  <c r="I408" i="2"/>
  <c r="M408" i="2" s="1"/>
  <c r="I155" i="2"/>
  <c r="M155" i="2" s="1"/>
  <c r="I207" i="2"/>
  <c r="M207" i="2" s="1"/>
  <c r="I377" i="2"/>
  <c r="M377" i="2" s="1"/>
  <c r="I743" i="2"/>
  <c r="M743" i="2" s="1"/>
  <c r="I312" i="2"/>
  <c r="M312" i="2" s="1"/>
  <c r="I632" i="2"/>
  <c r="M632" i="2" s="1"/>
  <c r="I648" i="2"/>
  <c r="M648" i="2" s="1"/>
  <c r="I455" i="2"/>
  <c r="M455" i="2" s="1"/>
  <c r="I774" i="2"/>
  <c r="M774" i="2" s="1"/>
  <c r="I853" i="2"/>
  <c r="M853" i="2" s="1"/>
  <c r="I679" i="2"/>
  <c r="M679" i="2" s="1"/>
  <c r="I615" i="2"/>
  <c r="M615" i="2" s="1"/>
  <c r="I806" i="2"/>
  <c r="M806" i="2" s="1"/>
  <c r="I940" i="2"/>
  <c r="M940" i="2" s="1"/>
  <c r="I973" i="2"/>
  <c r="M973" i="2" s="1"/>
  <c r="I997" i="2"/>
  <c r="M997" i="2" s="1"/>
  <c r="I316" i="2"/>
  <c r="M316" i="2" s="1"/>
  <c r="I701" i="2"/>
  <c r="M701" i="2" s="1"/>
  <c r="I332" i="2"/>
  <c r="M332" i="2" s="1"/>
  <c r="I356" i="2"/>
  <c r="M356" i="2" s="1"/>
  <c r="I340" i="2"/>
  <c r="M340" i="2" s="1"/>
  <c r="I230" i="2"/>
  <c r="M230" i="2" s="1"/>
  <c r="I362" i="2"/>
  <c r="M362" i="2" s="1"/>
  <c r="I370" i="2"/>
  <c r="M370" i="2" s="1"/>
  <c r="I102" i="2"/>
  <c r="M102" i="2" s="1"/>
  <c r="I405" i="2"/>
  <c r="M405" i="2" s="1"/>
  <c r="I700" i="2"/>
  <c r="M700" i="2" s="1"/>
  <c r="I697" i="2"/>
  <c r="M697" i="2" s="1"/>
  <c r="I477" i="2"/>
  <c r="M477" i="2" s="1"/>
  <c r="I595" i="2"/>
  <c r="M595" i="2" s="1"/>
  <c r="I454" i="2"/>
  <c r="M454" i="2" s="1"/>
  <c r="I594" i="2"/>
  <c r="M594" i="2" s="1"/>
  <c r="I542" i="2"/>
  <c r="M542" i="2" s="1"/>
  <c r="I581" i="2"/>
  <c r="M581" i="2" s="1"/>
  <c r="I424" i="2"/>
  <c r="M424" i="2" s="1"/>
  <c r="I422" i="2"/>
  <c r="M422" i="2" s="1"/>
  <c r="I161" i="2"/>
  <c r="M161" i="2" s="1"/>
  <c r="I211" i="2"/>
  <c r="M211" i="2" s="1"/>
  <c r="I811" i="2"/>
  <c r="M811" i="2" s="1"/>
  <c r="I670" i="2"/>
  <c r="M670" i="2" s="1"/>
  <c r="I657" i="2"/>
  <c r="M657" i="2" s="1"/>
  <c r="I836" i="2"/>
  <c r="M836" i="2" s="1"/>
  <c r="I652" i="2"/>
  <c r="M652" i="2" s="1"/>
  <c r="I873" i="2"/>
  <c r="M873" i="2" s="1"/>
  <c r="I711" i="2"/>
  <c r="M711" i="2" s="1"/>
  <c r="I859" i="2"/>
  <c r="M859" i="2" s="1"/>
  <c r="I864" i="2"/>
  <c r="M864" i="2" s="1"/>
  <c r="I353" i="2"/>
  <c r="M353" i="2" s="1"/>
  <c r="I605" i="2"/>
  <c r="M605" i="2" s="1"/>
  <c r="I89" i="2"/>
  <c r="M89" i="2" s="1"/>
  <c r="I108" i="2"/>
  <c r="M108" i="2" s="1"/>
  <c r="I154" i="2"/>
  <c r="M154" i="2" s="1"/>
  <c r="I192" i="2"/>
  <c r="M192" i="2" s="1"/>
  <c r="I220" i="2"/>
  <c r="M220" i="2" s="1"/>
  <c r="I655" i="2"/>
  <c r="M655" i="2" s="1"/>
  <c r="I369" i="2"/>
  <c r="M369" i="2" s="1"/>
  <c r="I501" i="2"/>
  <c r="M501" i="2" s="1"/>
  <c r="I87" i="2"/>
  <c r="M87" i="2" s="1"/>
  <c r="I57" i="2"/>
  <c r="M57" i="2" s="1"/>
  <c r="I656" i="2"/>
  <c r="M656" i="2" s="1"/>
  <c r="I496" i="2"/>
  <c r="M496" i="2" s="1"/>
  <c r="I84" i="2"/>
  <c r="M84" i="2" s="1"/>
  <c r="I279" i="2"/>
  <c r="M279" i="2" s="1"/>
  <c r="I852" i="2"/>
  <c r="M852" i="2" s="1"/>
  <c r="I265" i="2"/>
  <c r="M265" i="2" s="1"/>
  <c r="I666" i="2"/>
  <c r="M666" i="2" s="1"/>
  <c r="I635" i="2"/>
  <c r="M635" i="2" s="1"/>
  <c r="I308" i="2"/>
  <c r="M308" i="2" s="1"/>
  <c r="I898" i="2"/>
  <c r="M898" i="2" s="1"/>
  <c r="I304" i="2"/>
  <c r="M304" i="2" s="1"/>
  <c r="I737" i="2"/>
  <c r="M737" i="2" s="1"/>
  <c r="I576" i="2"/>
  <c r="M576" i="2" s="1"/>
  <c r="I123" i="2"/>
  <c r="M123" i="2" s="1"/>
  <c r="I173" i="2"/>
  <c r="M173" i="2" s="1"/>
  <c r="I221" i="2"/>
  <c r="M221" i="2" s="1"/>
  <c r="I469" i="2"/>
  <c r="M469" i="2" s="1"/>
  <c r="I906" i="2"/>
  <c r="M906" i="2" s="1"/>
  <c r="I560" i="2"/>
  <c r="M560" i="2" s="1"/>
  <c r="I938" i="2"/>
  <c r="M938" i="2" s="1"/>
  <c r="I709" i="2"/>
  <c r="M709" i="2" s="1"/>
  <c r="I949" i="2"/>
  <c r="M949" i="2" s="1"/>
  <c r="I942" i="2"/>
  <c r="M942" i="2" s="1"/>
  <c r="I919" i="2"/>
  <c r="M919" i="2" s="1"/>
  <c r="I924" i="2"/>
  <c r="M924" i="2" s="1"/>
  <c r="I788" i="2"/>
  <c r="M788" i="2" s="1"/>
  <c r="I953" i="2"/>
  <c r="M953" i="2" s="1"/>
  <c r="I142" i="2"/>
  <c r="M142" i="2" s="1"/>
  <c r="I458" i="2"/>
  <c r="M458" i="2" s="1"/>
  <c r="I392" i="2"/>
  <c r="M392" i="2" s="1"/>
  <c r="I335" i="2"/>
  <c r="M335" i="2" s="1"/>
  <c r="I327" i="2"/>
  <c r="M327" i="2" s="1"/>
  <c r="I178" i="2"/>
  <c r="M178" i="2" s="1"/>
  <c r="I803" i="2"/>
  <c r="M803" i="2" s="1"/>
  <c r="I66" i="2"/>
  <c r="M66" i="2" s="1"/>
  <c r="I307" i="2"/>
  <c r="M307" i="2" s="1"/>
  <c r="I413" i="2"/>
  <c r="M413" i="2" s="1"/>
  <c r="I212" i="2"/>
  <c r="M212" i="2" s="1"/>
  <c r="I366" i="2"/>
  <c r="M366" i="2" s="1"/>
  <c r="I892" i="2"/>
  <c r="M892" i="2" s="1"/>
  <c r="I404" i="2"/>
  <c r="M404" i="2" s="1"/>
  <c r="I112" i="2"/>
  <c r="M112" i="2" s="1"/>
  <c r="I442" i="2"/>
  <c r="M442" i="2" s="1"/>
  <c r="I453" i="2"/>
  <c r="M453" i="2" s="1"/>
  <c r="I747" i="2"/>
  <c r="M747" i="2" s="1"/>
  <c r="I742" i="2"/>
  <c r="M742" i="2" s="1"/>
  <c r="I268" i="2"/>
  <c r="M268" i="2" s="1"/>
  <c r="I620" i="2"/>
  <c r="M620" i="2" s="1"/>
  <c r="I493" i="2"/>
  <c r="M493" i="2" s="1"/>
  <c r="I144" i="2"/>
  <c r="M144" i="2" s="1"/>
  <c r="I459" i="2"/>
  <c r="M459" i="2" s="1"/>
  <c r="I157" i="2"/>
  <c r="M157" i="2" s="1"/>
  <c r="I205" i="2"/>
  <c r="M205" i="2" s="1"/>
  <c r="I619" i="2"/>
  <c r="M619" i="2" s="1"/>
  <c r="I546" i="2"/>
  <c r="M546" i="2" s="1"/>
  <c r="I396" i="2"/>
  <c r="M396" i="2" s="1"/>
  <c r="I887" i="2"/>
  <c r="M887" i="2" s="1"/>
  <c r="I617" i="2"/>
  <c r="M617" i="2" s="1"/>
  <c r="I920" i="2"/>
  <c r="M920" i="2" s="1"/>
  <c r="I821" i="2"/>
  <c r="M821" i="2" s="1"/>
  <c r="I684" i="2"/>
  <c r="M684" i="2" s="1"/>
  <c r="I668" i="2"/>
  <c r="M668" i="2" s="1"/>
  <c r="I948" i="2"/>
  <c r="M948" i="2" s="1"/>
  <c r="I152" i="2"/>
  <c r="M152" i="2" s="1"/>
  <c r="I76" i="2"/>
  <c r="M76" i="2" s="1"/>
  <c r="I318" i="2"/>
  <c r="M318" i="2" s="1"/>
  <c r="I523" i="2"/>
  <c r="M523" i="2" s="1"/>
  <c r="I61" i="2"/>
  <c r="M61" i="2" s="1"/>
  <c r="I796" i="2"/>
  <c r="M796" i="2" s="1"/>
  <c r="I140" i="2"/>
  <c r="M140" i="2" s="1"/>
  <c r="I278" i="2"/>
  <c r="M278" i="2" s="1"/>
  <c r="I95" i="2"/>
  <c r="M95" i="2" s="1"/>
  <c r="I90" i="2"/>
  <c r="M90" i="2" s="1"/>
  <c r="I56" i="2"/>
  <c r="M56" i="2" s="1"/>
  <c r="I484" i="2"/>
  <c r="M484" i="2" s="1"/>
  <c r="I361" i="2"/>
  <c r="M361" i="2" s="1"/>
  <c r="I381" i="2"/>
  <c r="M381" i="2" s="1"/>
  <c r="I96" i="2"/>
  <c r="M96" i="2" s="1"/>
  <c r="I609" i="2"/>
  <c r="M609" i="2" s="1"/>
  <c r="I281" i="2"/>
  <c r="M281" i="2" s="1"/>
  <c r="I463" i="2"/>
  <c r="M463" i="2" s="1"/>
  <c r="I120" i="2"/>
  <c r="M120" i="2" s="1"/>
  <c r="I914" i="2"/>
  <c r="M914" i="2" s="1"/>
  <c r="I604" i="2"/>
  <c r="M604" i="2" s="1"/>
  <c r="I482" i="2"/>
  <c r="M482" i="2" s="1"/>
  <c r="I168" i="2"/>
  <c r="M168" i="2" s="1"/>
  <c r="I572" i="2"/>
  <c r="M572" i="2" s="1"/>
  <c r="I630" i="2"/>
  <c r="M630" i="2" s="1"/>
  <c r="I502" i="2"/>
  <c r="M502" i="2" s="1"/>
  <c r="I426" i="2"/>
  <c r="M426" i="2" s="1"/>
  <c r="I943" i="2"/>
  <c r="M943" i="2" s="1"/>
  <c r="I598" i="2"/>
  <c r="M598" i="2" s="1"/>
  <c r="I113" i="2"/>
  <c r="M113" i="2" s="1"/>
  <c r="I153" i="2"/>
  <c r="M153" i="2" s="1"/>
  <c r="I193" i="2"/>
  <c r="M193" i="2" s="1"/>
  <c r="I513" i="2"/>
  <c r="M513" i="2" s="1"/>
  <c r="I676" i="2"/>
  <c r="M676" i="2" s="1"/>
  <c r="I582" i="2"/>
  <c r="M582" i="2" s="1"/>
  <c r="I639" i="2"/>
  <c r="M639" i="2" s="1"/>
  <c r="I703" i="2"/>
  <c r="M703" i="2" s="1"/>
  <c r="I756" i="2"/>
  <c r="M756" i="2" s="1"/>
  <c r="I794" i="2"/>
  <c r="M794" i="2" s="1"/>
  <c r="I755" i="2"/>
  <c r="M755" i="2" s="1"/>
  <c r="I783" i="2"/>
  <c r="M783" i="2" s="1"/>
  <c r="I813" i="2"/>
  <c r="M813" i="2" s="1"/>
  <c r="I649" i="2"/>
  <c r="M649" i="2" s="1"/>
  <c r="I913" i="2"/>
  <c r="M913" i="2" s="1"/>
  <c r="I848" i="2"/>
  <c r="M848" i="2" s="1"/>
  <c r="I63" i="2"/>
  <c r="M63" i="2" s="1"/>
  <c r="I107" i="2"/>
  <c r="M107" i="2" s="1"/>
  <c r="I134" i="2"/>
  <c r="M134" i="2" s="1"/>
  <c r="I65" i="2"/>
  <c r="M65" i="2" s="1"/>
  <c r="I138" i="2"/>
  <c r="M138" i="2" s="1"/>
  <c r="I97" i="2"/>
  <c r="M97" i="2" s="1"/>
  <c r="I445" i="2"/>
  <c r="M445" i="2" s="1"/>
  <c r="I222" i="2"/>
  <c r="M222" i="2" s="1"/>
  <c r="I315" i="2"/>
  <c r="M315" i="2" s="1"/>
  <c r="I172" i="2"/>
  <c r="M172" i="2" s="1"/>
  <c r="I485" i="2"/>
  <c r="M485" i="2" s="1"/>
  <c r="I210" i="2"/>
  <c r="M210" i="2" s="1"/>
  <c r="I643" i="2"/>
  <c r="M643" i="2" s="1"/>
  <c r="I398" i="2"/>
  <c r="M398" i="2" s="1"/>
  <c r="I814" i="2"/>
  <c r="M814" i="2" s="1"/>
  <c r="I647" i="2"/>
  <c r="M647" i="2" s="1"/>
  <c r="I675" i="2"/>
  <c r="M675" i="2" s="1"/>
  <c r="I545" i="2"/>
  <c r="M545" i="2" s="1"/>
  <c r="I805" i="2"/>
  <c r="M805" i="2" s="1"/>
  <c r="I629" i="2"/>
  <c r="M629" i="2" s="1"/>
  <c r="I506" i="2"/>
  <c r="M506" i="2" s="1"/>
  <c r="I768" i="2"/>
  <c r="M768" i="2" s="1"/>
  <c r="I554" i="2"/>
  <c r="M554" i="2" s="1"/>
  <c r="I486" i="2"/>
  <c r="M486" i="2" s="1"/>
  <c r="I293" i="2"/>
  <c r="M293" i="2" s="1"/>
  <c r="I705" i="2"/>
  <c r="M705" i="2" s="1"/>
  <c r="I262" i="2"/>
  <c r="M262" i="2" s="1"/>
  <c r="I623" i="2"/>
  <c r="M623" i="2" s="1"/>
  <c r="I119" i="2"/>
  <c r="M119" i="2" s="1"/>
  <c r="I159" i="2"/>
  <c r="M159" i="2" s="1"/>
  <c r="I199" i="2"/>
  <c r="M199" i="2" s="1"/>
  <c r="I303" i="2"/>
  <c r="M303" i="2" s="1"/>
  <c r="I559" i="2"/>
  <c r="M559" i="2" s="1"/>
  <c r="I996" i="2"/>
  <c r="M996" i="2" s="1"/>
  <c r="I410" i="2"/>
  <c r="M410" i="2" s="1"/>
  <c r="I764" i="2"/>
  <c r="M764" i="2" s="1"/>
  <c r="I667" i="2"/>
  <c r="M667" i="2" s="1"/>
  <c r="I870" i="2"/>
  <c r="M870" i="2" s="1"/>
  <c r="I590" i="2"/>
  <c r="M590" i="2" s="1"/>
  <c r="I808" i="2"/>
  <c r="M808" i="2" s="1"/>
  <c r="I841" i="2"/>
  <c r="M841" i="2" s="1"/>
  <c r="I608" i="2"/>
  <c r="M608" i="2" s="1"/>
  <c r="I843" i="2"/>
  <c r="M843" i="2" s="1"/>
  <c r="I606" i="2"/>
  <c r="M606" i="2" s="1"/>
  <c r="I732" i="2"/>
  <c r="M732" i="2" s="1"/>
  <c r="I770" i="2"/>
  <c r="M770" i="2" s="1"/>
  <c r="I987" i="2"/>
  <c r="M987" i="2" s="1"/>
  <c r="I879" i="2"/>
  <c r="M879" i="2" s="1"/>
  <c r="I208" i="2"/>
  <c r="M208" i="2" s="1"/>
  <c r="I346" i="2"/>
  <c r="M346" i="2" s="1"/>
  <c r="I826" i="2"/>
  <c r="M826" i="2" s="1"/>
  <c r="I391" i="2"/>
  <c r="M391" i="2" s="1"/>
  <c r="I738" i="2"/>
  <c r="M738" i="2" s="1"/>
  <c r="I266" i="2"/>
  <c r="M266" i="2" s="1"/>
  <c r="I777" i="2"/>
  <c r="M777" i="2" s="1"/>
  <c r="I198" i="2"/>
  <c r="M198" i="2" s="1"/>
  <c r="I505" i="2"/>
  <c r="M505" i="2" s="1"/>
  <c r="I399" i="2"/>
  <c r="M399" i="2" s="1"/>
  <c r="I934" i="2"/>
  <c r="M934" i="2" s="1"/>
  <c r="I350" i="2"/>
  <c r="M350" i="2" s="1"/>
  <c r="I51" i="2"/>
  <c r="M51" i="2" s="1"/>
  <c r="I245" i="2"/>
  <c r="M245" i="2" s="1"/>
  <c r="I757" i="2"/>
  <c r="M757" i="2" s="1"/>
  <c r="I558" i="2"/>
  <c r="M558" i="2" s="1"/>
  <c r="I801" i="2"/>
  <c r="M801" i="2" s="1"/>
  <c r="I839" i="2"/>
  <c r="M839" i="2" s="1"/>
  <c r="I642" i="2"/>
  <c r="M642" i="2" s="1"/>
  <c r="I592" i="2"/>
  <c r="M592" i="2" s="1"/>
  <c r="I360" i="2"/>
  <c r="M360" i="2" s="1"/>
  <c r="I129" i="2"/>
  <c r="M129" i="2" s="1"/>
  <c r="I169" i="2"/>
  <c r="M169" i="2" s="1"/>
  <c r="I209" i="2"/>
  <c r="M209" i="2" s="1"/>
  <c r="I678" i="2"/>
  <c r="M678" i="2" s="1"/>
  <c r="I251" i="2"/>
  <c r="M251" i="2" s="1"/>
  <c r="I474" i="2"/>
  <c r="M474" i="2" s="1"/>
  <c r="I883" i="2"/>
  <c r="M883" i="2" s="1"/>
  <c r="I735" i="2"/>
  <c r="M735" i="2" s="1"/>
  <c r="I495" i="2"/>
  <c r="M495" i="2" s="1"/>
  <c r="I832" i="2"/>
  <c r="M832" i="2" s="1"/>
  <c r="I885" i="2"/>
  <c r="M885" i="2" s="1"/>
  <c r="I662" i="2"/>
  <c r="M662" i="2" s="1"/>
  <c r="I822" i="2"/>
  <c r="M822" i="2" s="1"/>
  <c r="I661" i="2"/>
  <c r="M661" i="2" s="1"/>
  <c r="I729" i="2"/>
  <c r="M729" i="2" s="1"/>
  <c r="I928" i="2"/>
  <c r="M928" i="2" s="1"/>
  <c r="I904" i="2"/>
  <c r="M904" i="2" s="1"/>
  <c r="I146" i="2"/>
  <c r="M146" i="2" s="1"/>
  <c r="L21" i="6"/>
  <c r="L22" i="6" s="1"/>
  <c r="C20" i="6"/>
  <c r="C21" i="6" s="1"/>
  <c r="C22" i="6" l="1"/>
  <c r="C23" i="6"/>
  <c r="D20" i="6"/>
  <c r="D21" i="6" s="1"/>
  <c r="D22" i="6" s="1"/>
  <c r="D23" i="6" l="1"/>
  <c r="G23" i="6" s="1"/>
  <c r="H23" i="6" s="1"/>
  <c r="I23" i="6" s="1"/>
  <c r="J23" i="6" s="1"/>
  <c r="K23" i="6" s="1"/>
  <c r="L23" i="6" s="1"/>
  <c r="M23" i="6" s="1"/>
  <c r="N23" i="6" s="1"/>
</calcChain>
</file>

<file path=xl/sharedStrings.xml><?xml version="1.0" encoding="utf-8"?>
<sst xmlns="http://schemas.openxmlformats.org/spreadsheetml/2006/main" count="739" uniqueCount="347">
  <si>
    <t>วันที่</t>
  </si>
  <si>
    <t>ชื่อสินค้า</t>
  </si>
  <si>
    <t>ราคา</t>
  </si>
  <si>
    <t>หน่วยนับ</t>
  </si>
  <si>
    <t>จำนวนที่ซื้อ</t>
  </si>
  <si>
    <t>ต้นทุนอื่นๆ</t>
  </si>
  <si>
    <t>มูลค่ารวม</t>
  </si>
  <si>
    <t>เลข Lot</t>
  </si>
  <si>
    <t>จำนวนสินค้าคงเหลือ</t>
  </si>
  <si>
    <t>ต้นทุนเฉลี่ยสินค้าต่อชิ้น</t>
  </si>
  <si>
    <t>ยอดขายเฉลี่ยต่อชิ้น</t>
  </si>
  <si>
    <t>มูลค่าสินค้าคงเหลือ</t>
  </si>
  <si>
    <t>Herschel Supply กระเป๋าสะพายหลัง รุ่น LITTLE</t>
  </si>
  <si>
    <t>จำนวนที่ขาย</t>
  </si>
  <si>
    <t>Lot ที่ขายสินค้า</t>
  </si>
  <si>
    <t>สินค้าที่เหลือใน Lot</t>
  </si>
  <si>
    <t>ต้นทุนต่อชิ้น</t>
  </si>
  <si>
    <t>กำไรขั้นต้นรวม</t>
  </si>
  <si>
    <t>กำไรขั้นต้นต่อชิ้น</t>
  </si>
  <si>
    <t>% กำไรขั้นต้น</t>
  </si>
  <si>
    <t>ต้นทุนรวม</t>
  </si>
  <si>
    <t>ราคาซื้อ</t>
  </si>
  <si>
    <t>ราคาขาย</t>
  </si>
  <si>
    <t>ตัว</t>
  </si>
  <si>
    <t>จำนวนคงเหลือ</t>
  </si>
  <si>
    <t>มูลค่าสินค้าคงเหลือเฉลี่ยต่อชิ้น</t>
  </si>
  <si>
    <t>📦 เลือกสินค้า</t>
  </si>
  <si>
    <t>⬇️ มูลค่าซื้อรวม</t>
  </si>
  <si>
    <t>⬇️ จำนวนซื้อรวม</t>
  </si>
  <si>
    <t>⬆️ มูลค่าขายรวม</t>
  </si>
  <si>
    <t>⬆️ จำนวนขายรวม</t>
  </si>
  <si>
    <t>รายการซื้อสินค้า</t>
  </si>
  <si>
    <t>รายงานขายสินค้า</t>
  </si>
  <si>
    <t>ราคาที่ซื้อ</t>
  </si>
  <si>
    <t>มูลค่ารวมซื้อ</t>
  </si>
  <si>
    <t>สินค้าลงเหลือใน lot</t>
  </si>
  <si>
    <t>อัตรากำไรขั้นต้น %</t>
  </si>
  <si>
    <t>มูลค่ารวมขาย</t>
  </si>
  <si>
    <t>ต้นทุนสินค้าต่อชิ้น</t>
  </si>
  <si>
    <t>อัตรากำไรขั้นต้น</t>
  </si>
  <si>
    <t>เลือกปี</t>
  </si>
  <si>
    <t>เดือน</t>
  </si>
  <si>
    <t>ยอดขายรวม</t>
  </si>
  <si>
    <t>กำไรขั้นต้น</t>
  </si>
  <si>
    <t>%กำไรขั้นต้น</t>
  </si>
  <si>
    <t>กำไรขั้นต้นสะสม</t>
  </si>
  <si>
    <t xml:space="preserve">  </t>
  </si>
  <si>
    <t>ประเภท</t>
  </si>
  <si>
    <t>หมวด/ชนิด</t>
  </si>
  <si>
    <t>แบรนด์</t>
  </si>
  <si>
    <t>Piano</t>
  </si>
  <si>
    <t>Violin</t>
  </si>
  <si>
    <t>Viola</t>
  </si>
  <si>
    <t>DB-Bass</t>
  </si>
  <si>
    <t>Ukulele</t>
  </si>
  <si>
    <t>Bass</t>
  </si>
  <si>
    <t>Guitar</t>
  </si>
  <si>
    <t>Drum</t>
  </si>
  <si>
    <t>Woodwind</t>
  </si>
  <si>
    <t>Brass</t>
  </si>
  <si>
    <t>Percussion</t>
  </si>
  <si>
    <t>Recorder</t>
  </si>
  <si>
    <t>Melodica</t>
  </si>
  <si>
    <t>Digital Piano</t>
  </si>
  <si>
    <t>Digital Piano DP-135 RW</t>
  </si>
  <si>
    <t xml:space="preserve">Custom </t>
  </si>
  <si>
    <t>Double Bass</t>
  </si>
  <si>
    <t>Model MTDB-1</t>
  </si>
  <si>
    <t>Electric Bass</t>
  </si>
  <si>
    <t>Cecilia</t>
  </si>
  <si>
    <t>Elman</t>
  </si>
  <si>
    <t>EL100</t>
  </si>
  <si>
    <t>Strings  CV240</t>
  </si>
  <si>
    <t>Fender</t>
  </si>
  <si>
    <t xml:space="preserve">Fender American Ultra II </t>
  </si>
  <si>
    <t>Jazz Bass</t>
  </si>
  <si>
    <t>80,00</t>
  </si>
  <si>
    <t>Hampback</t>
  </si>
  <si>
    <t>Electronic Drum</t>
  </si>
  <si>
    <t>Hampback ACE-530</t>
  </si>
  <si>
    <t>Custom</t>
  </si>
  <si>
    <t>Strings CV240</t>
  </si>
  <si>
    <t>Fender American Ultra II</t>
  </si>
  <si>
    <t>Yamaha YRT-304B</t>
  </si>
  <si>
    <t>Yamaha</t>
  </si>
  <si>
    <t>Gibson Les Paul Studio</t>
  </si>
  <si>
    <t>Electric Guitar</t>
  </si>
  <si>
    <t>Gibson</t>
  </si>
  <si>
    <t>Kala KA-15S</t>
  </si>
  <si>
    <t>Standard Ukulele</t>
  </si>
  <si>
    <t>Kala</t>
  </si>
  <si>
    <t>Suzuki Melodion M-32C</t>
  </si>
  <si>
    <t>Suzuki</t>
  </si>
  <si>
    <t>Pearl PCTK-1810</t>
  </si>
  <si>
    <t>Cajon</t>
  </si>
  <si>
    <t>Pearl</t>
  </si>
  <si>
    <t>Buffet Crampon R13</t>
  </si>
  <si>
    <t>Clarinet</t>
  </si>
  <si>
    <t>Buffet</t>
  </si>
  <si>
    <t>Bach Stradivarius 180S37</t>
  </si>
  <si>
    <t>Trumpet</t>
  </si>
  <si>
    <t>Bach</t>
  </si>
  <si>
    <t>Roland RP102</t>
  </si>
  <si>
    <t>Roland</t>
  </si>
  <si>
    <t>Stentor Student II</t>
  </si>
  <si>
    <t>Stentor</t>
  </si>
  <si>
    <t>Fender Jazz Bass Pro</t>
  </si>
  <si>
    <t>Yamaha Stage Custom</t>
  </si>
  <si>
    <t>Acoustic Drum</t>
  </si>
  <si>
    <t>Aulos 205A Robin</t>
  </si>
  <si>
    <t>Aulos</t>
  </si>
  <si>
    <t>Ibanez RG550</t>
  </si>
  <si>
    <t>Ibanez</t>
  </si>
  <si>
    <t>GE200</t>
  </si>
  <si>
    <t>GE</t>
  </si>
  <si>
    <t>Mahalo Rainbow Soprano</t>
  </si>
  <si>
    <t>Soprano Ukulele</t>
  </si>
  <si>
    <t>Mahalo</t>
  </si>
  <si>
    <t>Yamaha Pianica P-37D</t>
  </si>
  <si>
    <t>Pianica</t>
  </si>
  <si>
    <t>Thompson DB-200</t>
  </si>
  <si>
    <t>Thompson</t>
  </si>
  <si>
    <t>Meinl HCAJ1NT</t>
  </si>
  <si>
    <t>Meinl</t>
  </si>
  <si>
    <t>Yamaha YAS-280</t>
  </si>
  <si>
    <t>Alto Saxophone</t>
  </si>
  <si>
    <t>Conn-Selmer Bach TB200B</t>
  </si>
  <si>
    <t>Trombone</t>
  </si>
  <si>
    <t>Conn-Selmer</t>
  </si>
  <si>
    <t>Casio PX-770</t>
  </si>
  <si>
    <t>Casio</t>
  </si>
  <si>
    <t>Eastman VL80</t>
  </si>
  <si>
    <t>Eastman</t>
  </si>
  <si>
    <t>Warwick Rockbass Streamer</t>
  </si>
  <si>
    <t>Warwick</t>
  </si>
  <si>
    <t>Tama Imperialstar</t>
  </si>
  <si>
    <t>Tama</t>
  </si>
  <si>
    <t>Yamaha YRS-23</t>
  </si>
  <si>
    <t>PRS SE Custom 24</t>
  </si>
  <si>
    <t>PRS</t>
  </si>
  <si>
    <t>Karl Hofner Viola H5</t>
  </si>
  <si>
    <t>Hofner</t>
  </si>
  <si>
    <t>Lanikai LU-21</t>
  </si>
  <si>
    <t>Concert Ukulele</t>
  </si>
  <si>
    <t>Lanikai</t>
  </si>
  <si>
    <t>Hohner Student 32</t>
  </si>
  <si>
    <t>Hohner</t>
  </si>
  <si>
    <t>Cremona SB-2</t>
  </si>
  <si>
    <t>Cremona</t>
  </si>
  <si>
    <t>Latin Percussion Aspire</t>
  </si>
  <si>
    <t>Conga</t>
  </si>
  <si>
    <t>LP</t>
  </si>
  <si>
    <t>Selmer Paris Reference 54</t>
  </si>
  <si>
    <t>Selmer</t>
  </si>
  <si>
    <t>Yamaha YTR-2330</t>
  </si>
  <si>
    <t>Kawai KDP110</t>
  </si>
  <si>
    <t>Kawai</t>
  </si>
  <si>
    <t>Gliga Gems 2</t>
  </si>
  <si>
    <t>Gliga</t>
  </si>
  <si>
    <t>Fender Precision Bass</t>
  </si>
  <si>
    <t>Gretsch Catalina Maple</t>
  </si>
  <si>
    <t>Gretsch</t>
  </si>
  <si>
    <t>Mollenhauer 1042</t>
  </si>
  <si>
    <t>Mollenhauer</t>
  </si>
  <si>
    <t>Epiphone SG Standard</t>
  </si>
  <si>
    <t>Epiphone</t>
  </si>
  <si>
    <t>Primavera 150 Viola</t>
  </si>
  <si>
    <t>Primavera</t>
  </si>
  <si>
    <t>Cordoba 15CM</t>
  </si>
  <si>
    <t>Cordoba</t>
  </si>
  <si>
    <t>Suzuki Andes 25F</t>
  </si>
  <si>
    <t>Palatino DB-750</t>
  </si>
  <si>
    <t>Palatino</t>
  </si>
  <si>
    <t>Pearl Roadshow</t>
  </si>
  <si>
    <t>Drum Set</t>
  </si>
  <si>
    <t>Yamaha YCL-255</t>
  </si>
  <si>
    <t>Yamaha P-45 Digital Piano</t>
  </si>
  <si>
    <t>Fender Player Stratocaster Electric Guitar</t>
  </si>
  <si>
    <t>Pearl Export Drum Set EXX725SP</t>
  </si>
  <si>
    <t>ชุด</t>
  </si>
  <si>
    <t>Roland GO:KEYS 61 Digital Keyboard</t>
  </si>
  <si>
    <t>Suzuki M-37C Melodica</t>
  </si>
  <si>
    <t>Yamaha YFL-222 Flute</t>
  </si>
  <si>
    <t>Ibanez GSR200 Bass Guitar</t>
  </si>
  <si>
    <t>Hohner Special 20 Harmonica</t>
  </si>
  <si>
    <t>1-Yamaha P-45 Digital Piano</t>
  </si>
  <si>
    <t>2-Fender Player Stratocaster Electric Guitar</t>
  </si>
  <si>
    <t>3-Pearl Export Drum Set EXX725SP</t>
  </si>
  <si>
    <t>4-Roland GO:KEYS 61 Digital Keyboard</t>
  </si>
  <si>
    <t>5-Suzuki M-37C Melodica</t>
  </si>
  <si>
    <t>6-Yamaha YFL-222 Flute</t>
  </si>
  <si>
    <t>7-Ibanez GSR200 Bass Guitar</t>
  </si>
  <si>
    <t>8-Hohner Special 20 Harmonica</t>
  </si>
  <si>
    <t>Buffet Crampon R13 Clarinet</t>
  </si>
  <si>
    <t>9-Buffet Crampon R13 Clarinet</t>
  </si>
  <si>
    <t>Bach Stradivarius 180S37 Trumpet</t>
  </si>
  <si>
    <t>10-Bach Stradivarius 180S37 Trumpet</t>
  </si>
  <si>
    <t>Roland RP102 Digital Piano</t>
  </si>
  <si>
    <t>11-Roland RP102 Digital Piano</t>
  </si>
  <si>
    <t>Stentor Student II Violin</t>
  </si>
  <si>
    <t>12-Stentor Student II Violin</t>
  </si>
  <si>
    <t>13-Fender Jazz Bass Pro</t>
  </si>
  <si>
    <t>Yamaha Stage Custom Drum Set</t>
  </si>
  <si>
    <t>14-Yamaha Stage Custom Drum Set</t>
  </si>
  <si>
    <t>Aulos 205A Robin Recorder</t>
  </si>
  <si>
    <t>15-Aulos 205A Robin Recorder</t>
  </si>
  <si>
    <t>Ibanez RG550 Electric Guitar</t>
  </si>
  <si>
    <t>16-Ibanez RG550 Electric Guitar</t>
  </si>
  <si>
    <t>GE200 Viola</t>
  </si>
  <si>
    <t>17-GE200 Viola</t>
  </si>
  <si>
    <t>Mahalo Rainbow Soprano Ukulele</t>
  </si>
  <si>
    <t>18-Mahalo Rainbow Soprano Ukulele</t>
  </si>
  <si>
    <t>19-Yamaha Pianica P-37D</t>
  </si>
  <si>
    <t>Thompson DB-200 Double Bass</t>
  </si>
  <si>
    <t>20-Thompson DB-200 Double Bass</t>
  </si>
  <si>
    <t>Meinl HCAJ1NT Cajon</t>
  </si>
  <si>
    <t>21-Meinl HCAJ1NT Cajon</t>
  </si>
  <si>
    <t>Yamaha YAS-280 Alto Saxophone</t>
  </si>
  <si>
    <t>22-Yamaha YAS-280 Alto Saxophone</t>
  </si>
  <si>
    <t>Conn-Selmer Bach TB200B Trombone</t>
  </si>
  <si>
    <t>23-Conn-Selmer Bach TB200B Trombone</t>
  </si>
  <si>
    <t>Casio PX-770 Digital Piano</t>
  </si>
  <si>
    <t>24-Casio PX-770 Digital Piano</t>
  </si>
  <si>
    <t>Eastman VL80 Violin</t>
  </si>
  <si>
    <t>25-Eastman VL80 Violin</t>
  </si>
  <si>
    <t>26-Warwick Rockbass Streamer</t>
  </si>
  <si>
    <t>Tama Imperialstar Drum Set</t>
  </si>
  <si>
    <t>27-Tama Imperialstar Drum Set</t>
  </si>
  <si>
    <t>Yamaha YRS-23 Recorder</t>
  </si>
  <si>
    <t>28-Yamaha YRS-23 Recorder</t>
  </si>
  <si>
    <t>PRS SE Custom 24 Electric Guitar</t>
  </si>
  <si>
    <t>29-PRS SE Custom 24 Electric Guitar</t>
  </si>
  <si>
    <t>30-Karl Hofner Viola H5</t>
  </si>
  <si>
    <t>Lanikai LU-21 Ukulele</t>
  </si>
  <si>
    <t>31-Lanikai LU-21 Ukulele</t>
  </si>
  <si>
    <t>Hohner Student 32 Melodica</t>
  </si>
  <si>
    <t>32-Hohner Student 32 Melodica</t>
  </si>
  <si>
    <t>Cremona SB-2 Double Bass</t>
  </si>
  <si>
    <t>33-Cremona SB-2 Double Bass</t>
  </si>
  <si>
    <t>Latin Percussion Aspire Conga</t>
  </si>
  <si>
    <t>34-Latin Percussion Aspire Conga</t>
  </si>
  <si>
    <t>Selmer Paris Reference 54 Alto Saxophone</t>
  </si>
  <si>
    <t>35-Selmer Paris Reference 54 Alto Saxophone</t>
  </si>
  <si>
    <t>Yamaha YTR-2330 Trumpet</t>
  </si>
  <si>
    <t>36-Yamaha YTR-2330 Trumpet</t>
  </si>
  <si>
    <t>Kawai KDP110 Digital Piano</t>
  </si>
  <si>
    <t>37-Kawai KDP110 Digital Piano</t>
  </si>
  <si>
    <t>Gliga Gems 2 Violin</t>
  </si>
  <si>
    <t>38-Gliga Gems 2 Violin</t>
  </si>
  <si>
    <t>39-Fender Precision Bass</t>
  </si>
  <si>
    <t>Gretsch Catalina Maple Drum Set</t>
  </si>
  <si>
    <t>40-Gretsch Catalina Maple Drum Set</t>
  </si>
  <si>
    <t>Mollenhauer 1042 Recorder</t>
  </si>
  <si>
    <t>41-Mollenhauer 1042 Recorder</t>
  </si>
  <si>
    <t>42-Epiphone SG Standard</t>
  </si>
  <si>
    <t>43-Primavera 150 Viola</t>
  </si>
  <si>
    <t>Cordoba 15CM Ukulele</t>
  </si>
  <si>
    <t>44-Cordoba 15CM Ukulele</t>
  </si>
  <si>
    <t>Suzuki Andes 25F Melodica</t>
  </si>
  <si>
    <t>45-Suzuki Andes 25F Melodica</t>
  </si>
  <si>
    <t>อัตรากำไร % เฉลี่ยต่อชิ้นต่อ lot</t>
  </si>
  <si>
    <t>Kala KA-15S Ukulele</t>
  </si>
  <si>
    <t>Korg B2 Digital Piano</t>
  </si>
  <si>
    <t>Yamaha C40 Classical Guitar</t>
  </si>
  <si>
    <t>Fender Squier Bullet Stratocaster</t>
  </si>
  <si>
    <t>Roland TD-1K V-Drums Kit</t>
  </si>
  <si>
    <t>Yamaha PSR-E373 Keyboard</t>
  </si>
  <si>
    <t>Casio CT-S300 Keyboard</t>
  </si>
  <si>
    <t>Korg microKEY2-37</t>
  </si>
  <si>
    <t>Yamaha F310 Acoustic Guitar</t>
  </si>
  <si>
    <t>Schecter C-1 Electric Guitar</t>
  </si>
  <si>
    <t>Pearl Roadshow Drum Set</t>
  </si>
  <si>
    <t>Fender Jazz Bass Guitar</t>
  </si>
  <si>
    <t>Casio WK-245 Keyboard</t>
  </si>
  <si>
    <t>Korg Volca Keys Synthesizer</t>
  </si>
  <si>
    <t>Yamaha PSS-F30 Mini Keyboard</t>
  </si>
  <si>
    <t>Gibson Les Paul Studio Guitar</t>
  </si>
  <si>
    <t>Yamaha YAS-280 Saxophone</t>
  </si>
  <si>
    <t>Casio LK-S250 Keyboard</t>
  </si>
  <si>
    <t>Fender Mustang Micro Guitar Amp</t>
  </si>
  <si>
    <t>Yamaha NP-32 Digital Piano</t>
  </si>
  <si>
    <t>Ibanez Artcore AS73 Semi Acoustic Guitar</t>
  </si>
  <si>
    <t>Roland GO:PIANO 88</t>
  </si>
  <si>
    <t>Yamaha YCL-255 Clarinet</t>
  </si>
  <si>
    <t>Fender American Professional II Strat</t>
  </si>
  <si>
    <t>Pearl Forum Series Drum Set</t>
  </si>
  <si>
    <t>Korg Monologue Synthesizer</t>
  </si>
  <si>
    <t>Yamaha YTR-1335 Trumpet</t>
  </si>
  <si>
    <t>Fender Player Telecaster</t>
  </si>
  <si>
    <t>Casio PX-160 Digital Piano</t>
  </si>
  <si>
    <t>Yamaha P-125 Digital Piano</t>
  </si>
  <si>
    <t>Fender Squier Affinity Strat</t>
  </si>
  <si>
    <t>Korg microKORG Synthesizer</t>
  </si>
  <si>
    <t>Fender American Ultra Stratocaster</t>
  </si>
  <si>
    <t>Pearl Export EXX725SP Drum Set</t>
  </si>
  <si>
    <t>Ibanez Artcore AS53 Semi Acoustic Guitar</t>
  </si>
  <si>
    <t>1-Yamaha P-45</t>
  </si>
  <si>
    <t>2-Fender Strat</t>
  </si>
  <si>
    <t>3-Pearl Drum</t>
  </si>
  <si>
    <t>4-Roland GO</t>
  </si>
  <si>
    <t>5-Suzuki M-37C</t>
  </si>
  <si>
    <t>6-Yamaha Flute</t>
  </si>
  <si>
    <t>7-Ibanez Bass</t>
  </si>
  <si>
    <t>8-Hohner Harmonica</t>
  </si>
  <si>
    <t>9-Yamaha P-45</t>
  </si>
  <si>
    <t>10-Fender Strat</t>
  </si>
  <si>
    <t>11-Pearl Drum</t>
  </si>
  <si>
    <t>12-Roland GO</t>
  </si>
  <si>
    <t>13-Suzuki M-37C</t>
  </si>
  <si>
    <t>14-Yamaha Flute</t>
  </si>
  <si>
    <t>15-Ibanez Bass</t>
  </si>
  <si>
    <t>16-Hohner Harmonica</t>
  </si>
  <si>
    <t>17-Yamaha P-45</t>
  </si>
  <si>
    <t>18-Fender Strat</t>
  </si>
  <si>
    <t>19-Pearl Drum</t>
  </si>
  <si>
    <t>20-Roland GO</t>
  </si>
  <si>
    <t>21-Suzuki M-37C</t>
  </si>
  <si>
    <t>22-Yamaha Flute</t>
  </si>
  <si>
    <t>23-Ibanez Bass</t>
  </si>
  <si>
    <t>24-Hohner Harmonica</t>
  </si>
  <si>
    <t>25-Yamaha P-45</t>
  </si>
  <si>
    <t>26-Fender Strat</t>
  </si>
  <si>
    <t>27-Pearl Drum</t>
  </si>
  <si>
    <t>28-Roland GO</t>
  </si>
  <si>
    <t>29-Suzuki M-37C</t>
  </si>
  <si>
    <t>30-Yamaha Flute</t>
  </si>
  <si>
    <t>31-Ibanez Bass</t>
  </si>
  <si>
    <t>32-Hohner Harmonica</t>
  </si>
  <si>
    <t>33-Yamaha P-45</t>
  </si>
  <si>
    <t>34-Fender Strat</t>
  </si>
  <si>
    <t>35-Pearl Drum</t>
  </si>
  <si>
    <t>36-Roland GO</t>
  </si>
  <si>
    <t>37-Suzuki M-37C</t>
  </si>
  <si>
    <t>38-Yamaha Flute</t>
  </si>
  <si>
    <t>39-Ibanez Bass</t>
  </si>
  <si>
    <t>40-Hohner Harmonica</t>
  </si>
  <si>
    <t>41-Yamaha P-45</t>
  </si>
  <si>
    <t>42-Fender Strat</t>
  </si>
  <si>
    <t>43-Pearl Drum</t>
  </si>
  <si>
    <t>44-Roland GO</t>
  </si>
  <si>
    <t>45-Suzuki M-37C</t>
  </si>
  <si>
    <t>46-Yamaha Flute</t>
  </si>
  <si>
    <t>47-Ibanez Bass</t>
  </si>
  <si>
    <t>48-Hohner Harmonica</t>
  </si>
  <si>
    <t>49-Yamaha P-45</t>
  </si>
  <si>
    <t>50-Fender Strat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</si>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</sst>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d&quot;/&quot;mmm&quot;/&quot;yyyy"/>
    <numFmt numFmtId="165" formatCode="_([$฿-41E]* #,##0.00_);_([$฿-41E]* \(#,##0.00\);_([$฿-41E]* &quot;-&quot;??_);_(@_)"/>
    <numFmt numFmtId="166" formatCode="mmm"/>
  </numFmts>
  <fonts count="13">
    <font>
      <sz val="10"/>
      <color rgb="FF000000"/>
      <name val="Arial"/>
      <scheme val="minor"/>
    </font>
    <font>
      <b/>
      <sz val="10"/>
      <color theme="1"/>
      <name val="Noto Sans Thai"/>
    </font>
    <font>
      <sz val="10"/>
      <color theme="1"/>
      <name val="Noto Sans Thai"/>
    </font>
    <font>
      <sz val="10"/>
      <name val="Arial"/>
    </font>
    <font>
      <sz val="15"/>
      <color rgb="FFFFFFFF"/>
      <name val="Noto Sans Thai"/>
    </font>
    <font>
      <b/>
      <sz val="10"/>
      <color rgb="FFFFFFFF"/>
      <name val="Noto Sans Thai"/>
    </font>
    <font>
      <sz val="10"/>
      <color rgb="FF000000"/>
      <name val="Arial"/>
      <family val="2"/>
      <scheme val="minor"/>
    </font>
    <font>
      <sz val="11"/>
      <color rgb="FF333333"/>
      <name val="Sukhumvit"/>
      <charset val="222"/>
    </font>
    <font>
      <sz val="9"/>
      <color rgb="FF000000"/>
      <name val="Sukhumvit"/>
    </font>
    <font>
      <sz val="10"/>
      <color rgb="FF343434"/>
      <name val="Arial"/>
      <family val="2"/>
      <scheme val="minor"/>
    </font>
    <font>
      <sz val="12"/>
      <color rgb="FF373737"/>
      <name val="Arial"/>
      <family val="2"/>
      <scheme val="minor"/>
    </font>
    <font>
      <sz val="10"/>
      <color rgb="FF373737"/>
      <name val="Arial"/>
      <family val="2"/>
      <scheme val="minor"/>
    </font>
    <font>
      <sz val="11"/>
      <color rgb="FF373737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2" fontId="2" fillId="4" borderId="0" xfId="0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4" fontId="2" fillId="4" borderId="0" xfId="0" applyNumberFormat="1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4" fontId="1" fillId="2" borderId="0" xfId="0" applyNumberFormat="1" applyFont="1" applyFill="1" applyAlignment="1">
      <alignment horizontal="center" wrapText="1"/>
    </xf>
    <xf numFmtId="165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10" fontId="1" fillId="2" borderId="0" xfId="0" applyNumberFormat="1" applyFont="1" applyFill="1" applyAlignment="1">
      <alignment horizontal="center" wrapText="1"/>
    </xf>
    <xf numFmtId="165" fontId="2" fillId="3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left"/>
    </xf>
    <xf numFmtId="165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/>
    <xf numFmtId="0" fontId="2" fillId="2" borderId="0" xfId="0" applyFont="1" applyFill="1" applyAlignment="1">
      <alignment horizontal="center" wrapText="1"/>
    </xf>
    <xf numFmtId="164" fontId="2" fillId="0" borderId="4" xfId="0" applyNumberFormat="1" applyFont="1" applyBorder="1"/>
    <xf numFmtId="165" fontId="2" fillId="0" borderId="4" xfId="0" applyNumberFormat="1" applyFont="1" applyBorder="1"/>
    <xf numFmtId="0" fontId="2" fillId="0" borderId="4" xfId="0" applyFont="1" applyBorder="1"/>
    <xf numFmtId="10" fontId="2" fillId="0" borderId="4" xfId="0" applyNumberFormat="1" applyFont="1" applyBorder="1"/>
    <xf numFmtId="0" fontId="1" fillId="8" borderId="0" xfId="0" applyFont="1" applyFill="1" applyAlignment="1">
      <alignment horizontal="right"/>
    </xf>
    <xf numFmtId="0" fontId="1" fillId="0" borderId="0" xfId="0" applyFont="1"/>
    <xf numFmtId="0" fontId="5" fillId="9" borderId="0" xfId="0" applyFont="1" applyFill="1"/>
    <xf numFmtId="166" fontId="5" fillId="9" borderId="0" xfId="0" applyNumberFormat="1" applyFont="1" applyFill="1" applyAlignment="1">
      <alignment horizontal="center"/>
    </xf>
    <xf numFmtId="0" fontId="2" fillId="2" borderId="0" xfId="0" applyFont="1" applyFill="1"/>
    <xf numFmtId="165" fontId="2" fillId="0" borderId="5" xfId="0" applyNumberFormat="1" applyFont="1" applyBorder="1"/>
    <xf numFmtId="0" fontId="2" fillId="10" borderId="0" xfId="0" applyFont="1" applyFill="1"/>
    <xf numFmtId="0" fontId="2" fillId="3" borderId="0" xfId="0" applyFont="1" applyFill="1"/>
    <xf numFmtId="0" fontId="2" fillId="11" borderId="0" xfId="0" applyFont="1" applyFill="1"/>
    <xf numFmtId="165" fontId="2" fillId="0" borderId="6" xfId="0" applyNumberFormat="1" applyFont="1" applyBorder="1"/>
    <xf numFmtId="0" fontId="2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2" fillId="4" borderId="0" xfId="0" applyNumberFormat="1" applyFont="1" applyFill="1" applyAlignment="1">
      <alignment horizontal="center"/>
    </xf>
    <xf numFmtId="9" fontId="2" fillId="0" borderId="4" xfId="0" applyNumberFormat="1" applyFont="1" applyBorder="1"/>
    <xf numFmtId="15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รายงานสรุปยอดขายและกำไรขั้นต้น!$B$19</c:f>
              <c:strCache>
                <c:ptCount val="1"/>
                <c:pt idx="0">
                  <c:v>ยอดขายรวม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รายงานสรุปยอดขายและกำไรขั้นต้น!$C$18:$N$18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รายงานสรุปยอดขายและกำไรขั้นต้น!$C$19:$N$19</c:f>
              <c:numCache>
                <c:formatCode>_([$฿-41E]* #,##0.00_);_([$฿-41E]* \(#,##0.00\);_([$฿-41E]* "-"??_);_(@_)</c:formatCode>
                <c:ptCount val="12"/>
                <c:pt idx="0">
                  <c:v>980500</c:v>
                </c:pt>
                <c:pt idx="1">
                  <c:v>611900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E7-489F-8EC2-844D07359BF9}"/>
            </c:ext>
          </c:extLst>
        </c:ser>
        <c:ser>
          <c:idx val="1"/>
          <c:order val="1"/>
          <c:tx>
            <c:strRef>
              <c:f>รายงานสรุปยอดขายและกำไรขั้นต้น!$B$20</c:f>
              <c:strCache>
                <c:ptCount val="1"/>
                <c:pt idx="0">
                  <c:v>ต้นทุนรวม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รายงานสรุปยอดขายและกำไรขั้นต้น!$C$18:$N$18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รายงานสรุปยอดขายและกำไรขั้นต้น!$C$20:$N$20</c:f>
              <c:numCache>
                <c:formatCode>_([$฿-41E]* #,##0.00_);_([$฿-41E]* \(#,##0.00\);_([$฿-41E]* "-"??_);_(@_)</c:formatCode>
                <c:ptCount val="12"/>
                <c:pt idx="0">
                  <c:v>910653.16</c:v>
                </c:pt>
                <c:pt idx="1">
                  <c:v>564500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6E7-489F-8EC2-844D0735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64358"/>
        <c:axId val="79546462"/>
      </c:barChart>
      <c:lineChart>
        <c:grouping val="standard"/>
        <c:varyColors val="0"/>
        <c:ser>
          <c:idx val="2"/>
          <c:order val="2"/>
          <c:tx>
            <c:strRef>
              <c:f>รายงานสรุปยอดขายและกำไรขั้นต้น!$B$21</c:f>
              <c:strCache>
                <c:ptCount val="1"/>
                <c:pt idx="0">
                  <c:v>กำไรขั้นต้น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รายงานสรุปยอดขายและกำไรขั้นต้น!$C$18:$N$18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รายงานสรุปยอดขายและกำไรขั้นต้น!$C$21:$N$21</c:f>
              <c:numCache>
                <c:formatCode>_([$฿-41E]* #,##0.00_);_([$฿-41E]* \(#,##0.00\);_([$฿-41E]* "-"??_);_(@_)</c:formatCode>
                <c:ptCount val="12"/>
                <c:pt idx="0">
                  <c:v>69846.839999999967</c:v>
                </c:pt>
                <c:pt idx="1">
                  <c:v>47400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7-489F-8EC2-844D0735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4358"/>
        <c:axId val="79546462"/>
      </c:lineChart>
      <c:lineChart>
        <c:grouping val="standard"/>
        <c:varyColors val="0"/>
        <c:ser>
          <c:idx val="3"/>
          <c:order val="3"/>
          <c:tx>
            <c:strRef>
              <c:f>รายงานสรุปยอดขายและกำไรขั้นต้น!$B$22</c:f>
              <c:strCache>
                <c:ptCount val="1"/>
                <c:pt idx="0">
                  <c:v>%กำไรขั้นต้น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รายงานสรุปยอดขายและกำไรขั้นต้น!$C$18:$N$18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รายงานสรุปยอดขายและกำไรขั้นต้น!$C$22:$N$22</c:f>
              <c:numCache>
                <c:formatCode>0.00%</c:formatCode>
                <c:ptCount val="12"/>
                <c:pt idx="0">
                  <c:v>7.1235940846506848E-2</c:v>
                </c:pt>
                <c:pt idx="1">
                  <c:v>7.7463637849321781E-2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E7-489F-8EC2-844D0735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545344"/>
        <c:axId val="81318443"/>
      </c:lineChart>
      <c:dateAx>
        <c:axId val="207064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m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46462"/>
        <c:crosses val="autoZero"/>
        <c:auto val="1"/>
        <c:lblOffset val="100"/>
        <c:baseTimeUnit val="months"/>
      </c:dateAx>
      <c:valAx>
        <c:axId val="79546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[$฿-41E]* #,##0.00_);_([$฿-41E]* \(#,##0.00\);_([$฿-41E]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064358"/>
        <c:crosses val="autoZero"/>
        <c:crossBetween val="between"/>
      </c:valAx>
      <c:dateAx>
        <c:axId val="2142545344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81318443"/>
        <c:crosses val="autoZero"/>
        <c:auto val="1"/>
        <c:lblOffset val="100"/>
        <c:baseTimeUnit val="months"/>
      </c:dateAx>
      <c:valAx>
        <c:axId val="813184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4254534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0</xdr:row>
      <xdr:rowOff>0</xdr:rowOff>
    </xdr:from>
    <xdr:ext cx="12401550" cy="2933700"/>
    <xdr:graphicFrame macro="">
      <xdr:nvGraphicFramePr>
        <xdr:cNvPr id="2" name="Chart 1" title="แผนภูมิ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DAF8"/>
    <outlinePr summaryBelow="0" summaryRight="0"/>
  </sheetPr>
  <dimension ref="A1:M97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7" sqref="P17"/>
    </sheetView>
  </sheetViews>
  <sheetFormatPr defaultColWidth="12.5703125" defaultRowHeight="15.75" customHeight="1"/>
  <cols>
    <col min="2" max="2" width="38.42578125" customWidth="1"/>
    <col min="3" max="3" width="8.85546875" customWidth="1"/>
    <col min="6" max="6" width="9.7109375" customWidth="1"/>
    <col min="8" max="8" width="15" customWidth="1"/>
    <col min="9" max="9" width="16.140625" customWidth="1"/>
    <col min="10" max="10" width="10.42578125" customWidth="1"/>
    <col min="11" max="11" width="10.140625" customWidth="1"/>
    <col min="12" max="12" width="14.42578125" customWidth="1"/>
    <col min="13" max="13" width="1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260</v>
      </c>
      <c r="M1" s="4" t="s">
        <v>11</v>
      </c>
    </row>
    <row r="2" spans="1:13">
      <c r="A2" s="5">
        <v>45660</v>
      </c>
      <c r="B2" s="6" t="s">
        <v>176</v>
      </c>
      <c r="C2" s="7">
        <v>18500</v>
      </c>
      <c r="D2" s="8" t="s">
        <v>23</v>
      </c>
      <c r="E2" s="9">
        <v>3</v>
      </c>
      <c r="F2" s="9">
        <v>500</v>
      </c>
      <c r="G2" s="8">
        <v>56000</v>
      </c>
      <c r="H2" s="10">
        <v>1</v>
      </c>
      <c r="I2" s="8">
        <v>5</v>
      </c>
      <c r="J2" s="11">
        <v>17500</v>
      </c>
      <c r="K2" s="11">
        <v>18500</v>
      </c>
      <c r="L2" s="12">
        <v>5.7099999999999998E-2</v>
      </c>
      <c r="M2" s="13">
        <v>87500</v>
      </c>
    </row>
    <row r="3" spans="1:13">
      <c r="A3" s="5">
        <v>45660</v>
      </c>
      <c r="B3" s="6" t="s">
        <v>261</v>
      </c>
      <c r="C3" s="7">
        <v>3800</v>
      </c>
      <c r="D3" s="8" t="s">
        <v>23</v>
      </c>
      <c r="E3" s="9">
        <v>5</v>
      </c>
      <c r="F3" s="9">
        <v>0</v>
      </c>
      <c r="G3" s="8">
        <v>19000</v>
      </c>
      <c r="H3" s="10">
        <v>1</v>
      </c>
      <c r="I3" s="8">
        <v>10</v>
      </c>
      <c r="J3" s="11">
        <v>3800</v>
      </c>
      <c r="K3" s="11">
        <v>0</v>
      </c>
      <c r="L3" s="12">
        <v>0</v>
      </c>
      <c r="M3" s="13">
        <v>38000</v>
      </c>
    </row>
    <row r="4" spans="1:13">
      <c r="A4" s="5">
        <v>45667</v>
      </c>
      <c r="B4" s="6" t="s">
        <v>177</v>
      </c>
      <c r="C4" s="7">
        <v>24900</v>
      </c>
      <c r="D4" s="8" t="s">
        <v>23</v>
      </c>
      <c r="E4" s="9">
        <v>2</v>
      </c>
      <c r="F4" s="9">
        <v>0</v>
      </c>
      <c r="G4" s="8">
        <v>49800</v>
      </c>
      <c r="H4" s="10">
        <v>2</v>
      </c>
      <c r="I4" s="8">
        <v>3</v>
      </c>
      <c r="J4" s="11">
        <v>24900</v>
      </c>
      <c r="K4" s="11">
        <v>26250</v>
      </c>
      <c r="L4" s="12">
        <v>0.05</v>
      </c>
      <c r="M4" s="13">
        <v>74700</v>
      </c>
    </row>
    <row r="5" spans="1:13">
      <c r="A5" s="5">
        <v>45684</v>
      </c>
      <c r="B5" s="6" t="s">
        <v>178</v>
      </c>
      <c r="C5" s="7">
        <v>38000</v>
      </c>
      <c r="D5" s="8" t="s">
        <v>179</v>
      </c>
      <c r="E5" s="9">
        <v>2</v>
      </c>
      <c r="F5" s="9">
        <v>0</v>
      </c>
      <c r="G5" s="8">
        <v>76000</v>
      </c>
      <c r="H5" s="10">
        <v>1</v>
      </c>
      <c r="I5" s="8">
        <v>1</v>
      </c>
      <c r="J5" s="11">
        <v>38000</v>
      </c>
      <c r="K5" s="11">
        <v>0</v>
      </c>
      <c r="L5" s="12">
        <v>0</v>
      </c>
      <c r="M5" s="13">
        <v>38000</v>
      </c>
    </row>
    <row r="6" spans="1:13">
      <c r="A6" s="5">
        <v>45684</v>
      </c>
      <c r="B6" s="6" t="s">
        <v>180</v>
      </c>
      <c r="C6" s="7">
        <v>14900</v>
      </c>
      <c r="D6" s="8" t="s">
        <v>23</v>
      </c>
      <c r="E6" s="9">
        <v>10</v>
      </c>
      <c r="F6" s="9">
        <v>0</v>
      </c>
      <c r="G6" s="8">
        <v>149000</v>
      </c>
      <c r="H6" s="10">
        <v>1</v>
      </c>
      <c r="I6" s="8">
        <v>7</v>
      </c>
      <c r="J6" s="11">
        <v>14900</v>
      </c>
      <c r="K6" s="11">
        <v>15500</v>
      </c>
      <c r="L6" s="12">
        <v>3.2300000000000002E-2</v>
      </c>
      <c r="M6" s="13">
        <v>103300</v>
      </c>
    </row>
    <row r="7" spans="1:13">
      <c r="A7" s="5">
        <v>45685</v>
      </c>
      <c r="B7" s="6" t="s">
        <v>181</v>
      </c>
      <c r="C7" s="7">
        <v>3200</v>
      </c>
      <c r="D7" s="8" t="s">
        <v>23</v>
      </c>
      <c r="E7" s="9">
        <v>5</v>
      </c>
      <c r="F7" s="9">
        <v>0</v>
      </c>
      <c r="G7" s="8">
        <v>16000</v>
      </c>
      <c r="H7" s="10">
        <v>3</v>
      </c>
      <c r="I7" s="8">
        <v>15</v>
      </c>
      <c r="J7" s="11">
        <v>3200</v>
      </c>
      <c r="K7" s="11">
        <v>0</v>
      </c>
      <c r="L7" s="12">
        <v>0</v>
      </c>
      <c r="M7" s="13">
        <v>48000</v>
      </c>
    </row>
    <row r="8" spans="1:13">
      <c r="A8" s="5">
        <v>45687</v>
      </c>
      <c r="B8" s="6" t="s">
        <v>182</v>
      </c>
      <c r="C8" s="7">
        <v>26000</v>
      </c>
      <c r="D8" s="8" t="s">
        <v>23</v>
      </c>
      <c r="E8" s="9">
        <v>2</v>
      </c>
      <c r="F8" s="9">
        <v>500</v>
      </c>
      <c r="G8" s="64">
        <v>53000</v>
      </c>
      <c r="H8" s="10">
        <v>1</v>
      </c>
      <c r="I8" s="8">
        <v>5</v>
      </c>
      <c r="J8" s="11">
        <v>25500</v>
      </c>
      <c r="K8" s="11">
        <v>26000</v>
      </c>
      <c r="L8" s="12">
        <v>1.9599999999999999E-2</v>
      </c>
      <c r="M8" s="13">
        <v>127500</v>
      </c>
    </row>
    <row r="9" spans="1:13">
      <c r="A9" s="14">
        <v>45688</v>
      </c>
      <c r="B9" s="6" t="s">
        <v>183</v>
      </c>
      <c r="C9" s="7">
        <v>12500</v>
      </c>
      <c r="D9" s="8" t="s">
        <v>23</v>
      </c>
      <c r="E9" s="9">
        <v>3</v>
      </c>
      <c r="F9" s="9">
        <v>0</v>
      </c>
      <c r="G9" s="64">
        <v>37500</v>
      </c>
      <c r="H9" s="10">
        <v>1</v>
      </c>
      <c r="I9" s="8">
        <v>8</v>
      </c>
      <c r="J9" s="11">
        <v>12500</v>
      </c>
      <c r="K9" s="11">
        <v>13125</v>
      </c>
      <c r="L9" s="12">
        <v>0.05</v>
      </c>
      <c r="M9" s="13">
        <v>100000</v>
      </c>
    </row>
    <row r="10" spans="1:13">
      <c r="A10" s="14">
        <v>45689</v>
      </c>
      <c r="B10" s="6" t="s">
        <v>184</v>
      </c>
      <c r="C10" s="7">
        <v>1800</v>
      </c>
      <c r="D10" s="8" t="s">
        <v>23</v>
      </c>
      <c r="E10" s="9">
        <v>6</v>
      </c>
      <c r="F10" s="9">
        <v>0</v>
      </c>
      <c r="G10" s="8">
        <v>10800</v>
      </c>
      <c r="H10" s="10">
        <v>1</v>
      </c>
      <c r="I10" s="8">
        <v>20</v>
      </c>
      <c r="J10" s="11">
        <v>1800</v>
      </c>
      <c r="K10" s="11">
        <v>0</v>
      </c>
      <c r="L10" s="12">
        <v>0</v>
      </c>
      <c r="M10" s="13">
        <v>36000</v>
      </c>
    </row>
    <row r="11" spans="1:13">
      <c r="A11" s="14">
        <v>45690</v>
      </c>
      <c r="B11" s="6" t="s">
        <v>262</v>
      </c>
      <c r="C11" s="7">
        <v>22000</v>
      </c>
      <c r="D11" s="8" t="s">
        <v>23</v>
      </c>
      <c r="E11" s="9">
        <v>2</v>
      </c>
      <c r="F11" s="9">
        <v>0</v>
      </c>
      <c r="G11" s="64">
        <v>44000</v>
      </c>
      <c r="H11" s="10">
        <v>1</v>
      </c>
      <c r="I11" s="8">
        <v>3</v>
      </c>
      <c r="J11" s="11">
        <v>22000</v>
      </c>
      <c r="K11" s="11">
        <v>23000</v>
      </c>
      <c r="L11" s="12">
        <v>4.5499999999999999E-2</v>
      </c>
      <c r="M11" s="13">
        <v>66000</v>
      </c>
    </row>
    <row r="12" spans="1:13">
      <c r="A12" s="14">
        <v>45691</v>
      </c>
      <c r="B12" s="6" t="s">
        <v>263</v>
      </c>
      <c r="C12" s="7">
        <v>4500</v>
      </c>
      <c r="D12" s="8" t="s">
        <v>23</v>
      </c>
      <c r="E12" s="9">
        <v>4</v>
      </c>
      <c r="F12" s="9">
        <v>0</v>
      </c>
      <c r="G12" s="64">
        <v>18000</v>
      </c>
      <c r="H12" s="10">
        <v>1</v>
      </c>
      <c r="I12" s="8">
        <v>10</v>
      </c>
      <c r="J12" s="11">
        <v>4500</v>
      </c>
      <c r="K12" s="11">
        <v>0</v>
      </c>
      <c r="L12" s="12">
        <v>0</v>
      </c>
      <c r="M12" s="13">
        <v>45000</v>
      </c>
    </row>
    <row r="13" spans="1:13">
      <c r="A13" s="14">
        <v>45692</v>
      </c>
      <c r="B13" s="6" t="s">
        <v>264</v>
      </c>
      <c r="C13" s="7">
        <v>8500</v>
      </c>
      <c r="D13" s="8" t="s">
        <v>23</v>
      </c>
      <c r="E13" s="9">
        <v>3</v>
      </c>
      <c r="F13" s="9">
        <v>0</v>
      </c>
      <c r="G13" s="64">
        <v>25500</v>
      </c>
      <c r="H13" s="10">
        <v>1</v>
      </c>
      <c r="I13" s="8">
        <v>5</v>
      </c>
      <c r="J13" s="11">
        <v>8500</v>
      </c>
      <c r="K13" s="11">
        <v>0</v>
      </c>
      <c r="L13" s="12">
        <v>0</v>
      </c>
      <c r="M13" s="13">
        <v>42500</v>
      </c>
    </row>
    <row r="14" spans="1:13">
      <c r="A14" s="14">
        <v>45693</v>
      </c>
      <c r="B14" s="6" t="s">
        <v>265</v>
      </c>
      <c r="C14" s="7">
        <v>18000</v>
      </c>
      <c r="D14" s="8" t="s">
        <v>179</v>
      </c>
      <c r="E14" s="9">
        <v>1</v>
      </c>
      <c r="F14" s="9">
        <v>0</v>
      </c>
      <c r="G14" s="64">
        <v>18000</v>
      </c>
      <c r="H14" s="10">
        <v>1</v>
      </c>
      <c r="I14" s="8">
        <v>2</v>
      </c>
      <c r="J14" s="11">
        <v>18000</v>
      </c>
      <c r="K14" s="11">
        <v>0</v>
      </c>
      <c r="L14" s="12">
        <v>0</v>
      </c>
      <c r="M14" s="13">
        <v>36000</v>
      </c>
    </row>
    <row r="15" spans="1:13">
      <c r="A15" s="14">
        <v>45694</v>
      </c>
      <c r="B15" s="6" t="s">
        <v>266</v>
      </c>
      <c r="C15" s="7">
        <v>7500</v>
      </c>
      <c r="D15" s="8" t="s">
        <v>23</v>
      </c>
      <c r="E15" s="9">
        <v>5</v>
      </c>
      <c r="F15" s="9">
        <v>0</v>
      </c>
      <c r="G15" s="64">
        <v>37500</v>
      </c>
      <c r="H15" s="10">
        <v>1</v>
      </c>
      <c r="I15" s="8">
        <v>8</v>
      </c>
      <c r="J15" s="11">
        <v>7500</v>
      </c>
      <c r="K15" s="11">
        <v>0</v>
      </c>
      <c r="L15" s="12">
        <v>0</v>
      </c>
      <c r="M15" s="13">
        <v>60000</v>
      </c>
    </row>
    <row r="16" spans="1:13">
      <c r="A16" s="14">
        <v>45695</v>
      </c>
      <c r="B16" s="6" t="s">
        <v>267</v>
      </c>
      <c r="C16" s="7">
        <v>5200</v>
      </c>
      <c r="D16" s="8" t="s">
        <v>23</v>
      </c>
      <c r="E16" s="9">
        <v>3</v>
      </c>
      <c r="F16" s="9">
        <v>0</v>
      </c>
      <c r="G16" s="64">
        <v>15600</v>
      </c>
      <c r="H16" s="10">
        <v>1</v>
      </c>
      <c r="I16" s="8">
        <v>5</v>
      </c>
      <c r="J16" s="11">
        <v>5200</v>
      </c>
      <c r="K16" s="11">
        <v>0</v>
      </c>
      <c r="L16" s="12">
        <v>0</v>
      </c>
      <c r="M16" s="13">
        <v>26000</v>
      </c>
    </row>
    <row r="17" spans="1:13">
      <c r="A17" s="14">
        <v>45696</v>
      </c>
      <c r="B17" s="6" t="s">
        <v>268</v>
      </c>
      <c r="C17" s="7">
        <v>2400</v>
      </c>
      <c r="D17" s="8" t="s">
        <v>23</v>
      </c>
      <c r="E17" s="9">
        <v>4</v>
      </c>
      <c r="F17" s="9">
        <v>0</v>
      </c>
      <c r="G17" s="64">
        <v>9600</v>
      </c>
      <c r="H17" s="10">
        <v>1</v>
      </c>
      <c r="I17" s="8">
        <v>7</v>
      </c>
      <c r="J17" s="11">
        <v>2400</v>
      </c>
      <c r="K17" s="11">
        <v>0</v>
      </c>
      <c r="L17" s="12">
        <v>0</v>
      </c>
      <c r="M17" s="13">
        <v>16800</v>
      </c>
    </row>
    <row r="18" spans="1:13">
      <c r="A18" s="14">
        <v>45697</v>
      </c>
      <c r="B18" s="6" t="s">
        <v>269</v>
      </c>
      <c r="C18" s="7">
        <v>6500</v>
      </c>
      <c r="D18" s="8" t="s">
        <v>23</v>
      </c>
      <c r="E18" s="9">
        <v>6</v>
      </c>
      <c r="F18" s="9">
        <v>0</v>
      </c>
      <c r="G18" s="64">
        <v>39000</v>
      </c>
      <c r="H18" s="10">
        <v>1</v>
      </c>
      <c r="I18" s="8">
        <v>10</v>
      </c>
      <c r="J18" s="11">
        <v>6500</v>
      </c>
      <c r="K18" s="11">
        <v>0</v>
      </c>
      <c r="L18" s="12">
        <v>0</v>
      </c>
      <c r="M18" s="13">
        <v>65000</v>
      </c>
    </row>
    <row r="19" spans="1:13">
      <c r="A19" s="14">
        <v>45698</v>
      </c>
      <c r="B19" s="6" t="s">
        <v>270</v>
      </c>
      <c r="C19" s="7">
        <v>15000</v>
      </c>
      <c r="D19" s="8" t="s">
        <v>23</v>
      </c>
      <c r="E19" s="9">
        <v>2</v>
      </c>
      <c r="F19" s="9">
        <v>0</v>
      </c>
      <c r="G19" s="64">
        <v>30000</v>
      </c>
      <c r="H19" s="10">
        <v>1</v>
      </c>
      <c r="I19" s="8">
        <v>4</v>
      </c>
      <c r="J19" s="11">
        <v>15000</v>
      </c>
      <c r="K19" s="11">
        <v>0</v>
      </c>
      <c r="L19" s="12">
        <v>0</v>
      </c>
      <c r="M19" s="13">
        <v>60000</v>
      </c>
    </row>
    <row r="20" spans="1:13">
      <c r="A20" s="14">
        <v>45699</v>
      </c>
      <c r="B20" s="6" t="s">
        <v>271</v>
      </c>
      <c r="C20" s="7">
        <v>12000</v>
      </c>
      <c r="D20" s="8" t="s">
        <v>179</v>
      </c>
      <c r="E20" s="9">
        <v>2</v>
      </c>
      <c r="F20" s="9">
        <v>0</v>
      </c>
      <c r="G20" s="64">
        <v>24000</v>
      </c>
      <c r="H20" s="10">
        <v>1</v>
      </c>
      <c r="I20" s="8">
        <v>3</v>
      </c>
      <c r="J20" s="11">
        <v>12000</v>
      </c>
      <c r="K20" s="11">
        <v>0</v>
      </c>
      <c r="L20" s="12">
        <v>0</v>
      </c>
      <c r="M20" s="13">
        <v>36000</v>
      </c>
    </row>
    <row r="21" spans="1:13">
      <c r="A21" s="14">
        <v>45700</v>
      </c>
      <c r="B21" s="6" t="s">
        <v>228</v>
      </c>
      <c r="C21" s="7">
        <v>800</v>
      </c>
      <c r="D21" s="8" t="s">
        <v>23</v>
      </c>
      <c r="E21" s="9">
        <v>10</v>
      </c>
      <c r="F21" s="9">
        <v>0</v>
      </c>
      <c r="G21" s="64">
        <v>8000</v>
      </c>
      <c r="H21" s="10">
        <v>1</v>
      </c>
      <c r="I21" s="8">
        <v>25</v>
      </c>
      <c r="J21" s="11">
        <v>800</v>
      </c>
      <c r="K21" s="11">
        <v>0</v>
      </c>
      <c r="L21" s="12">
        <v>0</v>
      </c>
      <c r="M21" s="13">
        <v>20000</v>
      </c>
    </row>
    <row r="22" spans="1:13">
      <c r="A22" s="14">
        <v>45701</v>
      </c>
      <c r="B22" s="6" t="s">
        <v>272</v>
      </c>
      <c r="C22" s="7">
        <v>18000</v>
      </c>
      <c r="D22" s="8" t="s">
        <v>23</v>
      </c>
      <c r="E22" s="9">
        <v>1</v>
      </c>
      <c r="F22" s="9">
        <v>0</v>
      </c>
      <c r="G22" s="64">
        <v>18000</v>
      </c>
      <c r="H22" s="10">
        <v>1</v>
      </c>
      <c r="I22" s="8">
        <v>3</v>
      </c>
      <c r="J22" s="11">
        <v>18000</v>
      </c>
      <c r="K22" s="11">
        <v>0</v>
      </c>
      <c r="L22" s="12">
        <v>0</v>
      </c>
      <c r="M22" s="13">
        <v>54000</v>
      </c>
    </row>
    <row r="23" spans="1:13">
      <c r="A23" s="14">
        <v>45702</v>
      </c>
      <c r="B23" s="6" t="s">
        <v>273</v>
      </c>
      <c r="C23" s="7">
        <v>6500</v>
      </c>
      <c r="D23" s="8" t="s">
        <v>23</v>
      </c>
      <c r="E23" s="9">
        <v>3</v>
      </c>
      <c r="F23" s="9">
        <v>0</v>
      </c>
      <c r="G23" s="64">
        <v>19500</v>
      </c>
      <c r="H23" s="10">
        <v>1</v>
      </c>
      <c r="I23" s="8">
        <v>5</v>
      </c>
      <c r="J23" s="11">
        <v>6500</v>
      </c>
      <c r="K23" s="11">
        <v>0</v>
      </c>
      <c r="L23" s="12">
        <v>0</v>
      </c>
      <c r="M23" s="13">
        <v>32500</v>
      </c>
    </row>
    <row r="24" spans="1:13">
      <c r="A24" s="14">
        <v>45703</v>
      </c>
      <c r="B24" s="6" t="s">
        <v>243</v>
      </c>
      <c r="C24" s="7">
        <v>12500</v>
      </c>
      <c r="D24" s="8" t="s">
        <v>23</v>
      </c>
      <c r="E24" s="9">
        <v>2</v>
      </c>
      <c r="F24" s="9">
        <v>0</v>
      </c>
      <c r="G24" s="64">
        <v>25000</v>
      </c>
      <c r="H24" s="10">
        <v>1</v>
      </c>
      <c r="I24" s="8">
        <v>4</v>
      </c>
      <c r="J24" s="11">
        <v>12500</v>
      </c>
      <c r="K24" s="11">
        <v>0</v>
      </c>
      <c r="L24" s="12">
        <v>0</v>
      </c>
      <c r="M24" s="13">
        <v>50000</v>
      </c>
    </row>
    <row r="25" spans="1:13">
      <c r="A25" s="14">
        <v>45704</v>
      </c>
      <c r="B25" s="6" t="s">
        <v>274</v>
      </c>
      <c r="C25" s="7">
        <v>5500</v>
      </c>
      <c r="D25" s="8" t="s">
        <v>23</v>
      </c>
      <c r="E25" s="9">
        <v>3</v>
      </c>
      <c r="F25" s="9">
        <v>0</v>
      </c>
      <c r="G25" s="64">
        <v>16500</v>
      </c>
      <c r="H25" s="10">
        <v>1</v>
      </c>
      <c r="I25" s="8">
        <v>5</v>
      </c>
      <c r="J25" s="11">
        <v>5500</v>
      </c>
      <c r="K25" s="11">
        <v>0</v>
      </c>
      <c r="L25" s="12">
        <v>0</v>
      </c>
      <c r="M25" s="13">
        <v>27500</v>
      </c>
    </row>
    <row r="26" spans="1:13">
      <c r="A26" s="14">
        <v>45705</v>
      </c>
      <c r="B26" s="6" t="s">
        <v>275</v>
      </c>
      <c r="C26" s="7">
        <v>3800</v>
      </c>
      <c r="D26" s="8" t="s">
        <v>23</v>
      </c>
      <c r="E26" s="9">
        <v>4</v>
      </c>
      <c r="F26" s="9">
        <v>0</v>
      </c>
      <c r="G26" s="64">
        <v>15200</v>
      </c>
      <c r="H26" s="10">
        <v>1</v>
      </c>
      <c r="I26" s="8">
        <v>7</v>
      </c>
      <c r="J26" s="11">
        <v>3800</v>
      </c>
      <c r="K26" s="11">
        <v>0</v>
      </c>
      <c r="L26" s="12">
        <v>0</v>
      </c>
      <c r="M26" s="13">
        <v>26600</v>
      </c>
    </row>
    <row r="27" spans="1:13">
      <c r="A27" s="14">
        <v>45706</v>
      </c>
      <c r="B27" s="6" t="s">
        <v>276</v>
      </c>
      <c r="C27" s="7">
        <v>55000</v>
      </c>
      <c r="D27" s="8" t="s">
        <v>23</v>
      </c>
      <c r="E27" s="9">
        <v>1</v>
      </c>
      <c r="F27" s="9">
        <v>0</v>
      </c>
      <c r="G27" s="64">
        <v>55000</v>
      </c>
      <c r="H27" s="10">
        <v>1</v>
      </c>
      <c r="I27" s="8">
        <v>2</v>
      </c>
      <c r="J27" s="11">
        <v>55000</v>
      </c>
      <c r="K27" s="11">
        <v>0</v>
      </c>
      <c r="L27" s="12">
        <v>0</v>
      </c>
      <c r="M27" s="13">
        <v>110000</v>
      </c>
    </row>
    <row r="28" spans="1:13">
      <c r="A28" s="14">
        <v>45707</v>
      </c>
      <c r="B28" s="6" t="s">
        <v>277</v>
      </c>
      <c r="C28" s="7">
        <v>45000</v>
      </c>
      <c r="D28" s="8" t="s">
        <v>23</v>
      </c>
      <c r="E28" s="9">
        <v>1</v>
      </c>
      <c r="F28" s="9">
        <v>0</v>
      </c>
      <c r="G28" s="64">
        <v>45000</v>
      </c>
      <c r="H28" s="10">
        <v>1</v>
      </c>
      <c r="I28" s="8">
        <v>2</v>
      </c>
      <c r="J28" s="11">
        <v>45000</v>
      </c>
      <c r="K28" s="11">
        <v>0</v>
      </c>
      <c r="L28" s="12">
        <v>0</v>
      </c>
      <c r="M28" s="13">
        <v>90000</v>
      </c>
    </row>
    <row r="29" spans="1:13">
      <c r="A29" s="14">
        <v>45708</v>
      </c>
      <c r="B29" s="6" t="s">
        <v>278</v>
      </c>
      <c r="C29" s="7">
        <v>6200</v>
      </c>
      <c r="D29" s="8" t="s">
        <v>23</v>
      </c>
      <c r="E29" s="9">
        <v>3</v>
      </c>
      <c r="F29" s="9">
        <v>0</v>
      </c>
      <c r="G29" s="64">
        <v>18600</v>
      </c>
      <c r="H29" s="10">
        <v>1</v>
      </c>
      <c r="I29" s="8">
        <v>5</v>
      </c>
      <c r="J29" s="11">
        <v>6200</v>
      </c>
      <c r="K29" s="11">
        <v>0</v>
      </c>
      <c r="L29" s="12">
        <v>0</v>
      </c>
      <c r="M29" s="13">
        <v>31000</v>
      </c>
    </row>
    <row r="30" spans="1:13">
      <c r="A30" s="14">
        <v>45709</v>
      </c>
      <c r="B30" s="6" t="s">
        <v>279</v>
      </c>
      <c r="C30" s="7">
        <v>3400</v>
      </c>
      <c r="D30" s="8" t="s">
        <v>23</v>
      </c>
      <c r="E30" s="9">
        <v>4</v>
      </c>
      <c r="F30" s="9">
        <v>0</v>
      </c>
      <c r="G30" s="64">
        <v>13600</v>
      </c>
      <c r="H30" s="10">
        <v>1</v>
      </c>
      <c r="I30" s="8">
        <v>6</v>
      </c>
      <c r="J30" s="11">
        <v>3400</v>
      </c>
      <c r="K30" s="11">
        <v>0</v>
      </c>
      <c r="L30" s="12">
        <v>0</v>
      </c>
      <c r="M30" s="13">
        <v>20400</v>
      </c>
    </row>
    <row r="31" spans="1:13">
      <c r="A31" s="14">
        <v>45710</v>
      </c>
      <c r="B31" s="6" t="s">
        <v>280</v>
      </c>
      <c r="C31" s="7">
        <v>12800</v>
      </c>
      <c r="D31" s="8" t="s">
        <v>23</v>
      </c>
      <c r="E31" s="9">
        <v>2</v>
      </c>
      <c r="F31" s="9">
        <v>0</v>
      </c>
      <c r="G31" s="64">
        <v>25600</v>
      </c>
      <c r="H31" s="10">
        <v>1</v>
      </c>
      <c r="I31" s="8">
        <v>3</v>
      </c>
      <c r="J31" s="11">
        <v>12800</v>
      </c>
      <c r="K31" s="11">
        <v>0</v>
      </c>
      <c r="L31" s="12">
        <v>0</v>
      </c>
      <c r="M31" s="13">
        <v>38400</v>
      </c>
    </row>
    <row r="32" spans="1:13">
      <c r="A32" s="14">
        <v>45711</v>
      </c>
      <c r="B32" s="6" t="s">
        <v>281</v>
      </c>
      <c r="C32" s="7">
        <v>13500</v>
      </c>
      <c r="D32" s="8" t="s">
        <v>23</v>
      </c>
      <c r="E32" s="9">
        <v>2</v>
      </c>
      <c r="F32" s="9">
        <v>0</v>
      </c>
      <c r="G32" s="64">
        <v>27000</v>
      </c>
      <c r="H32" s="10">
        <v>1</v>
      </c>
      <c r="I32" s="8">
        <v>4</v>
      </c>
      <c r="J32" s="11">
        <v>13500</v>
      </c>
      <c r="K32" s="11">
        <v>0</v>
      </c>
      <c r="L32" s="12">
        <v>0</v>
      </c>
      <c r="M32" s="13">
        <v>54000</v>
      </c>
    </row>
    <row r="33" spans="1:13">
      <c r="A33" s="14">
        <v>45712</v>
      </c>
      <c r="B33" s="6" t="s">
        <v>282</v>
      </c>
      <c r="C33" s="7">
        <v>17500</v>
      </c>
      <c r="D33" s="8" t="s">
        <v>23</v>
      </c>
      <c r="E33" s="9">
        <v>1</v>
      </c>
      <c r="F33" s="9">
        <v>0</v>
      </c>
      <c r="G33" s="64">
        <v>17500</v>
      </c>
      <c r="H33" s="10">
        <v>1</v>
      </c>
      <c r="I33" s="8">
        <v>2</v>
      </c>
      <c r="J33" s="11">
        <v>17500</v>
      </c>
      <c r="K33" s="11">
        <v>0</v>
      </c>
      <c r="L33" s="12">
        <v>0</v>
      </c>
      <c r="M33" s="13">
        <v>35000</v>
      </c>
    </row>
    <row r="34" spans="1:13">
      <c r="A34" s="14">
        <v>45713</v>
      </c>
      <c r="B34" s="6" t="s">
        <v>283</v>
      </c>
      <c r="C34" s="7">
        <v>15500</v>
      </c>
      <c r="D34" s="8" t="s">
        <v>23</v>
      </c>
      <c r="E34" s="9">
        <v>2</v>
      </c>
      <c r="F34" s="9">
        <v>0</v>
      </c>
      <c r="G34" s="64">
        <v>31000</v>
      </c>
      <c r="H34" s="10">
        <v>1</v>
      </c>
      <c r="I34" s="8">
        <v>3</v>
      </c>
      <c r="J34" s="11">
        <v>15500</v>
      </c>
      <c r="K34" s="11">
        <v>0</v>
      </c>
      <c r="L34" s="12">
        <v>0</v>
      </c>
      <c r="M34" s="13">
        <v>46500</v>
      </c>
    </row>
    <row r="35" spans="1:13">
      <c r="A35" s="14">
        <v>45714</v>
      </c>
      <c r="B35" s="6" t="s">
        <v>284</v>
      </c>
      <c r="C35" s="7">
        <v>55000</v>
      </c>
      <c r="D35" s="8" t="s">
        <v>23</v>
      </c>
      <c r="E35" s="9">
        <v>1</v>
      </c>
      <c r="F35" s="9">
        <v>0</v>
      </c>
      <c r="G35" s="64">
        <v>55000</v>
      </c>
      <c r="H35" s="10">
        <v>1</v>
      </c>
      <c r="I35" s="8">
        <v>2</v>
      </c>
      <c r="J35" s="11">
        <v>55000</v>
      </c>
      <c r="K35" s="11">
        <v>0</v>
      </c>
      <c r="L35" s="12">
        <v>0</v>
      </c>
      <c r="M35" s="13">
        <v>110000</v>
      </c>
    </row>
    <row r="36" spans="1:13">
      <c r="A36" s="14">
        <v>45715</v>
      </c>
      <c r="B36" s="6" t="s">
        <v>285</v>
      </c>
      <c r="C36" s="7">
        <v>28000</v>
      </c>
      <c r="D36" s="8" t="s">
        <v>179</v>
      </c>
      <c r="E36" s="9">
        <v>1</v>
      </c>
      <c r="F36" s="9">
        <v>0</v>
      </c>
      <c r="G36" s="64">
        <v>28000</v>
      </c>
      <c r="H36" s="10">
        <v>1</v>
      </c>
      <c r="I36" s="8">
        <v>2</v>
      </c>
      <c r="J36" s="11">
        <v>28000</v>
      </c>
      <c r="K36" s="11">
        <v>0</v>
      </c>
      <c r="L36" s="12">
        <v>0</v>
      </c>
      <c r="M36" s="13">
        <v>56000</v>
      </c>
    </row>
    <row r="37" spans="1:13">
      <c r="A37" s="14">
        <v>45716</v>
      </c>
      <c r="B37" s="6" t="s">
        <v>286</v>
      </c>
      <c r="C37" s="7">
        <v>9500</v>
      </c>
      <c r="D37" s="8" t="s">
        <v>23</v>
      </c>
      <c r="E37" s="9">
        <v>3</v>
      </c>
      <c r="F37" s="9">
        <v>0</v>
      </c>
      <c r="G37" s="64">
        <v>28500</v>
      </c>
      <c r="H37" s="10">
        <v>1</v>
      </c>
      <c r="I37" s="8">
        <v>5</v>
      </c>
      <c r="J37" s="11">
        <v>9500</v>
      </c>
      <c r="K37" s="11">
        <v>0</v>
      </c>
      <c r="L37" s="12">
        <v>0</v>
      </c>
      <c r="M37" s="13">
        <v>47500</v>
      </c>
    </row>
    <row r="38" spans="1:13">
      <c r="A38" s="14">
        <v>45717</v>
      </c>
      <c r="B38" s="6" t="s">
        <v>287</v>
      </c>
      <c r="C38" s="7">
        <v>12500</v>
      </c>
      <c r="D38" s="8" t="s">
        <v>23</v>
      </c>
      <c r="E38" s="9">
        <v>2</v>
      </c>
      <c r="F38" s="9">
        <v>0</v>
      </c>
      <c r="G38" s="64">
        <v>25000</v>
      </c>
      <c r="H38" s="10">
        <v>1</v>
      </c>
      <c r="I38" s="8">
        <v>4</v>
      </c>
      <c r="J38" s="11">
        <v>12500</v>
      </c>
      <c r="K38" s="11">
        <v>0</v>
      </c>
      <c r="L38" s="12">
        <v>0</v>
      </c>
      <c r="M38" s="13">
        <v>50000</v>
      </c>
    </row>
    <row r="39" spans="1:13">
      <c r="A39" s="14">
        <v>45718</v>
      </c>
      <c r="B39" s="6" t="s">
        <v>288</v>
      </c>
      <c r="C39" s="7">
        <v>25000</v>
      </c>
      <c r="D39" s="8" t="s">
        <v>23</v>
      </c>
      <c r="E39" s="9">
        <v>1</v>
      </c>
      <c r="F39" s="9">
        <v>0</v>
      </c>
      <c r="G39" s="64">
        <v>25000</v>
      </c>
      <c r="H39" s="10">
        <v>1</v>
      </c>
      <c r="I39" s="8">
        <v>2</v>
      </c>
      <c r="J39" s="11">
        <v>25000</v>
      </c>
      <c r="K39" s="11">
        <v>0</v>
      </c>
      <c r="L39" s="12">
        <v>0</v>
      </c>
      <c r="M39" s="13">
        <v>50000</v>
      </c>
    </row>
    <row r="40" spans="1:13">
      <c r="A40" s="14">
        <v>45719</v>
      </c>
      <c r="B40" s="6" t="s">
        <v>289</v>
      </c>
      <c r="C40" s="7">
        <v>19500</v>
      </c>
      <c r="D40" s="8" t="s">
        <v>23</v>
      </c>
      <c r="E40" s="9">
        <v>2</v>
      </c>
      <c r="F40" s="9">
        <v>0</v>
      </c>
      <c r="G40" s="64">
        <v>39000</v>
      </c>
      <c r="H40" s="10">
        <v>1</v>
      </c>
      <c r="I40" s="8">
        <v>3</v>
      </c>
      <c r="J40" s="11">
        <v>19500</v>
      </c>
      <c r="K40" s="11">
        <v>0</v>
      </c>
      <c r="L40" s="12">
        <v>0</v>
      </c>
      <c r="M40" s="13">
        <v>58500</v>
      </c>
    </row>
    <row r="41" spans="1:13">
      <c r="A41" s="14">
        <v>45720</v>
      </c>
      <c r="B41" s="6" t="s">
        <v>182</v>
      </c>
      <c r="C41" s="7">
        <v>26000</v>
      </c>
      <c r="D41" s="8" t="s">
        <v>23</v>
      </c>
      <c r="E41" s="9">
        <v>1</v>
      </c>
      <c r="F41" s="9">
        <v>0</v>
      </c>
      <c r="G41" s="64">
        <v>26000</v>
      </c>
      <c r="H41" s="10">
        <v>1</v>
      </c>
      <c r="I41" s="8">
        <v>2</v>
      </c>
      <c r="J41" s="11">
        <v>26000</v>
      </c>
      <c r="K41" s="11">
        <v>0</v>
      </c>
      <c r="L41" s="12">
        <v>0</v>
      </c>
      <c r="M41" s="13">
        <v>52000</v>
      </c>
    </row>
    <row r="42" spans="1:13">
      <c r="A42" s="14">
        <v>45721</v>
      </c>
      <c r="B42" s="6" t="s">
        <v>183</v>
      </c>
      <c r="C42" s="7">
        <v>12500</v>
      </c>
      <c r="D42" s="8" t="s">
        <v>23</v>
      </c>
      <c r="E42" s="9">
        <v>2</v>
      </c>
      <c r="F42" s="9">
        <v>0</v>
      </c>
      <c r="G42" s="64">
        <v>25000</v>
      </c>
      <c r="H42" s="10">
        <v>1</v>
      </c>
      <c r="I42" s="8">
        <v>3</v>
      </c>
      <c r="J42" s="11">
        <v>12500</v>
      </c>
      <c r="K42" s="11">
        <v>0</v>
      </c>
      <c r="L42" s="12">
        <v>0</v>
      </c>
      <c r="M42" s="13">
        <v>37500</v>
      </c>
    </row>
    <row r="43" spans="1:13">
      <c r="A43" s="14">
        <v>45722</v>
      </c>
      <c r="B43" s="6" t="s">
        <v>184</v>
      </c>
      <c r="C43" s="7">
        <v>1800</v>
      </c>
      <c r="D43" s="8" t="s">
        <v>23</v>
      </c>
      <c r="E43" s="9">
        <v>5</v>
      </c>
      <c r="F43" s="9">
        <v>0</v>
      </c>
      <c r="G43" s="64">
        <v>9000</v>
      </c>
      <c r="H43" s="10">
        <v>1</v>
      </c>
      <c r="I43" s="8">
        <v>15</v>
      </c>
      <c r="J43" s="11">
        <v>1800</v>
      </c>
      <c r="K43" s="11">
        <v>0</v>
      </c>
      <c r="L43" s="12">
        <v>0</v>
      </c>
      <c r="M43" s="13">
        <v>27000</v>
      </c>
    </row>
    <row r="44" spans="1:13">
      <c r="A44" s="14">
        <v>45723</v>
      </c>
      <c r="B44" s="6" t="s">
        <v>290</v>
      </c>
      <c r="C44" s="7">
        <v>21500</v>
      </c>
      <c r="D44" s="8" t="s">
        <v>23</v>
      </c>
      <c r="E44" s="9">
        <v>1</v>
      </c>
      <c r="F44" s="9">
        <v>0</v>
      </c>
      <c r="G44" s="64">
        <v>21500</v>
      </c>
      <c r="H44" s="10">
        <v>1</v>
      </c>
      <c r="I44" s="8">
        <v>2</v>
      </c>
      <c r="J44" s="11">
        <v>21500</v>
      </c>
      <c r="K44" s="11">
        <v>0</v>
      </c>
      <c r="L44" s="12">
        <v>0</v>
      </c>
      <c r="M44" s="13">
        <v>43000</v>
      </c>
    </row>
    <row r="45" spans="1:13">
      <c r="A45" s="14">
        <v>45724</v>
      </c>
      <c r="B45" s="6" t="s">
        <v>291</v>
      </c>
      <c r="C45" s="7">
        <v>12000</v>
      </c>
      <c r="D45" s="8" t="s">
        <v>23</v>
      </c>
      <c r="E45" s="9">
        <v>2</v>
      </c>
      <c r="F45" s="9">
        <v>0</v>
      </c>
      <c r="G45" s="64">
        <v>24000</v>
      </c>
      <c r="H45" s="10">
        <v>1</v>
      </c>
      <c r="I45" s="8">
        <v>3</v>
      </c>
      <c r="J45" s="11">
        <v>12000</v>
      </c>
      <c r="K45" s="11">
        <v>0</v>
      </c>
      <c r="L45" s="12">
        <v>0</v>
      </c>
      <c r="M45" s="13">
        <v>36000</v>
      </c>
    </row>
    <row r="46" spans="1:13">
      <c r="A46" s="14">
        <v>45725</v>
      </c>
      <c r="B46" s="6" t="s">
        <v>292</v>
      </c>
      <c r="C46" s="7">
        <v>22000</v>
      </c>
      <c r="D46" s="8" t="s">
        <v>23</v>
      </c>
      <c r="E46" s="9">
        <v>1</v>
      </c>
      <c r="F46" s="9">
        <v>0</v>
      </c>
      <c r="G46" s="64">
        <v>22000</v>
      </c>
      <c r="H46" s="10">
        <v>1</v>
      </c>
      <c r="I46" s="8">
        <v>2</v>
      </c>
      <c r="J46" s="11">
        <v>22000</v>
      </c>
      <c r="K46" s="11">
        <v>0</v>
      </c>
      <c r="L46" s="12">
        <v>0</v>
      </c>
      <c r="M46" s="13">
        <v>44000</v>
      </c>
    </row>
    <row r="47" spans="1:13">
      <c r="A47" s="14">
        <v>45726</v>
      </c>
      <c r="B47" s="6" t="s">
        <v>266</v>
      </c>
      <c r="C47" s="7">
        <v>7500</v>
      </c>
      <c r="D47" s="8" t="s">
        <v>23</v>
      </c>
      <c r="E47" s="9">
        <v>4</v>
      </c>
      <c r="F47" s="9">
        <v>0</v>
      </c>
      <c r="G47" s="64">
        <v>30000</v>
      </c>
      <c r="H47" s="10">
        <v>1</v>
      </c>
      <c r="I47" s="8">
        <v>7</v>
      </c>
      <c r="J47" s="11">
        <v>7500</v>
      </c>
      <c r="K47" s="11">
        <v>0</v>
      </c>
      <c r="L47" s="12">
        <v>0</v>
      </c>
      <c r="M47" s="13">
        <v>52500</v>
      </c>
    </row>
    <row r="48" spans="1:13">
      <c r="A48" s="14">
        <v>45727</v>
      </c>
      <c r="B48" s="6" t="s">
        <v>293</v>
      </c>
      <c r="C48" s="7">
        <v>62000</v>
      </c>
      <c r="D48" s="8" t="s">
        <v>23</v>
      </c>
      <c r="E48" s="9">
        <v>1</v>
      </c>
      <c r="F48" s="9">
        <v>0</v>
      </c>
      <c r="G48" s="64">
        <v>62000</v>
      </c>
      <c r="H48" s="10">
        <v>1</v>
      </c>
      <c r="I48" s="8">
        <v>1</v>
      </c>
      <c r="J48" s="11">
        <v>62000</v>
      </c>
      <c r="K48" s="11">
        <v>0</v>
      </c>
      <c r="L48" s="12">
        <v>0</v>
      </c>
      <c r="M48" s="13">
        <v>62000</v>
      </c>
    </row>
    <row r="49" spans="1:13">
      <c r="A49" s="14">
        <v>45728</v>
      </c>
      <c r="B49" s="6" t="s">
        <v>294</v>
      </c>
      <c r="C49" s="7">
        <v>38000</v>
      </c>
      <c r="D49" s="8" t="s">
        <v>179</v>
      </c>
      <c r="E49" s="9">
        <v>1</v>
      </c>
      <c r="F49" s="9">
        <v>0</v>
      </c>
      <c r="G49" s="64">
        <v>38000</v>
      </c>
      <c r="H49" s="10">
        <v>1</v>
      </c>
      <c r="I49" s="8">
        <v>1</v>
      </c>
      <c r="J49" s="11">
        <v>38000</v>
      </c>
      <c r="K49" s="11">
        <v>0</v>
      </c>
      <c r="L49" s="12">
        <v>0</v>
      </c>
      <c r="M49" s="13">
        <v>38000</v>
      </c>
    </row>
    <row r="50" spans="1:13">
      <c r="A50" s="14">
        <v>45729</v>
      </c>
      <c r="B50" s="6" t="s">
        <v>176</v>
      </c>
      <c r="C50" s="7">
        <v>18500</v>
      </c>
      <c r="D50" s="8" t="s">
        <v>23</v>
      </c>
      <c r="E50" s="9">
        <v>2</v>
      </c>
      <c r="F50" s="9">
        <v>0</v>
      </c>
      <c r="G50" s="64">
        <v>37000</v>
      </c>
      <c r="H50" s="10">
        <v>1</v>
      </c>
      <c r="I50" s="8">
        <v>3</v>
      </c>
      <c r="J50" s="11">
        <v>18500</v>
      </c>
      <c r="K50" s="11">
        <v>0</v>
      </c>
      <c r="L50" s="12">
        <v>0</v>
      </c>
      <c r="M50" s="13">
        <v>55500</v>
      </c>
    </row>
    <row r="51" spans="1:13">
      <c r="A51" s="14">
        <v>45730</v>
      </c>
      <c r="B51" s="6" t="s">
        <v>295</v>
      </c>
      <c r="C51" s="7">
        <v>11000</v>
      </c>
      <c r="D51" s="8" t="s">
        <v>23</v>
      </c>
      <c r="E51" s="9">
        <v>2</v>
      </c>
      <c r="F51" s="9">
        <v>0</v>
      </c>
      <c r="G51" s="64">
        <v>22000</v>
      </c>
      <c r="H51" s="10">
        <v>1</v>
      </c>
      <c r="I51" s="8">
        <v>4</v>
      </c>
      <c r="J51" s="11">
        <v>11000</v>
      </c>
      <c r="K51" s="11">
        <v>0</v>
      </c>
      <c r="L51" s="12">
        <v>0</v>
      </c>
      <c r="M51" s="13">
        <v>44000</v>
      </c>
    </row>
    <row r="52" spans="1:13">
      <c r="A52" s="14">
        <v>45731</v>
      </c>
      <c r="B52" s="6" t="s">
        <v>180</v>
      </c>
      <c r="C52" s="7">
        <v>14900</v>
      </c>
      <c r="D52" s="8" t="s">
        <v>23</v>
      </c>
      <c r="E52" s="9">
        <v>3</v>
      </c>
      <c r="F52" s="9">
        <v>0</v>
      </c>
      <c r="G52" s="64">
        <v>44700</v>
      </c>
      <c r="H52" s="10">
        <v>1</v>
      </c>
      <c r="I52" s="8">
        <v>5</v>
      </c>
      <c r="J52" s="11">
        <v>14900</v>
      </c>
      <c r="K52" s="11">
        <v>0</v>
      </c>
      <c r="L52" s="12">
        <v>0</v>
      </c>
      <c r="M52" s="13">
        <v>74500</v>
      </c>
    </row>
    <row r="53" spans="1:13">
      <c r="A53" s="14">
        <v>45732</v>
      </c>
      <c r="B53" s="6" t="s">
        <v>181</v>
      </c>
      <c r="C53" s="7">
        <v>3200</v>
      </c>
      <c r="D53" s="8" t="s">
        <v>23</v>
      </c>
      <c r="E53" s="9">
        <v>4</v>
      </c>
      <c r="F53" s="9">
        <v>0</v>
      </c>
      <c r="G53" s="64">
        <v>12800</v>
      </c>
      <c r="H53" s="10">
        <v>1</v>
      </c>
      <c r="I53" s="8">
        <v>10</v>
      </c>
      <c r="J53" s="11">
        <v>3200</v>
      </c>
      <c r="K53" s="11">
        <v>0</v>
      </c>
      <c r="L53" s="12">
        <v>0</v>
      </c>
      <c r="M53" s="13">
        <v>32000</v>
      </c>
    </row>
    <row r="54" spans="1:13">
      <c r="A54" s="14">
        <v>45733</v>
      </c>
      <c r="B54" s="6" t="s">
        <v>243</v>
      </c>
      <c r="C54" s="7">
        <v>12500</v>
      </c>
      <c r="D54" s="8" t="s">
        <v>23</v>
      </c>
      <c r="E54" s="9">
        <v>1</v>
      </c>
      <c r="F54" s="9">
        <v>0</v>
      </c>
      <c r="G54" s="64">
        <v>12500</v>
      </c>
      <c r="H54" s="10">
        <v>1</v>
      </c>
      <c r="I54" s="8">
        <v>2</v>
      </c>
      <c r="J54" s="11">
        <v>12500</v>
      </c>
      <c r="K54" s="11">
        <v>0</v>
      </c>
      <c r="L54" s="12">
        <v>0</v>
      </c>
      <c r="M54" s="13">
        <v>25000</v>
      </c>
    </row>
    <row r="55" spans="1:13">
      <c r="A55" s="14"/>
      <c r="B55" s="6"/>
      <c r="C55" s="7">
        <f>IFERROR(VLOOKUP(B55,ชื่อสินค้า!A:C,2,FALSE),)</f>
        <v>0</v>
      </c>
      <c r="D55" s="8" t="str">
        <f>IFERROR(VLOOKUP(B55,ชื่อสินค้า!A:D,4,FALSE),"")</f>
        <v/>
      </c>
      <c r="E55" s="9"/>
      <c r="F55" s="9"/>
      <c r="G55" s="8" t="str">
        <f t="shared" ref="G55" si="0">IF(LEN(B55)&gt;0,C55*E55+F55,"")</f>
        <v/>
      </c>
      <c r="H55" s="10">
        <f t="shared" ref="H55" si="1">IF(B55&lt;&gt;"",COUNTIF($B$2:B55, B55) &amp; "-" &amp; B55,)</f>
        <v>0</v>
      </c>
      <c r="I55" s="8">
        <f>IF(G55&lt;&gt;"",E55-SUMIFS(ขายสินค้า!E:E,ขายสินค้า!G:G,H55),)</f>
        <v>0</v>
      </c>
      <c r="J55" s="11">
        <f t="shared" ref="J55" si="2">IF(G55&lt;&gt;"",G55/E55,)</f>
        <v>0</v>
      </c>
      <c r="K55" s="11">
        <f>IF(B55&lt;&gt;"", IFERROR(SUMIF(ขายสินค้า!G:G,H55,ขายสินค้า!F:F)/(E55-I55),0),)</f>
        <v>0</v>
      </c>
      <c r="L55" s="12">
        <f t="shared" ref="L55" si="3">IF(B55&lt;&gt;"",IFERROR((K55-J55)/K55,0),)</f>
        <v>0</v>
      </c>
      <c r="M55" s="13">
        <f t="shared" ref="M55" si="4">IF(G55&lt;&gt;"",I55*J55,)</f>
        <v>0</v>
      </c>
    </row>
    <row r="56" spans="1:13">
      <c r="A56" s="14"/>
      <c r="B56" s="6"/>
      <c r="C56" s="7">
        <f>IFERROR(VLOOKUP(B56,ชื่อสินค้า!A:C,2,FALSE),)</f>
        <v>0</v>
      </c>
      <c r="D56" s="8" t="str">
        <f>IFERROR(VLOOKUP(B56,ชื่อสินค้า!A:D,4,FALSE),"")</f>
        <v/>
      </c>
      <c r="E56" s="9"/>
      <c r="F56" s="9"/>
      <c r="G56" s="8" t="str">
        <f t="shared" ref="G2:G256" si="5">IF(LEN(B56)&gt;0,C56*E56+F56,"")</f>
        <v/>
      </c>
      <c r="H56" s="10">
        <f t="shared" ref="H2:H256" si="6">IF(B56&lt;&gt;"",COUNTIF($B$2:B56, B56) &amp; "-" &amp; B56,)</f>
        <v>0</v>
      </c>
      <c r="I56" s="8">
        <f>IF(G56&lt;&gt;"",E56-SUMIFS(ขายสินค้า!E:E,ขายสินค้า!G:G,H56),)</f>
        <v>0</v>
      </c>
      <c r="J56" s="11">
        <f t="shared" ref="J2:J256" si="7">IF(G56&lt;&gt;"",G56/E56,)</f>
        <v>0</v>
      </c>
      <c r="K56" s="11">
        <f>IF(B56&lt;&gt;"", IFERROR(SUMIF(ขายสินค้า!G:G,H56,ขายสินค้า!F:F)/(E56-I56),0),)</f>
        <v>0</v>
      </c>
      <c r="L56" s="12">
        <f t="shared" ref="L2:L256" si="8">IF(B56&lt;&gt;"",IFERROR((K56-J56)/K56,0),)</f>
        <v>0</v>
      </c>
      <c r="M56" s="13">
        <f t="shared" ref="M2:M256" si="9">IF(G56&lt;&gt;"",I56*J56,)</f>
        <v>0</v>
      </c>
    </row>
    <row r="57" spans="1:13">
      <c r="A57" s="14"/>
      <c r="B57" s="6"/>
      <c r="C57" s="7">
        <f>IFERROR(VLOOKUP(B57,ชื่อสินค้า!A:C,2,FALSE),)</f>
        <v>0</v>
      </c>
      <c r="D57" s="8" t="str">
        <f>IFERROR(VLOOKUP(B57,ชื่อสินค้า!A:D,4,FALSE),"")</f>
        <v/>
      </c>
      <c r="E57" s="9"/>
      <c r="F57" s="9"/>
      <c r="G57" s="8" t="str">
        <f t="shared" si="5"/>
        <v/>
      </c>
      <c r="H57" s="10">
        <f t="shared" si="6"/>
        <v>0</v>
      </c>
      <c r="I57" s="8">
        <f>IF(G57&lt;&gt;"",E57-SUMIFS(ขายสินค้า!E:E,ขายสินค้า!G:G,H57),)</f>
        <v>0</v>
      </c>
      <c r="J57" s="11">
        <f t="shared" si="7"/>
        <v>0</v>
      </c>
      <c r="K57" s="11">
        <f>IF(B57&lt;&gt;"", IFERROR(SUMIF(ขายสินค้า!G:G,H57,ขายสินค้า!F:F)/(E57-I57),0),)</f>
        <v>0</v>
      </c>
      <c r="L57" s="12">
        <f t="shared" si="8"/>
        <v>0</v>
      </c>
      <c r="M57" s="13">
        <f t="shared" si="9"/>
        <v>0</v>
      </c>
    </row>
    <row r="58" spans="1:13">
      <c r="A58" s="14"/>
      <c r="B58" s="6"/>
      <c r="C58" s="7">
        <f>IFERROR(VLOOKUP(B58,ชื่อสินค้า!A:C,2,FALSE),)</f>
        <v>0</v>
      </c>
      <c r="D58" s="8" t="str">
        <f>IFERROR(VLOOKUP(B58,ชื่อสินค้า!A:D,4,FALSE),"")</f>
        <v/>
      </c>
      <c r="E58" s="9"/>
      <c r="F58" s="9"/>
      <c r="G58" s="8" t="str">
        <f t="shared" si="5"/>
        <v/>
      </c>
      <c r="H58" s="10">
        <f t="shared" si="6"/>
        <v>0</v>
      </c>
      <c r="I58" s="8">
        <f>IF(G58&lt;&gt;"",E58-SUMIFS(ขายสินค้า!E:E,ขายสินค้า!G:G,H58),)</f>
        <v>0</v>
      </c>
      <c r="J58" s="11">
        <f t="shared" si="7"/>
        <v>0</v>
      </c>
      <c r="K58" s="11">
        <f>IF(B58&lt;&gt;"", IFERROR(SUMIF(ขายสินค้า!G:G,H58,ขายสินค้า!F:F)/(E58-I58),0),)</f>
        <v>0</v>
      </c>
      <c r="L58" s="12">
        <f t="shared" si="8"/>
        <v>0</v>
      </c>
      <c r="M58" s="13">
        <f t="shared" si="9"/>
        <v>0</v>
      </c>
    </row>
    <row r="59" spans="1:13">
      <c r="A59" s="14"/>
      <c r="B59" s="6"/>
      <c r="C59" s="7">
        <f>IFERROR(VLOOKUP(B59,ชื่อสินค้า!A:C,2,FALSE),)</f>
        <v>0</v>
      </c>
      <c r="D59" s="8" t="str">
        <f>IFERROR(VLOOKUP(B59,ชื่อสินค้า!A:D,4,FALSE),"")</f>
        <v/>
      </c>
      <c r="E59" s="9"/>
      <c r="F59" s="9"/>
      <c r="G59" s="8" t="str">
        <f t="shared" si="5"/>
        <v/>
      </c>
      <c r="H59" s="10">
        <f t="shared" si="6"/>
        <v>0</v>
      </c>
      <c r="I59" s="8">
        <f>IF(G59&lt;&gt;"",E59-SUMIFS(ขายสินค้า!E:E,ขายสินค้า!G:G,H59),)</f>
        <v>0</v>
      </c>
      <c r="J59" s="11">
        <f t="shared" si="7"/>
        <v>0</v>
      </c>
      <c r="K59" s="11">
        <f>IF(B59&lt;&gt;"", IFERROR(SUMIF(ขายสินค้า!G:G,H59,ขายสินค้า!F:F)/(E59-I59),0),)</f>
        <v>0</v>
      </c>
      <c r="L59" s="12">
        <f t="shared" si="8"/>
        <v>0</v>
      </c>
      <c r="M59" s="13">
        <f t="shared" si="9"/>
        <v>0</v>
      </c>
    </row>
    <row r="60" spans="1:13">
      <c r="A60" s="14"/>
      <c r="B60" s="6"/>
      <c r="C60" s="7">
        <f>IFERROR(VLOOKUP(B60,ชื่อสินค้า!A:C,2,FALSE),)</f>
        <v>0</v>
      </c>
      <c r="D60" s="8" t="str">
        <f>IFERROR(VLOOKUP(B60,ชื่อสินค้า!A:D,4,FALSE),"")</f>
        <v/>
      </c>
      <c r="E60" s="9"/>
      <c r="F60" s="9"/>
      <c r="G60" s="8" t="str">
        <f t="shared" si="5"/>
        <v/>
      </c>
      <c r="H60" s="10">
        <f t="shared" si="6"/>
        <v>0</v>
      </c>
      <c r="I60" s="8">
        <f>IF(G60&lt;&gt;"",E60-SUMIFS(ขายสินค้า!E:E,ขายสินค้า!G:G,H60),)</f>
        <v>0</v>
      </c>
      <c r="J60" s="11">
        <f t="shared" si="7"/>
        <v>0</v>
      </c>
      <c r="K60" s="11">
        <f>IF(B60&lt;&gt;"", IFERROR(SUMIF(ขายสินค้า!G:G,H60,ขายสินค้า!F:F)/(E60-I60),0),)</f>
        <v>0</v>
      </c>
      <c r="L60" s="12">
        <f t="shared" si="8"/>
        <v>0</v>
      </c>
      <c r="M60" s="13">
        <f t="shared" si="9"/>
        <v>0</v>
      </c>
    </row>
    <row r="61" spans="1:13">
      <c r="A61" s="14"/>
      <c r="B61" s="6"/>
      <c r="C61" s="7">
        <f>IFERROR(VLOOKUP(B61,ชื่อสินค้า!A:C,2,FALSE),)</f>
        <v>0</v>
      </c>
      <c r="D61" s="8" t="str">
        <f>IFERROR(VLOOKUP(B61,ชื่อสินค้า!A:D,4,FALSE),"")</f>
        <v/>
      </c>
      <c r="E61" s="9"/>
      <c r="F61" s="9"/>
      <c r="G61" s="8" t="str">
        <f t="shared" si="5"/>
        <v/>
      </c>
      <c r="H61" s="10">
        <f t="shared" si="6"/>
        <v>0</v>
      </c>
      <c r="I61" s="8">
        <f>IF(G61&lt;&gt;"",E61-SUMIFS(ขายสินค้า!E:E,ขายสินค้า!G:G,H61),)</f>
        <v>0</v>
      </c>
      <c r="J61" s="11">
        <f t="shared" si="7"/>
        <v>0</v>
      </c>
      <c r="K61" s="11">
        <f>IF(B61&lt;&gt;"", IFERROR(SUMIF(ขายสินค้า!G:G,H61,ขายสินค้า!F:F)/(E61-I61),0),)</f>
        <v>0</v>
      </c>
      <c r="L61" s="12">
        <f t="shared" si="8"/>
        <v>0</v>
      </c>
      <c r="M61" s="13">
        <f t="shared" si="9"/>
        <v>0</v>
      </c>
    </row>
    <row r="62" spans="1:13">
      <c r="A62" s="14"/>
      <c r="B62" s="6"/>
      <c r="C62" s="7">
        <f>IFERROR(VLOOKUP(B62,ชื่อสินค้า!A:C,2,FALSE),)</f>
        <v>0</v>
      </c>
      <c r="D62" s="8" t="str">
        <f>IFERROR(VLOOKUP(B62,ชื่อสินค้า!A:D,4,FALSE),"")</f>
        <v/>
      </c>
      <c r="E62" s="9"/>
      <c r="F62" s="9"/>
      <c r="G62" s="8" t="str">
        <f t="shared" si="5"/>
        <v/>
      </c>
      <c r="H62" s="10">
        <f t="shared" si="6"/>
        <v>0</v>
      </c>
      <c r="I62" s="8">
        <f>IF(G62&lt;&gt;"",E62-SUMIFS(ขายสินค้า!E:E,ขายสินค้า!G:G,H62),)</f>
        <v>0</v>
      </c>
      <c r="J62" s="11">
        <f t="shared" si="7"/>
        <v>0</v>
      </c>
      <c r="K62" s="11">
        <f>IF(B62&lt;&gt;"", IFERROR(SUMIF(ขายสินค้า!G:G,H62,ขายสินค้า!F:F)/(E62-I62),0),)</f>
        <v>0</v>
      </c>
      <c r="L62" s="12">
        <f t="shared" si="8"/>
        <v>0</v>
      </c>
      <c r="M62" s="13">
        <f t="shared" si="9"/>
        <v>0</v>
      </c>
    </row>
    <row r="63" spans="1:13">
      <c r="A63" s="14"/>
      <c r="B63" s="6"/>
      <c r="C63" s="7">
        <f>IFERROR(VLOOKUP(B63,ชื่อสินค้า!A:C,2,FALSE),)</f>
        <v>0</v>
      </c>
      <c r="D63" s="8" t="str">
        <f>IFERROR(VLOOKUP(B63,ชื่อสินค้า!A:D,4,FALSE),"")</f>
        <v/>
      </c>
      <c r="E63" s="9"/>
      <c r="F63" s="9"/>
      <c r="G63" s="8" t="str">
        <f t="shared" si="5"/>
        <v/>
      </c>
      <c r="H63" s="10">
        <f t="shared" si="6"/>
        <v>0</v>
      </c>
      <c r="I63" s="8">
        <f>IF(G63&lt;&gt;"",E63-SUMIFS(ขายสินค้า!E:E,ขายสินค้า!G:G,H63),)</f>
        <v>0</v>
      </c>
      <c r="J63" s="11">
        <f t="shared" si="7"/>
        <v>0</v>
      </c>
      <c r="K63" s="11">
        <f>IF(B63&lt;&gt;"", IFERROR(SUMIF(ขายสินค้า!G:G,H63,ขายสินค้า!F:F)/(E63-I63),0),)</f>
        <v>0</v>
      </c>
      <c r="L63" s="12">
        <f t="shared" si="8"/>
        <v>0</v>
      </c>
      <c r="M63" s="13">
        <f t="shared" si="9"/>
        <v>0</v>
      </c>
    </row>
    <row r="64" spans="1:13">
      <c r="A64" s="14"/>
      <c r="B64" s="6"/>
      <c r="C64" s="7">
        <f>IFERROR(VLOOKUP(B64,ชื่อสินค้า!A:C,2,FALSE),)</f>
        <v>0</v>
      </c>
      <c r="D64" s="8" t="str">
        <f>IFERROR(VLOOKUP(B64,ชื่อสินค้า!A:D,4,FALSE),"")</f>
        <v/>
      </c>
      <c r="E64" s="9"/>
      <c r="F64" s="9"/>
      <c r="G64" s="8" t="str">
        <f t="shared" si="5"/>
        <v/>
      </c>
      <c r="H64" s="10">
        <f t="shared" si="6"/>
        <v>0</v>
      </c>
      <c r="I64" s="8">
        <f>IF(G64&lt;&gt;"",E64-SUMIFS(ขายสินค้า!E:E,ขายสินค้า!G:G,H64),)</f>
        <v>0</v>
      </c>
      <c r="J64" s="11">
        <f t="shared" si="7"/>
        <v>0</v>
      </c>
      <c r="K64" s="11">
        <f>IF(B64&lt;&gt;"", IFERROR(SUMIF(ขายสินค้า!G:G,H64,ขายสินค้า!F:F)/(E64-I64),0),)</f>
        <v>0</v>
      </c>
      <c r="L64" s="12">
        <f t="shared" si="8"/>
        <v>0</v>
      </c>
      <c r="M64" s="13">
        <f t="shared" si="9"/>
        <v>0</v>
      </c>
    </row>
    <row r="65" spans="1:13">
      <c r="A65" s="14"/>
      <c r="B65" s="6"/>
      <c r="C65" s="7">
        <f>IFERROR(VLOOKUP(B65,ชื่อสินค้า!A:C,2,FALSE),)</f>
        <v>0</v>
      </c>
      <c r="D65" s="8" t="str">
        <f>IFERROR(VLOOKUP(B65,ชื่อสินค้า!A:D,4,FALSE),"")</f>
        <v/>
      </c>
      <c r="E65" s="9"/>
      <c r="F65" s="9"/>
      <c r="G65" s="8" t="str">
        <f t="shared" si="5"/>
        <v/>
      </c>
      <c r="H65" s="10">
        <f t="shared" si="6"/>
        <v>0</v>
      </c>
      <c r="I65" s="8">
        <f>IF(G65&lt;&gt;"",E65-SUMIFS(ขายสินค้า!E:E,ขายสินค้า!G:G,H65),)</f>
        <v>0</v>
      </c>
      <c r="J65" s="11">
        <f t="shared" si="7"/>
        <v>0</v>
      </c>
      <c r="K65" s="11">
        <f>IF(B65&lt;&gt;"", IFERROR(SUMIF(ขายสินค้า!G:G,H65,ขายสินค้า!F:F)/(E65-I65),0),)</f>
        <v>0</v>
      </c>
      <c r="L65" s="12">
        <f t="shared" si="8"/>
        <v>0</v>
      </c>
      <c r="M65" s="13">
        <f t="shared" si="9"/>
        <v>0</v>
      </c>
    </row>
    <row r="66" spans="1:13">
      <c r="A66" s="14"/>
      <c r="B66" s="6"/>
      <c r="C66" s="7">
        <f>IFERROR(VLOOKUP(B66,ชื่อสินค้า!A:C,2,FALSE),)</f>
        <v>0</v>
      </c>
      <c r="D66" s="8" t="str">
        <f>IFERROR(VLOOKUP(B66,ชื่อสินค้า!A:D,4,FALSE),"")</f>
        <v/>
      </c>
      <c r="E66" s="9"/>
      <c r="F66" s="9"/>
      <c r="G66" s="8" t="str">
        <f t="shared" si="5"/>
        <v/>
      </c>
      <c r="H66" s="10">
        <f t="shared" si="6"/>
        <v>0</v>
      </c>
      <c r="I66" s="8">
        <f>IF(G66&lt;&gt;"",E66-SUMIFS(ขายสินค้า!E:E,ขายสินค้า!G:G,H66),)</f>
        <v>0</v>
      </c>
      <c r="J66" s="11">
        <f t="shared" si="7"/>
        <v>0</v>
      </c>
      <c r="K66" s="11">
        <f>IF(B66&lt;&gt;"", IFERROR(SUMIF(ขายสินค้า!G:G,H66,ขายสินค้า!F:F)/(E66-I66),0),)</f>
        <v>0</v>
      </c>
      <c r="L66" s="12">
        <f t="shared" si="8"/>
        <v>0</v>
      </c>
      <c r="M66" s="13">
        <f t="shared" si="9"/>
        <v>0</v>
      </c>
    </row>
    <row r="67" spans="1:13">
      <c r="A67" s="14"/>
      <c r="B67" s="6"/>
      <c r="C67" s="7">
        <f>IFERROR(VLOOKUP(B67,ชื่อสินค้า!A:C,2,FALSE),)</f>
        <v>0</v>
      </c>
      <c r="D67" s="8" t="str">
        <f>IFERROR(VLOOKUP(B67,ชื่อสินค้า!A:D,4,FALSE),"")</f>
        <v/>
      </c>
      <c r="E67" s="9"/>
      <c r="F67" s="9"/>
      <c r="G67" s="8" t="str">
        <f t="shared" si="5"/>
        <v/>
      </c>
      <c r="H67" s="10">
        <f t="shared" si="6"/>
        <v>0</v>
      </c>
      <c r="I67" s="8">
        <f>IF(G67&lt;&gt;"",E67-SUMIFS(ขายสินค้า!E:E,ขายสินค้า!G:G,H67),)</f>
        <v>0</v>
      </c>
      <c r="J67" s="11">
        <f t="shared" si="7"/>
        <v>0</v>
      </c>
      <c r="K67" s="11">
        <f>IF(B67&lt;&gt;"", IFERROR(SUMIF(ขายสินค้า!G:G,H67,ขายสินค้า!F:F)/(E67-I67),0),)</f>
        <v>0</v>
      </c>
      <c r="L67" s="12">
        <f t="shared" si="8"/>
        <v>0</v>
      </c>
      <c r="M67" s="13">
        <f t="shared" si="9"/>
        <v>0</v>
      </c>
    </row>
    <row r="68" spans="1:13">
      <c r="A68" s="14"/>
      <c r="B68" s="6"/>
      <c r="C68" s="7">
        <f>IFERROR(VLOOKUP(B68,ชื่อสินค้า!A:C,2,FALSE),)</f>
        <v>0</v>
      </c>
      <c r="D68" s="8" t="str">
        <f>IFERROR(VLOOKUP(B68,ชื่อสินค้า!A:D,4,FALSE),"")</f>
        <v/>
      </c>
      <c r="E68" s="9"/>
      <c r="F68" s="9"/>
      <c r="G68" s="8" t="str">
        <f t="shared" si="5"/>
        <v/>
      </c>
      <c r="H68" s="10">
        <f t="shared" si="6"/>
        <v>0</v>
      </c>
      <c r="I68" s="8">
        <f>IF(G68&lt;&gt;"",E68-SUMIFS(ขายสินค้า!E:E,ขายสินค้า!G:G,H68),)</f>
        <v>0</v>
      </c>
      <c r="J68" s="11">
        <f t="shared" si="7"/>
        <v>0</v>
      </c>
      <c r="K68" s="11">
        <f>IF(B68&lt;&gt;"", IFERROR(SUMIF(ขายสินค้า!G:G,H68,ขายสินค้า!F:F)/(E68-I68),0),)</f>
        <v>0</v>
      </c>
      <c r="L68" s="12">
        <f t="shared" si="8"/>
        <v>0</v>
      </c>
      <c r="M68" s="13">
        <f t="shared" si="9"/>
        <v>0</v>
      </c>
    </row>
    <row r="69" spans="1:13">
      <c r="A69" s="14"/>
      <c r="B69" s="6"/>
      <c r="C69" s="7">
        <f>IFERROR(VLOOKUP(B69,ชื่อสินค้า!A:C,2,FALSE),)</f>
        <v>0</v>
      </c>
      <c r="D69" s="8" t="str">
        <f>IFERROR(VLOOKUP(B69,ชื่อสินค้า!A:D,4,FALSE),"")</f>
        <v/>
      </c>
      <c r="E69" s="9"/>
      <c r="F69" s="9"/>
      <c r="G69" s="8" t="str">
        <f t="shared" si="5"/>
        <v/>
      </c>
      <c r="H69" s="10">
        <f t="shared" si="6"/>
        <v>0</v>
      </c>
      <c r="I69" s="8">
        <f>IF(G69&lt;&gt;"",E69-SUMIFS(ขายสินค้า!E:E,ขายสินค้า!G:G,H69),)</f>
        <v>0</v>
      </c>
      <c r="J69" s="11">
        <f t="shared" si="7"/>
        <v>0</v>
      </c>
      <c r="K69" s="11">
        <f>IF(B69&lt;&gt;"", IFERROR(SUMIF(ขายสินค้า!G:G,H69,ขายสินค้า!F:F)/(E69-I69),0),)</f>
        <v>0</v>
      </c>
      <c r="L69" s="12">
        <f t="shared" si="8"/>
        <v>0</v>
      </c>
      <c r="M69" s="13">
        <f t="shared" si="9"/>
        <v>0</v>
      </c>
    </row>
    <row r="70" spans="1:13">
      <c r="A70" s="14"/>
      <c r="B70" s="6"/>
      <c r="C70" s="7">
        <f>IFERROR(VLOOKUP(B70,ชื่อสินค้า!A:C,2,FALSE),)</f>
        <v>0</v>
      </c>
      <c r="D70" s="8" t="str">
        <f>IFERROR(VLOOKUP(B70,ชื่อสินค้า!A:D,4,FALSE),"")</f>
        <v/>
      </c>
      <c r="E70" s="9"/>
      <c r="F70" s="9"/>
      <c r="G70" s="8" t="str">
        <f t="shared" si="5"/>
        <v/>
      </c>
      <c r="H70" s="10">
        <f t="shared" si="6"/>
        <v>0</v>
      </c>
      <c r="I70" s="8">
        <f>IF(G70&lt;&gt;"",E70-SUMIFS(ขายสินค้า!E:E,ขายสินค้า!G:G,H70),)</f>
        <v>0</v>
      </c>
      <c r="J70" s="11">
        <f t="shared" si="7"/>
        <v>0</v>
      </c>
      <c r="K70" s="11">
        <f>IF(B70&lt;&gt;"", IFERROR(SUMIF(ขายสินค้า!G:G,H70,ขายสินค้า!F:F)/(E70-I70),0),)</f>
        <v>0</v>
      </c>
      <c r="L70" s="12">
        <f t="shared" si="8"/>
        <v>0</v>
      </c>
      <c r="M70" s="13">
        <f t="shared" si="9"/>
        <v>0</v>
      </c>
    </row>
    <row r="71" spans="1:13">
      <c r="A71" s="14"/>
      <c r="B71" s="6"/>
      <c r="C71" s="7">
        <f>IFERROR(VLOOKUP(B71,ชื่อสินค้า!A:C,2,FALSE),)</f>
        <v>0</v>
      </c>
      <c r="D71" s="8" t="str">
        <f>IFERROR(VLOOKUP(B71,ชื่อสินค้า!A:D,4,FALSE),"")</f>
        <v/>
      </c>
      <c r="E71" s="9"/>
      <c r="F71" s="9"/>
      <c r="G71" s="8" t="str">
        <f t="shared" si="5"/>
        <v/>
      </c>
      <c r="H71" s="10">
        <f t="shared" si="6"/>
        <v>0</v>
      </c>
      <c r="I71" s="8">
        <f>IF(G71&lt;&gt;"",E71-SUMIFS(ขายสินค้า!E:E,ขายสินค้า!G:G,H71),)</f>
        <v>0</v>
      </c>
      <c r="J71" s="11">
        <f t="shared" si="7"/>
        <v>0</v>
      </c>
      <c r="K71" s="11">
        <f>IF(B71&lt;&gt;"", IFERROR(SUMIF(ขายสินค้า!G:G,H71,ขายสินค้า!F:F)/(E71-I71),0),)</f>
        <v>0</v>
      </c>
      <c r="L71" s="12">
        <f t="shared" si="8"/>
        <v>0</v>
      </c>
      <c r="M71" s="13">
        <f t="shared" si="9"/>
        <v>0</v>
      </c>
    </row>
    <row r="72" spans="1:13">
      <c r="A72" s="14"/>
      <c r="B72" s="6"/>
      <c r="C72" s="7">
        <f>IFERROR(VLOOKUP(B72,ชื่อสินค้า!A:C,2,FALSE),)</f>
        <v>0</v>
      </c>
      <c r="D72" s="8" t="str">
        <f>IFERROR(VLOOKUP(B72,ชื่อสินค้า!A:D,4,FALSE),"")</f>
        <v/>
      </c>
      <c r="E72" s="9"/>
      <c r="F72" s="9"/>
      <c r="G72" s="8" t="str">
        <f t="shared" si="5"/>
        <v/>
      </c>
      <c r="H72" s="10">
        <f t="shared" si="6"/>
        <v>0</v>
      </c>
      <c r="I72" s="8">
        <f>IF(G72&lt;&gt;"",E72-SUMIFS(ขายสินค้า!E:E,ขายสินค้า!G:G,H72),)</f>
        <v>0</v>
      </c>
      <c r="J72" s="11">
        <f t="shared" si="7"/>
        <v>0</v>
      </c>
      <c r="K72" s="11">
        <f>IF(B72&lt;&gt;"", IFERROR(SUMIF(ขายสินค้า!G:G,H72,ขายสินค้า!F:F)/(E72-I72),0),)</f>
        <v>0</v>
      </c>
      <c r="L72" s="12">
        <f t="shared" si="8"/>
        <v>0</v>
      </c>
      <c r="M72" s="13">
        <f t="shared" si="9"/>
        <v>0</v>
      </c>
    </row>
    <row r="73" spans="1:13">
      <c r="A73" s="14"/>
      <c r="B73" s="6"/>
      <c r="C73" s="7">
        <f>IFERROR(VLOOKUP(B73,ชื่อสินค้า!A:C,2,FALSE),)</f>
        <v>0</v>
      </c>
      <c r="D73" s="8" t="str">
        <f>IFERROR(VLOOKUP(B73,ชื่อสินค้า!A:D,4,FALSE),"")</f>
        <v/>
      </c>
      <c r="E73" s="9"/>
      <c r="F73" s="9"/>
      <c r="G73" s="8" t="str">
        <f t="shared" si="5"/>
        <v/>
      </c>
      <c r="H73" s="10">
        <f t="shared" si="6"/>
        <v>0</v>
      </c>
      <c r="I73" s="8">
        <f>IF(G73&lt;&gt;"",E73-SUMIFS(ขายสินค้า!E:E,ขายสินค้า!G:G,H73),)</f>
        <v>0</v>
      </c>
      <c r="J73" s="11">
        <f t="shared" si="7"/>
        <v>0</v>
      </c>
      <c r="K73" s="11">
        <f>IF(B73&lt;&gt;"", IFERROR(SUMIF(ขายสินค้า!G:G,H73,ขายสินค้า!F:F)/(E73-I73),0),)</f>
        <v>0</v>
      </c>
      <c r="L73" s="12">
        <f t="shared" si="8"/>
        <v>0</v>
      </c>
      <c r="M73" s="13">
        <f t="shared" si="9"/>
        <v>0</v>
      </c>
    </row>
    <row r="74" spans="1:13">
      <c r="A74" s="14"/>
      <c r="B74" s="6"/>
      <c r="C74" s="7">
        <f>IFERROR(VLOOKUP(B74,ชื่อสินค้า!A:C,2,FALSE),)</f>
        <v>0</v>
      </c>
      <c r="D74" s="8" t="str">
        <f>IFERROR(VLOOKUP(B74,ชื่อสินค้า!A:D,4,FALSE),"")</f>
        <v/>
      </c>
      <c r="E74" s="9"/>
      <c r="F74" s="9"/>
      <c r="G74" s="8" t="str">
        <f t="shared" si="5"/>
        <v/>
      </c>
      <c r="H74" s="10">
        <f t="shared" si="6"/>
        <v>0</v>
      </c>
      <c r="I74" s="8">
        <f>IF(G74&lt;&gt;"",E74-SUMIFS(ขายสินค้า!E:E,ขายสินค้า!G:G,H74),)</f>
        <v>0</v>
      </c>
      <c r="J74" s="11">
        <f t="shared" si="7"/>
        <v>0</v>
      </c>
      <c r="K74" s="11">
        <f>IF(B74&lt;&gt;"", IFERROR(SUMIF(ขายสินค้า!G:G,H74,ขายสินค้า!F:F)/(E74-I74),0),)</f>
        <v>0</v>
      </c>
      <c r="L74" s="12">
        <f t="shared" si="8"/>
        <v>0</v>
      </c>
      <c r="M74" s="13">
        <f t="shared" si="9"/>
        <v>0</v>
      </c>
    </row>
    <row r="75" spans="1:13">
      <c r="A75" s="14"/>
      <c r="B75" s="6"/>
      <c r="C75" s="7">
        <f>IFERROR(VLOOKUP(B75,ชื่อสินค้า!A:C,2,FALSE),)</f>
        <v>0</v>
      </c>
      <c r="D75" s="8" t="str">
        <f>IFERROR(VLOOKUP(B75,ชื่อสินค้า!A:D,4,FALSE),"")</f>
        <v/>
      </c>
      <c r="E75" s="9"/>
      <c r="F75" s="9"/>
      <c r="G75" s="8" t="str">
        <f t="shared" si="5"/>
        <v/>
      </c>
      <c r="H75" s="10">
        <f t="shared" si="6"/>
        <v>0</v>
      </c>
      <c r="I75" s="8">
        <f>IF(G75&lt;&gt;"",E75-SUMIFS(ขายสินค้า!E:E,ขายสินค้า!G:G,H75),)</f>
        <v>0</v>
      </c>
      <c r="J75" s="11">
        <f t="shared" si="7"/>
        <v>0</v>
      </c>
      <c r="K75" s="11">
        <f>IF(B75&lt;&gt;"", IFERROR(SUMIF(ขายสินค้า!G:G,H75,ขายสินค้า!F:F)/(E75-I75),0),)</f>
        <v>0</v>
      </c>
      <c r="L75" s="12">
        <f t="shared" si="8"/>
        <v>0</v>
      </c>
      <c r="M75" s="13">
        <f t="shared" si="9"/>
        <v>0</v>
      </c>
    </row>
    <row r="76" spans="1:13">
      <c r="A76" s="14"/>
      <c r="B76" s="6"/>
      <c r="C76" s="7">
        <f>IFERROR(VLOOKUP(B76,ชื่อสินค้า!A:C,2,FALSE),)</f>
        <v>0</v>
      </c>
      <c r="D76" s="8" t="str">
        <f>IFERROR(VLOOKUP(B76,ชื่อสินค้า!A:D,4,FALSE),"")</f>
        <v/>
      </c>
      <c r="E76" s="9"/>
      <c r="F76" s="9"/>
      <c r="G76" s="8" t="str">
        <f t="shared" si="5"/>
        <v/>
      </c>
      <c r="H76" s="10">
        <f t="shared" si="6"/>
        <v>0</v>
      </c>
      <c r="I76" s="8">
        <f>IF(G76&lt;&gt;"",E76-SUMIFS(ขายสินค้า!E:E,ขายสินค้า!G:G,H76),)</f>
        <v>0</v>
      </c>
      <c r="J76" s="11">
        <f t="shared" si="7"/>
        <v>0</v>
      </c>
      <c r="K76" s="11">
        <f>IF(B76&lt;&gt;"", IFERROR(SUMIF(ขายสินค้า!G:G,H76,ขายสินค้า!F:F)/(E76-I76),0),)</f>
        <v>0</v>
      </c>
      <c r="L76" s="12">
        <f t="shared" si="8"/>
        <v>0</v>
      </c>
      <c r="M76" s="13">
        <f t="shared" si="9"/>
        <v>0</v>
      </c>
    </row>
    <row r="77" spans="1:13">
      <c r="A77" s="14"/>
      <c r="B77" s="6"/>
      <c r="C77" s="7">
        <f>IFERROR(VLOOKUP(B77,ชื่อสินค้า!A:C,2,FALSE),)</f>
        <v>0</v>
      </c>
      <c r="D77" s="8" t="str">
        <f>IFERROR(VLOOKUP(B77,ชื่อสินค้า!A:D,4,FALSE),"")</f>
        <v/>
      </c>
      <c r="E77" s="9"/>
      <c r="F77" s="9"/>
      <c r="G77" s="8" t="str">
        <f t="shared" si="5"/>
        <v/>
      </c>
      <c r="H77" s="10">
        <f t="shared" si="6"/>
        <v>0</v>
      </c>
      <c r="I77" s="8">
        <f>IF(G77&lt;&gt;"",E77-SUMIFS(ขายสินค้า!E:E,ขายสินค้า!G:G,H77),)</f>
        <v>0</v>
      </c>
      <c r="J77" s="11">
        <f t="shared" si="7"/>
        <v>0</v>
      </c>
      <c r="K77" s="11">
        <f>IF(B77&lt;&gt;"", IFERROR(SUMIF(ขายสินค้า!G:G,H77,ขายสินค้า!F:F)/(E77-I77),0),)</f>
        <v>0</v>
      </c>
      <c r="L77" s="12">
        <f t="shared" si="8"/>
        <v>0</v>
      </c>
      <c r="M77" s="13">
        <f t="shared" si="9"/>
        <v>0</v>
      </c>
    </row>
    <row r="78" spans="1:13">
      <c r="A78" s="14"/>
      <c r="B78" s="6"/>
      <c r="C78" s="7">
        <f>IFERROR(VLOOKUP(B78,ชื่อสินค้า!A:C,2,FALSE),)</f>
        <v>0</v>
      </c>
      <c r="D78" s="8" t="str">
        <f>IFERROR(VLOOKUP(B78,ชื่อสินค้า!A:D,4,FALSE),"")</f>
        <v/>
      </c>
      <c r="E78" s="9"/>
      <c r="F78" s="9"/>
      <c r="G78" s="8" t="str">
        <f t="shared" si="5"/>
        <v/>
      </c>
      <c r="H78" s="10">
        <f t="shared" si="6"/>
        <v>0</v>
      </c>
      <c r="I78" s="8">
        <f>IF(G78&lt;&gt;"",E78-SUMIFS(ขายสินค้า!E:E,ขายสินค้า!G:G,H78),)</f>
        <v>0</v>
      </c>
      <c r="J78" s="11">
        <f t="shared" si="7"/>
        <v>0</v>
      </c>
      <c r="K78" s="11">
        <f>IF(B78&lt;&gt;"", IFERROR(SUMIF(ขายสินค้า!G:G,H78,ขายสินค้า!F:F)/(E78-I78),0),)</f>
        <v>0</v>
      </c>
      <c r="L78" s="12">
        <f t="shared" si="8"/>
        <v>0</v>
      </c>
      <c r="M78" s="13">
        <f t="shared" si="9"/>
        <v>0</v>
      </c>
    </row>
    <row r="79" spans="1:13">
      <c r="A79" s="14"/>
      <c r="B79" s="6"/>
      <c r="C79" s="7">
        <f>IFERROR(VLOOKUP(B79,ชื่อสินค้า!A:C,2,FALSE),)</f>
        <v>0</v>
      </c>
      <c r="D79" s="8" t="str">
        <f>IFERROR(VLOOKUP(B79,ชื่อสินค้า!A:D,4,FALSE),"")</f>
        <v/>
      </c>
      <c r="E79" s="9"/>
      <c r="F79" s="9"/>
      <c r="G79" s="8" t="str">
        <f t="shared" si="5"/>
        <v/>
      </c>
      <c r="H79" s="10">
        <f t="shared" si="6"/>
        <v>0</v>
      </c>
      <c r="I79" s="8">
        <f>IF(G79&lt;&gt;"",E79-SUMIFS(ขายสินค้า!E:E,ขายสินค้า!G:G,H79),)</f>
        <v>0</v>
      </c>
      <c r="J79" s="11">
        <f t="shared" si="7"/>
        <v>0</v>
      </c>
      <c r="K79" s="11">
        <f>IF(B79&lt;&gt;"", IFERROR(SUMIF(ขายสินค้า!G:G,H79,ขายสินค้า!F:F)/(E79-I79),0),)</f>
        <v>0</v>
      </c>
      <c r="L79" s="12">
        <f t="shared" si="8"/>
        <v>0</v>
      </c>
      <c r="M79" s="13">
        <f t="shared" si="9"/>
        <v>0</v>
      </c>
    </row>
    <row r="80" spans="1:13">
      <c r="A80" s="14"/>
      <c r="B80" s="6"/>
      <c r="C80" s="7">
        <f>IFERROR(VLOOKUP(B80,ชื่อสินค้า!A:C,2,FALSE),)</f>
        <v>0</v>
      </c>
      <c r="D80" s="8" t="str">
        <f>IFERROR(VLOOKUP(B80,ชื่อสินค้า!A:D,4,FALSE),"")</f>
        <v/>
      </c>
      <c r="E80" s="9"/>
      <c r="F80" s="9"/>
      <c r="G80" s="8" t="str">
        <f t="shared" si="5"/>
        <v/>
      </c>
      <c r="H80" s="10">
        <f t="shared" si="6"/>
        <v>0</v>
      </c>
      <c r="I80" s="8">
        <f>IF(G80&lt;&gt;"",E80-SUMIFS(ขายสินค้า!E:E,ขายสินค้า!G:G,H80),)</f>
        <v>0</v>
      </c>
      <c r="J80" s="11">
        <f t="shared" si="7"/>
        <v>0</v>
      </c>
      <c r="K80" s="11">
        <f>IF(B80&lt;&gt;"", IFERROR(SUMIF(ขายสินค้า!G:G,H80,ขายสินค้า!F:F)/(E80-I80),0),)</f>
        <v>0</v>
      </c>
      <c r="L80" s="12">
        <f t="shared" si="8"/>
        <v>0</v>
      </c>
      <c r="M80" s="13">
        <f t="shared" si="9"/>
        <v>0</v>
      </c>
    </row>
    <row r="81" spans="1:13">
      <c r="A81" s="14"/>
      <c r="B81" s="6"/>
      <c r="C81" s="7">
        <f>IFERROR(VLOOKUP(B81,ชื่อสินค้า!A:C,2,FALSE),)</f>
        <v>0</v>
      </c>
      <c r="D81" s="8" t="str">
        <f>IFERROR(VLOOKUP(B81,ชื่อสินค้า!A:D,4,FALSE),"")</f>
        <v/>
      </c>
      <c r="E81" s="9"/>
      <c r="F81" s="9"/>
      <c r="G81" s="8" t="str">
        <f t="shared" si="5"/>
        <v/>
      </c>
      <c r="H81" s="10">
        <f t="shared" si="6"/>
        <v>0</v>
      </c>
      <c r="I81" s="8">
        <f>IF(G81&lt;&gt;"",E81-SUMIFS(ขายสินค้า!E:E,ขายสินค้า!G:G,H81),)</f>
        <v>0</v>
      </c>
      <c r="J81" s="11">
        <f t="shared" si="7"/>
        <v>0</v>
      </c>
      <c r="K81" s="11">
        <f>IF(B81&lt;&gt;"", IFERROR(SUMIF(ขายสินค้า!G:G,H81,ขายสินค้า!F:F)/(E81-I81),0),)</f>
        <v>0</v>
      </c>
      <c r="L81" s="12">
        <f t="shared" si="8"/>
        <v>0</v>
      </c>
      <c r="M81" s="13">
        <f t="shared" si="9"/>
        <v>0</v>
      </c>
    </row>
    <row r="82" spans="1:13">
      <c r="A82" s="14"/>
      <c r="B82" s="6"/>
      <c r="C82" s="7">
        <f>IFERROR(VLOOKUP(B82,ชื่อสินค้า!A:C,2,FALSE),)</f>
        <v>0</v>
      </c>
      <c r="D82" s="8" t="str">
        <f>IFERROR(VLOOKUP(B82,ชื่อสินค้า!A:D,4,FALSE),"")</f>
        <v/>
      </c>
      <c r="E82" s="9"/>
      <c r="F82" s="9"/>
      <c r="G82" s="8" t="str">
        <f t="shared" si="5"/>
        <v/>
      </c>
      <c r="H82" s="10">
        <f t="shared" si="6"/>
        <v>0</v>
      </c>
      <c r="I82" s="8">
        <f>IF(G82&lt;&gt;"",E82-SUMIFS(ขายสินค้า!E:E,ขายสินค้า!G:G,H82),)</f>
        <v>0</v>
      </c>
      <c r="J82" s="11">
        <f t="shared" si="7"/>
        <v>0</v>
      </c>
      <c r="K82" s="11">
        <f>IF(B82&lt;&gt;"", IFERROR(SUMIF(ขายสินค้า!G:G,H82,ขายสินค้า!F:F)/(E82-I82),0),)</f>
        <v>0</v>
      </c>
      <c r="L82" s="12">
        <f t="shared" si="8"/>
        <v>0</v>
      </c>
      <c r="M82" s="13">
        <f t="shared" si="9"/>
        <v>0</v>
      </c>
    </row>
    <row r="83" spans="1:13">
      <c r="A83" s="14"/>
      <c r="B83" s="6"/>
      <c r="C83" s="7">
        <f>IFERROR(VLOOKUP(B83,ชื่อสินค้า!A:C,2,FALSE),)</f>
        <v>0</v>
      </c>
      <c r="D83" s="8" t="str">
        <f>IFERROR(VLOOKUP(B83,ชื่อสินค้า!A:D,4,FALSE),"")</f>
        <v/>
      </c>
      <c r="E83" s="9"/>
      <c r="F83" s="9"/>
      <c r="G83" s="8" t="str">
        <f t="shared" si="5"/>
        <v/>
      </c>
      <c r="H83" s="10">
        <f t="shared" si="6"/>
        <v>0</v>
      </c>
      <c r="I83" s="8">
        <f>IF(G83&lt;&gt;"",E83-SUMIFS(ขายสินค้า!E:E,ขายสินค้า!G:G,H83),)</f>
        <v>0</v>
      </c>
      <c r="J83" s="11">
        <f t="shared" si="7"/>
        <v>0</v>
      </c>
      <c r="K83" s="11">
        <f>IF(B83&lt;&gt;"", IFERROR(SUMIF(ขายสินค้า!G:G,H83,ขายสินค้า!F:F)/(E83-I83),0),)</f>
        <v>0</v>
      </c>
      <c r="L83" s="12">
        <f t="shared" si="8"/>
        <v>0</v>
      </c>
      <c r="M83" s="13">
        <f t="shared" si="9"/>
        <v>0</v>
      </c>
    </row>
    <row r="84" spans="1:13">
      <c r="A84" s="14"/>
      <c r="B84" s="6"/>
      <c r="C84" s="7">
        <f>IFERROR(VLOOKUP(B84,ชื่อสินค้า!A:C,2,FALSE),)</f>
        <v>0</v>
      </c>
      <c r="D84" s="8" t="str">
        <f>IFERROR(VLOOKUP(B84,ชื่อสินค้า!A:D,4,FALSE),"")</f>
        <v/>
      </c>
      <c r="E84" s="9"/>
      <c r="F84" s="9"/>
      <c r="G84" s="8" t="str">
        <f t="shared" si="5"/>
        <v/>
      </c>
      <c r="H84" s="10">
        <f t="shared" si="6"/>
        <v>0</v>
      </c>
      <c r="I84" s="8">
        <f>IF(G84&lt;&gt;"",E84-SUMIFS(ขายสินค้า!E:E,ขายสินค้า!G:G,H84),)</f>
        <v>0</v>
      </c>
      <c r="J84" s="11">
        <f t="shared" si="7"/>
        <v>0</v>
      </c>
      <c r="K84" s="11">
        <f>IF(B84&lt;&gt;"", IFERROR(SUMIF(ขายสินค้า!G:G,H84,ขายสินค้า!F:F)/(E84-I84),0),)</f>
        <v>0</v>
      </c>
      <c r="L84" s="12">
        <f t="shared" si="8"/>
        <v>0</v>
      </c>
      <c r="M84" s="13">
        <f t="shared" si="9"/>
        <v>0</v>
      </c>
    </row>
    <row r="85" spans="1:13">
      <c r="A85" s="14"/>
      <c r="B85" s="6"/>
      <c r="C85" s="7">
        <f>IFERROR(VLOOKUP(B85,ชื่อสินค้า!A:C,2,FALSE),)</f>
        <v>0</v>
      </c>
      <c r="D85" s="8" t="str">
        <f>IFERROR(VLOOKUP(B85,ชื่อสินค้า!A:D,4,FALSE),"")</f>
        <v/>
      </c>
      <c r="E85" s="9"/>
      <c r="F85" s="9"/>
      <c r="G85" s="8" t="str">
        <f t="shared" si="5"/>
        <v/>
      </c>
      <c r="H85" s="10">
        <f t="shared" si="6"/>
        <v>0</v>
      </c>
      <c r="I85" s="8">
        <f>IF(G85&lt;&gt;"",E85-SUMIFS(ขายสินค้า!E:E,ขายสินค้า!G:G,H85),)</f>
        <v>0</v>
      </c>
      <c r="J85" s="11">
        <f t="shared" si="7"/>
        <v>0</v>
      </c>
      <c r="K85" s="11">
        <f>IF(B85&lt;&gt;"", IFERROR(SUMIF(ขายสินค้า!G:G,H85,ขายสินค้า!F:F)/(E85-I85),0),)</f>
        <v>0</v>
      </c>
      <c r="L85" s="12">
        <f t="shared" si="8"/>
        <v>0</v>
      </c>
      <c r="M85" s="13">
        <f t="shared" si="9"/>
        <v>0</v>
      </c>
    </row>
    <row r="86" spans="1:13">
      <c r="A86" s="14"/>
      <c r="B86" s="6"/>
      <c r="C86" s="7">
        <f>IFERROR(VLOOKUP(B86,ชื่อสินค้า!A:C,2,FALSE),)</f>
        <v>0</v>
      </c>
      <c r="D86" s="8" t="str">
        <f>IFERROR(VLOOKUP(B86,ชื่อสินค้า!A:D,4,FALSE),"")</f>
        <v/>
      </c>
      <c r="E86" s="9"/>
      <c r="F86" s="9"/>
      <c r="G86" s="8" t="str">
        <f t="shared" si="5"/>
        <v/>
      </c>
      <c r="H86" s="10">
        <f t="shared" si="6"/>
        <v>0</v>
      </c>
      <c r="I86" s="8">
        <f>IF(G86&lt;&gt;"",E86-SUMIFS(ขายสินค้า!E:E,ขายสินค้า!G:G,H86),)</f>
        <v>0</v>
      </c>
      <c r="J86" s="11">
        <f t="shared" si="7"/>
        <v>0</v>
      </c>
      <c r="K86" s="11">
        <f>IF(B86&lt;&gt;"", IFERROR(SUMIF(ขายสินค้า!G:G,H86,ขายสินค้า!F:F)/(E86-I86),0),)</f>
        <v>0</v>
      </c>
      <c r="L86" s="12">
        <f t="shared" si="8"/>
        <v>0</v>
      </c>
      <c r="M86" s="13">
        <f t="shared" si="9"/>
        <v>0</v>
      </c>
    </row>
    <row r="87" spans="1:13">
      <c r="A87" s="14"/>
      <c r="B87" s="6"/>
      <c r="C87" s="7">
        <f>IFERROR(VLOOKUP(B87,ชื่อสินค้า!A:C,2,FALSE),)</f>
        <v>0</v>
      </c>
      <c r="D87" s="8" t="str">
        <f>IFERROR(VLOOKUP(B87,ชื่อสินค้า!A:D,4,FALSE),"")</f>
        <v/>
      </c>
      <c r="E87" s="9"/>
      <c r="F87" s="9"/>
      <c r="G87" s="8" t="str">
        <f t="shared" si="5"/>
        <v/>
      </c>
      <c r="H87" s="10">
        <f t="shared" si="6"/>
        <v>0</v>
      </c>
      <c r="I87" s="8">
        <f>IF(G87&lt;&gt;"",E87-SUMIFS(ขายสินค้า!E:E,ขายสินค้า!G:G,H87),)</f>
        <v>0</v>
      </c>
      <c r="J87" s="11">
        <f t="shared" si="7"/>
        <v>0</v>
      </c>
      <c r="K87" s="11">
        <f>IF(B87&lt;&gt;"", IFERROR(SUMIF(ขายสินค้า!G:G,H87,ขายสินค้า!F:F)/(E87-I87),0),)</f>
        <v>0</v>
      </c>
      <c r="L87" s="12">
        <f t="shared" si="8"/>
        <v>0</v>
      </c>
      <c r="M87" s="13">
        <f t="shared" si="9"/>
        <v>0</v>
      </c>
    </row>
    <row r="88" spans="1:13">
      <c r="A88" s="14"/>
      <c r="B88" s="6"/>
      <c r="C88" s="7">
        <f>IFERROR(VLOOKUP(B88,ชื่อสินค้า!A:C,2,FALSE),)</f>
        <v>0</v>
      </c>
      <c r="D88" s="8" t="str">
        <f>IFERROR(VLOOKUP(B88,ชื่อสินค้า!A:D,4,FALSE),"")</f>
        <v/>
      </c>
      <c r="E88" s="9"/>
      <c r="F88" s="9"/>
      <c r="G88" s="8" t="str">
        <f t="shared" si="5"/>
        <v/>
      </c>
      <c r="H88" s="10">
        <f t="shared" si="6"/>
        <v>0</v>
      </c>
      <c r="I88" s="8">
        <f>IF(G88&lt;&gt;"",E88-SUMIFS(ขายสินค้า!E:E,ขายสินค้า!G:G,H88),)</f>
        <v>0</v>
      </c>
      <c r="J88" s="11">
        <f t="shared" si="7"/>
        <v>0</v>
      </c>
      <c r="K88" s="11">
        <f>IF(B88&lt;&gt;"", IFERROR(SUMIF(ขายสินค้า!G:G,H88,ขายสินค้า!F:F)/(E88-I88),0),)</f>
        <v>0</v>
      </c>
      <c r="L88" s="12">
        <f t="shared" si="8"/>
        <v>0</v>
      </c>
      <c r="M88" s="13">
        <f t="shared" si="9"/>
        <v>0</v>
      </c>
    </row>
    <row r="89" spans="1:13">
      <c r="A89" s="14"/>
      <c r="B89" s="6"/>
      <c r="C89" s="7">
        <f>IFERROR(VLOOKUP(B89,ชื่อสินค้า!A:C,2,FALSE),)</f>
        <v>0</v>
      </c>
      <c r="D89" s="8" t="str">
        <f>IFERROR(VLOOKUP(B89,ชื่อสินค้า!A:D,4,FALSE),"")</f>
        <v/>
      </c>
      <c r="E89" s="9"/>
      <c r="F89" s="9"/>
      <c r="G89" s="8" t="str">
        <f t="shared" si="5"/>
        <v/>
      </c>
      <c r="H89" s="10">
        <f t="shared" si="6"/>
        <v>0</v>
      </c>
      <c r="I89" s="8">
        <f>IF(G89&lt;&gt;"",E89-SUMIFS(ขายสินค้า!E:E,ขายสินค้า!G:G,H89),)</f>
        <v>0</v>
      </c>
      <c r="J89" s="11">
        <f t="shared" si="7"/>
        <v>0</v>
      </c>
      <c r="K89" s="11">
        <f>IF(B89&lt;&gt;"", IFERROR(SUMIF(ขายสินค้า!G:G,H89,ขายสินค้า!F:F)/(E89-I89),0),)</f>
        <v>0</v>
      </c>
      <c r="L89" s="12">
        <f t="shared" si="8"/>
        <v>0</v>
      </c>
      <c r="M89" s="13">
        <f t="shared" si="9"/>
        <v>0</v>
      </c>
    </row>
    <row r="90" spans="1:13">
      <c r="A90" s="14"/>
      <c r="B90" s="6"/>
      <c r="C90" s="7">
        <f>IFERROR(VLOOKUP(B90,ชื่อสินค้า!A:C,2,FALSE),)</f>
        <v>0</v>
      </c>
      <c r="D90" s="8" t="str">
        <f>IFERROR(VLOOKUP(B90,ชื่อสินค้า!A:D,4,FALSE),"")</f>
        <v/>
      </c>
      <c r="E90" s="9"/>
      <c r="F90" s="9"/>
      <c r="G90" s="8" t="str">
        <f t="shared" si="5"/>
        <v/>
      </c>
      <c r="H90" s="10">
        <f t="shared" si="6"/>
        <v>0</v>
      </c>
      <c r="I90" s="8">
        <f>IF(G90&lt;&gt;"",E90-SUMIFS(ขายสินค้า!E:E,ขายสินค้า!G:G,H90),)</f>
        <v>0</v>
      </c>
      <c r="J90" s="11">
        <f t="shared" si="7"/>
        <v>0</v>
      </c>
      <c r="K90" s="11">
        <f>IF(B90&lt;&gt;"", IFERROR(SUMIF(ขายสินค้า!G:G,H90,ขายสินค้า!F:F)/(E90-I90),0),)</f>
        <v>0</v>
      </c>
      <c r="L90" s="12">
        <f t="shared" si="8"/>
        <v>0</v>
      </c>
      <c r="M90" s="13">
        <f t="shared" si="9"/>
        <v>0</v>
      </c>
    </row>
    <row r="91" spans="1:13">
      <c r="A91" s="14"/>
      <c r="B91" s="6"/>
      <c r="C91" s="7">
        <f>IFERROR(VLOOKUP(B91,ชื่อสินค้า!A:C,2,FALSE),)</f>
        <v>0</v>
      </c>
      <c r="D91" s="8" t="str">
        <f>IFERROR(VLOOKUP(B91,ชื่อสินค้า!A:D,4,FALSE),"")</f>
        <v/>
      </c>
      <c r="E91" s="9"/>
      <c r="F91" s="9"/>
      <c r="G91" s="8" t="str">
        <f t="shared" si="5"/>
        <v/>
      </c>
      <c r="H91" s="10">
        <f t="shared" si="6"/>
        <v>0</v>
      </c>
      <c r="I91" s="8">
        <f>IF(G91&lt;&gt;"",E91-SUMIFS(ขายสินค้า!E:E,ขายสินค้า!G:G,H91),)</f>
        <v>0</v>
      </c>
      <c r="J91" s="11">
        <f t="shared" si="7"/>
        <v>0</v>
      </c>
      <c r="K91" s="11">
        <f>IF(B91&lt;&gt;"", IFERROR(SUMIF(ขายสินค้า!G:G,H91,ขายสินค้า!F:F)/(E91-I91),0),)</f>
        <v>0</v>
      </c>
      <c r="L91" s="12">
        <f t="shared" si="8"/>
        <v>0</v>
      </c>
      <c r="M91" s="13">
        <f t="shared" si="9"/>
        <v>0</v>
      </c>
    </row>
    <row r="92" spans="1:13">
      <c r="A92" s="14"/>
      <c r="B92" s="6"/>
      <c r="C92" s="7">
        <f>IFERROR(VLOOKUP(B92,ชื่อสินค้า!A:C,2,FALSE),)</f>
        <v>0</v>
      </c>
      <c r="D92" s="8" t="str">
        <f>IFERROR(VLOOKUP(B92,ชื่อสินค้า!A:D,4,FALSE),"")</f>
        <v/>
      </c>
      <c r="E92" s="9"/>
      <c r="F92" s="9"/>
      <c r="G92" s="8" t="str">
        <f t="shared" si="5"/>
        <v/>
      </c>
      <c r="H92" s="10">
        <f t="shared" si="6"/>
        <v>0</v>
      </c>
      <c r="I92" s="8">
        <f>IF(G92&lt;&gt;"",E92-SUMIFS(ขายสินค้า!E:E,ขายสินค้า!G:G,H92),)</f>
        <v>0</v>
      </c>
      <c r="J92" s="11">
        <f t="shared" si="7"/>
        <v>0</v>
      </c>
      <c r="K92" s="11">
        <f>IF(B92&lt;&gt;"", IFERROR(SUMIF(ขายสินค้า!G:G,H92,ขายสินค้า!F:F)/(E92-I92),0),)</f>
        <v>0</v>
      </c>
      <c r="L92" s="12">
        <f t="shared" si="8"/>
        <v>0</v>
      </c>
      <c r="M92" s="13">
        <f t="shared" si="9"/>
        <v>0</v>
      </c>
    </row>
    <row r="93" spans="1:13">
      <c r="A93" s="14"/>
      <c r="B93" s="6"/>
      <c r="C93" s="7">
        <f>IFERROR(VLOOKUP(B93,ชื่อสินค้า!A:C,2,FALSE),)</f>
        <v>0</v>
      </c>
      <c r="D93" s="8" t="str">
        <f>IFERROR(VLOOKUP(B93,ชื่อสินค้า!A:D,4,FALSE),"")</f>
        <v/>
      </c>
      <c r="E93" s="9"/>
      <c r="F93" s="9"/>
      <c r="G93" s="8" t="str">
        <f t="shared" si="5"/>
        <v/>
      </c>
      <c r="H93" s="10">
        <f t="shared" si="6"/>
        <v>0</v>
      </c>
      <c r="I93" s="8">
        <f>IF(G93&lt;&gt;"",E93-SUMIFS(ขายสินค้า!E:E,ขายสินค้า!G:G,H93),)</f>
        <v>0</v>
      </c>
      <c r="J93" s="11">
        <f t="shared" si="7"/>
        <v>0</v>
      </c>
      <c r="K93" s="11">
        <f>IF(B93&lt;&gt;"", IFERROR(SUMIF(ขายสินค้า!G:G,H93,ขายสินค้า!F:F)/(E93-I93),0),)</f>
        <v>0</v>
      </c>
      <c r="L93" s="12">
        <f t="shared" si="8"/>
        <v>0</v>
      </c>
      <c r="M93" s="13">
        <f t="shared" si="9"/>
        <v>0</v>
      </c>
    </row>
    <row r="94" spans="1:13">
      <c r="A94" s="14"/>
      <c r="B94" s="6"/>
      <c r="C94" s="7">
        <f>IFERROR(VLOOKUP(B94,ชื่อสินค้า!A:C,2,FALSE),)</f>
        <v>0</v>
      </c>
      <c r="D94" s="8" t="str">
        <f>IFERROR(VLOOKUP(B94,ชื่อสินค้า!A:D,4,FALSE),"")</f>
        <v/>
      </c>
      <c r="E94" s="9"/>
      <c r="F94" s="9"/>
      <c r="G94" s="8" t="str">
        <f t="shared" si="5"/>
        <v/>
      </c>
      <c r="H94" s="10">
        <f t="shared" si="6"/>
        <v>0</v>
      </c>
      <c r="I94" s="8">
        <f>IF(G94&lt;&gt;"",E94-SUMIFS(ขายสินค้า!E:E,ขายสินค้า!G:G,H94),)</f>
        <v>0</v>
      </c>
      <c r="J94" s="11">
        <f t="shared" si="7"/>
        <v>0</v>
      </c>
      <c r="K94" s="11">
        <f>IF(B94&lt;&gt;"", IFERROR(SUMIF(ขายสินค้า!G:G,H94,ขายสินค้า!F:F)/(E94-I94),0),)</f>
        <v>0</v>
      </c>
      <c r="L94" s="12">
        <f t="shared" si="8"/>
        <v>0</v>
      </c>
      <c r="M94" s="13">
        <f t="shared" si="9"/>
        <v>0</v>
      </c>
    </row>
    <row r="95" spans="1:13">
      <c r="A95" s="14"/>
      <c r="B95" s="6"/>
      <c r="C95" s="7">
        <f>IFERROR(VLOOKUP(B95,ชื่อสินค้า!A:C,2,FALSE),)</f>
        <v>0</v>
      </c>
      <c r="D95" s="8" t="str">
        <f>IFERROR(VLOOKUP(B95,ชื่อสินค้า!A:D,4,FALSE),"")</f>
        <v/>
      </c>
      <c r="E95" s="9"/>
      <c r="F95" s="9"/>
      <c r="G95" s="8" t="str">
        <f t="shared" si="5"/>
        <v/>
      </c>
      <c r="H95" s="10">
        <f t="shared" si="6"/>
        <v>0</v>
      </c>
      <c r="I95" s="8">
        <f>IF(G95&lt;&gt;"",E95-SUMIFS(ขายสินค้า!E:E,ขายสินค้า!G:G,H95),)</f>
        <v>0</v>
      </c>
      <c r="J95" s="11">
        <f t="shared" si="7"/>
        <v>0</v>
      </c>
      <c r="K95" s="11">
        <f>IF(B95&lt;&gt;"", IFERROR(SUMIF(ขายสินค้า!G:G,H95,ขายสินค้า!F:F)/(E95-I95),0),)</f>
        <v>0</v>
      </c>
      <c r="L95" s="12">
        <f t="shared" si="8"/>
        <v>0</v>
      </c>
      <c r="M95" s="13">
        <f t="shared" si="9"/>
        <v>0</v>
      </c>
    </row>
    <row r="96" spans="1:13">
      <c r="A96" s="14"/>
      <c r="B96" s="6"/>
      <c r="C96" s="7">
        <f>IFERROR(VLOOKUP(B96,ชื่อสินค้า!A:C,2,FALSE),)</f>
        <v>0</v>
      </c>
      <c r="D96" s="8" t="str">
        <f>IFERROR(VLOOKUP(B96,ชื่อสินค้า!A:D,4,FALSE),"")</f>
        <v/>
      </c>
      <c r="E96" s="9"/>
      <c r="F96" s="9"/>
      <c r="G96" s="8" t="str">
        <f t="shared" si="5"/>
        <v/>
      </c>
      <c r="H96" s="10">
        <f t="shared" si="6"/>
        <v>0</v>
      </c>
      <c r="I96" s="8">
        <f>IF(G96&lt;&gt;"",E96-SUMIFS(ขายสินค้า!E:E,ขายสินค้า!G:G,H96),)</f>
        <v>0</v>
      </c>
      <c r="J96" s="11">
        <f t="shared" si="7"/>
        <v>0</v>
      </c>
      <c r="K96" s="11">
        <f>IF(B96&lt;&gt;"", IFERROR(SUMIF(ขายสินค้า!G:G,H96,ขายสินค้า!F:F)/(E96-I96),0),)</f>
        <v>0</v>
      </c>
      <c r="L96" s="12">
        <f t="shared" si="8"/>
        <v>0</v>
      </c>
      <c r="M96" s="13">
        <f t="shared" si="9"/>
        <v>0</v>
      </c>
    </row>
    <row r="97" spans="1:13">
      <c r="A97" s="14"/>
      <c r="B97" s="6"/>
      <c r="C97" s="7">
        <f>IFERROR(VLOOKUP(B97,ชื่อสินค้า!A:C,2,FALSE),)</f>
        <v>0</v>
      </c>
      <c r="D97" s="8" t="str">
        <f>IFERROR(VLOOKUP(B97,ชื่อสินค้า!A:D,4,FALSE),"")</f>
        <v/>
      </c>
      <c r="E97" s="9"/>
      <c r="F97" s="9"/>
      <c r="G97" s="8" t="str">
        <f t="shared" si="5"/>
        <v/>
      </c>
      <c r="H97" s="10">
        <f t="shared" si="6"/>
        <v>0</v>
      </c>
      <c r="I97" s="8">
        <f>IF(G97&lt;&gt;"",E97-SUMIFS(ขายสินค้า!E:E,ขายสินค้า!G:G,H97),)</f>
        <v>0</v>
      </c>
      <c r="J97" s="11">
        <f t="shared" si="7"/>
        <v>0</v>
      </c>
      <c r="K97" s="11">
        <f>IF(B97&lt;&gt;"", IFERROR(SUMIF(ขายสินค้า!G:G,H97,ขายสินค้า!F:F)/(E97-I97),0),)</f>
        <v>0</v>
      </c>
      <c r="L97" s="12">
        <f t="shared" si="8"/>
        <v>0</v>
      </c>
      <c r="M97" s="13">
        <f t="shared" si="9"/>
        <v>0</v>
      </c>
    </row>
    <row r="98" spans="1:13">
      <c r="A98" s="14"/>
      <c r="B98" s="6"/>
      <c r="C98" s="7">
        <f>IFERROR(VLOOKUP(B98,ชื่อสินค้า!A:C,2,FALSE),)</f>
        <v>0</v>
      </c>
      <c r="D98" s="8" t="str">
        <f>IFERROR(VLOOKUP(B98,ชื่อสินค้า!A:D,4,FALSE),"")</f>
        <v/>
      </c>
      <c r="E98" s="9"/>
      <c r="F98" s="9"/>
      <c r="G98" s="8" t="str">
        <f t="shared" si="5"/>
        <v/>
      </c>
      <c r="H98" s="10">
        <f t="shared" si="6"/>
        <v>0</v>
      </c>
      <c r="I98" s="8">
        <f>IF(G98&lt;&gt;"",E98-SUMIFS(ขายสินค้า!E:E,ขายสินค้า!G:G,H98),)</f>
        <v>0</v>
      </c>
      <c r="J98" s="11">
        <f t="shared" si="7"/>
        <v>0</v>
      </c>
      <c r="K98" s="11">
        <f>IF(B98&lt;&gt;"", IFERROR(SUMIF(ขายสินค้า!G:G,H98,ขายสินค้า!F:F)/(E98-I98),0),)</f>
        <v>0</v>
      </c>
      <c r="L98" s="12">
        <f t="shared" si="8"/>
        <v>0</v>
      </c>
      <c r="M98" s="13">
        <f t="shared" si="9"/>
        <v>0</v>
      </c>
    </row>
    <row r="99" spans="1:13">
      <c r="A99" s="14"/>
      <c r="B99" s="6"/>
      <c r="C99" s="7">
        <f>IFERROR(VLOOKUP(B99,ชื่อสินค้า!A:C,2,FALSE),)</f>
        <v>0</v>
      </c>
      <c r="D99" s="8" t="str">
        <f>IFERROR(VLOOKUP(B99,ชื่อสินค้า!A:D,4,FALSE),"")</f>
        <v/>
      </c>
      <c r="E99" s="9"/>
      <c r="F99" s="9"/>
      <c r="G99" s="8" t="str">
        <f t="shared" si="5"/>
        <v/>
      </c>
      <c r="H99" s="10">
        <f t="shared" si="6"/>
        <v>0</v>
      </c>
      <c r="I99" s="8">
        <f>IF(G99&lt;&gt;"",E99-SUMIFS(ขายสินค้า!E:E,ขายสินค้า!G:G,H99),)</f>
        <v>0</v>
      </c>
      <c r="J99" s="11">
        <f t="shared" si="7"/>
        <v>0</v>
      </c>
      <c r="K99" s="11">
        <f>IF(B99&lt;&gt;"", IFERROR(SUMIF(ขายสินค้า!G:G,H99,ขายสินค้า!F:F)/(E99-I99),0),)</f>
        <v>0</v>
      </c>
      <c r="L99" s="12">
        <f t="shared" si="8"/>
        <v>0</v>
      </c>
      <c r="M99" s="13">
        <f t="shared" si="9"/>
        <v>0</v>
      </c>
    </row>
    <row r="100" spans="1:13">
      <c r="A100" s="14"/>
      <c r="B100" s="6"/>
      <c r="C100" s="7">
        <f>IFERROR(VLOOKUP(B100,ชื่อสินค้า!A:C,2,FALSE),)</f>
        <v>0</v>
      </c>
      <c r="D100" s="8" t="str">
        <f>IFERROR(VLOOKUP(B100,ชื่อสินค้า!A:D,4,FALSE),"")</f>
        <v/>
      </c>
      <c r="E100" s="9"/>
      <c r="F100" s="9"/>
      <c r="G100" s="8" t="str">
        <f t="shared" si="5"/>
        <v/>
      </c>
      <c r="H100" s="10">
        <f t="shared" si="6"/>
        <v>0</v>
      </c>
      <c r="I100" s="8">
        <f>IF(G100&lt;&gt;"",E100-SUMIFS(ขายสินค้า!E:E,ขายสินค้า!G:G,H100),)</f>
        <v>0</v>
      </c>
      <c r="J100" s="11">
        <f t="shared" si="7"/>
        <v>0</v>
      </c>
      <c r="K100" s="11">
        <f>IF(B100&lt;&gt;"", IFERROR(SUMIF(ขายสินค้า!G:G,H100,ขายสินค้า!F:F)/(E100-I100),0),)</f>
        <v>0</v>
      </c>
      <c r="L100" s="12">
        <f t="shared" si="8"/>
        <v>0</v>
      </c>
      <c r="M100" s="13">
        <f t="shared" si="9"/>
        <v>0</v>
      </c>
    </row>
    <row r="101" spans="1:13">
      <c r="A101" s="14"/>
      <c r="B101" s="6"/>
      <c r="C101" s="7">
        <f>IFERROR(VLOOKUP(B101,ชื่อสินค้า!A:C,2,FALSE),)</f>
        <v>0</v>
      </c>
      <c r="D101" s="8" t="str">
        <f>IFERROR(VLOOKUP(B101,ชื่อสินค้า!A:D,4,FALSE),"")</f>
        <v/>
      </c>
      <c r="E101" s="9"/>
      <c r="F101" s="9"/>
      <c r="G101" s="8" t="str">
        <f t="shared" si="5"/>
        <v/>
      </c>
      <c r="H101" s="10">
        <f t="shared" si="6"/>
        <v>0</v>
      </c>
      <c r="I101" s="8">
        <f>IF(G101&lt;&gt;"",E101-SUMIFS(ขายสินค้า!E:E,ขายสินค้า!G:G,H101),)</f>
        <v>0</v>
      </c>
      <c r="J101" s="11">
        <f t="shared" si="7"/>
        <v>0</v>
      </c>
      <c r="K101" s="11">
        <f>IF(B101&lt;&gt;"", IFERROR(SUMIF(ขายสินค้า!G:G,H101,ขายสินค้า!F:F)/(E101-I101),0),)</f>
        <v>0</v>
      </c>
      <c r="L101" s="12">
        <f t="shared" si="8"/>
        <v>0</v>
      </c>
      <c r="M101" s="13">
        <f t="shared" si="9"/>
        <v>0</v>
      </c>
    </row>
    <row r="102" spans="1:13">
      <c r="A102" s="14"/>
      <c r="B102" s="6"/>
      <c r="C102" s="7">
        <f>IFERROR(VLOOKUP(B102,ชื่อสินค้า!A:C,2,FALSE),)</f>
        <v>0</v>
      </c>
      <c r="D102" s="8" t="str">
        <f>IFERROR(VLOOKUP(B102,ชื่อสินค้า!A:D,4,FALSE),"")</f>
        <v/>
      </c>
      <c r="E102" s="9"/>
      <c r="F102" s="9"/>
      <c r="G102" s="8" t="str">
        <f t="shared" si="5"/>
        <v/>
      </c>
      <c r="H102" s="10">
        <f t="shared" si="6"/>
        <v>0</v>
      </c>
      <c r="I102" s="8">
        <f>IF(G102&lt;&gt;"",E102-SUMIFS(ขายสินค้า!E:E,ขายสินค้า!G:G,H102),)</f>
        <v>0</v>
      </c>
      <c r="J102" s="11">
        <f t="shared" si="7"/>
        <v>0</v>
      </c>
      <c r="K102" s="11">
        <f>IF(B102&lt;&gt;"", IFERROR(SUMIF(ขายสินค้า!G:G,H102,ขายสินค้า!F:F)/(E102-I102),0),)</f>
        <v>0</v>
      </c>
      <c r="L102" s="12">
        <f t="shared" si="8"/>
        <v>0</v>
      </c>
      <c r="M102" s="13">
        <f t="shared" si="9"/>
        <v>0</v>
      </c>
    </row>
    <row r="103" spans="1:13">
      <c r="A103" s="14"/>
      <c r="B103" s="6"/>
      <c r="C103" s="7">
        <f>IFERROR(VLOOKUP(B103,ชื่อสินค้า!A:C,2,FALSE),)</f>
        <v>0</v>
      </c>
      <c r="D103" s="8" t="str">
        <f>IFERROR(VLOOKUP(B103,ชื่อสินค้า!A:D,4,FALSE),"")</f>
        <v/>
      </c>
      <c r="E103" s="9"/>
      <c r="F103" s="9"/>
      <c r="G103" s="8" t="str">
        <f t="shared" si="5"/>
        <v/>
      </c>
      <c r="H103" s="10">
        <f t="shared" si="6"/>
        <v>0</v>
      </c>
      <c r="I103" s="8">
        <f>IF(G103&lt;&gt;"",E103-SUMIFS(ขายสินค้า!E:E,ขายสินค้า!G:G,H103),)</f>
        <v>0</v>
      </c>
      <c r="J103" s="11">
        <f t="shared" si="7"/>
        <v>0</v>
      </c>
      <c r="K103" s="11">
        <f>IF(B103&lt;&gt;"", IFERROR(SUMIF(ขายสินค้า!G:G,H103,ขายสินค้า!F:F)/(E103-I103),0),)</f>
        <v>0</v>
      </c>
      <c r="L103" s="12">
        <f t="shared" si="8"/>
        <v>0</v>
      </c>
      <c r="M103" s="13">
        <f t="shared" si="9"/>
        <v>0</v>
      </c>
    </row>
    <row r="104" spans="1:13">
      <c r="A104" s="14"/>
      <c r="B104" s="6"/>
      <c r="C104" s="7">
        <f>IFERROR(VLOOKUP(B104,ชื่อสินค้า!A:C,2,FALSE),)</f>
        <v>0</v>
      </c>
      <c r="D104" s="8" t="str">
        <f>IFERROR(VLOOKUP(B104,ชื่อสินค้า!A:D,4,FALSE),"")</f>
        <v/>
      </c>
      <c r="E104" s="9"/>
      <c r="F104" s="9"/>
      <c r="G104" s="8" t="str">
        <f t="shared" si="5"/>
        <v/>
      </c>
      <c r="H104" s="10">
        <f t="shared" si="6"/>
        <v>0</v>
      </c>
      <c r="I104" s="8">
        <f>IF(G104&lt;&gt;"",E104-SUMIFS(ขายสินค้า!E:E,ขายสินค้า!G:G,H104),)</f>
        <v>0</v>
      </c>
      <c r="J104" s="11">
        <f t="shared" si="7"/>
        <v>0</v>
      </c>
      <c r="K104" s="11">
        <f>IF(B104&lt;&gt;"", IFERROR(SUMIF(ขายสินค้า!G:G,H104,ขายสินค้า!F:F)/(E104-I104),0),)</f>
        <v>0</v>
      </c>
      <c r="L104" s="12">
        <f t="shared" si="8"/>
        <v>0</v>
      </c>
      <c r="M104" s="13">
        <f t="shared" si="9"/>
        <v>0</v>
      </c>
    </row>
    <row r="105" spans="1:13">
      <c r="A105" s="14"/>
      <c r="B105" s="6"/>
      <c r="C105" s="7">
        <f>IFERROR(VLOOKUP(B105,ชื่อสินค้า!A:C,2,FALSE),)</f>
        <v>0</v>
      </c>
      <c r="D105" s="8" t="str">
        <f>IFERROR(VLOOKUP(B105,ชื่อสินค้า!A:D,4,FALSE),"")</f>
        <v/>
      </c>
      <c r="E105" s="9"/>
      <c r="F105" s="9"/>
      <c r="G105" s="8" t="str">
        <f t="shared" si="5"/>
        <v/>
      </c>
      <c r="H105" s="10">
        <f t="shared" si="6"/>
        <v>0</v>
      </c>
      <c r="I105" s="8">
        <f>IF(G105&lt;&gt;"",E105-SUMIFS(ขายสินค้า!E:E,ขายสินค้า!G:G,H105),)</f>
        <v>0</v>
      </c>
      <c r="J105" s="11">
        <f t="shared" si="7"/>
        <v>0</v>
      </c>
      <c r="K105" s="11">
        <f>IF(B105&lt;&gt;"", IFERROR(SUMIF(ขายสินค้า!G:G,H105,ขายสินค้า!F:F)/(E105-I105),0),)</f>
        <v>0</v>
      </c>
      <c r="L105" s="12">
        <f t="shared" si="8"/>
        <v>0</v>
      </c>
      <c r="M105" s="13">
        <f t="shared" si="9"/>
        <v>0</v>
      </c>
    </row>
    <row r="106" spans="1:13">
      <c r="A106" s="14"/>
      <c r="B106" s="6"/>
      <c r="C106" s="7">
        <f>IFERROR(VLOOKUP(B106,ชื่อสินค้า!A:C,2,FALSE),)</f>
        <v>0</v>
      </c>
      <c r="D106" s="8" t="str">
        <f>IFERROR(VLOOKUP(B106,ชื่อสินค้า!A:D,4,FALSE),"")</f>
        <v/>
      </c>
      <c r="E106" s="9"/>
      <c r="F106" s="9"/>
      <c r="G106" s="8" t="str">
        <f t="shared" si="5"/>
        <v/>
      </c>
      <c r="H106" s="10">
        <f t="shared" si="6"/>
        <v>0</v>
      </c>
      <c r="I106" s="8">
        <f>IF(G106&lt;&gt;"",E106-SUMIFS(ขายสินค้า!E:E,ขายสินค้า!G:G,H106),)</f>
        <v>0</v>
      </c>
      <c r="J106" s="11">
        <f t="shared" si="7"/>
        <v>0</v>
      </c>
      <c r="K106" s="11">
        <f>IF(B106&lt;&gt;"", IFERROR(SUMIF(ขายสินค้า!G:G,H106,ขายสินค้า!F:F)/(E106-I106),0),)</f>
        <v>0</v>
      </c>
      <c r="L106" s="12">
        <f t="shared" si="8"/>
        <v>0</v>
      </c>
      <c r="M106" s="13">
        <f t="shared" si="9"/>
        <v>0</v>
      </c>
    </row>
    <row r="107" spans="1:13">
      <c r="A107" s="14"/>
      <c r="B107" s="6"/>
      <c r="C107" s="7">
        <f>IFERROR(VLOOKUP(B107,ชื่อสินค้า!A:C,2,FALSE),)</f>
        <v>0</v>
      </c>
      <c r="D107" s="8" t="str">
        <f>IFERROR(VLOOKUP(B107,ชื่อสินค้า!A:D,4,FALSE),"")</f>
        <v/>
      </c>
      <c r="E107" s="9"/>
      <c r="F107" s="9"/>
      <c r="G107" s="8" t="str">
        <f t="shared" si="5"/>
        <v/>
      </c>
      <c r="H107" s="10">
        <f t="shared" si="6"/>
        <v>0</v>
      </c>
      <c r="I107" s="8">
        <f>IF(G107&lt;&gt;"",E107-SUMIFS(ขายสินค้า!E:E,ขายสินค้า!G:G,H107),)</f>
        <v>0</v>
      </c>
      <c r="J107" s="11">
        <f t="shared" si="7"/>
        <v>0</v>
      </c>
      <c r="K107" s="11">
        <f>IF(B107&lt;&gt;"", IFERROR(SUMIF(ขายสินค้า!G:G,H107,ขายสินค้า!F:F)/(E107-I107),0),)</f>
        <v>0</v>
      </c>
      <c r="L107" s="12">
        <f t="shared" si="8"/>
        <v>0</v>
      </c>
      <c r="M107" s="13">
        <f t="shared" si="9"/>
        <v>0</v>
      </c>
    </row>
    <row r="108" spans="1:13">
      <c r="A108" s="14"/>
      <c r="B108" s="6"/>
      <c r="C108" s="7">
        <f>IFERROR(VLOOKUP(B108,ชื่อสินค้า!A:C,2,FALSE),)</f>
        <v>0</v>
      </c>
      <c r="D108" s="8" t="str">
        <f>IFERROR(VLOOKUP(B108,ชื่อสินค้า!A:D,4,FALSE),"")</f>
        <v/>
      </c>
      <c r="E108" s="9"/>
      <c r="F108" s="9"/>
      <c r="G108" s="8" t="str">
        <f t="shared" si="5"/>
        <v/>
      </c>
      <c r="H108" s="10">
        <f t="shared" si="6"/>
        <v>0</v>
      </c>
      <c r="I108" s="8">
        <f>IF(G108&lt;&gt;"",E108-SUMIFS(ขายสินค้า!E:E,ขายสินค้า!G:G,H108),)</f>
        <v>0</v>
      </c>
      <c r="J108" s="11">
        <f t="shared" si="7"/>
        <v>0</v>
      </c>
      <c r="K108" s="11">
        <f>IF(B108&lt;&gt;"", IFERROR(SUMIF(ขายสินค้า!G:G,H108,ขายสินค้า!F:F)/(E108-I108),0),)</f>
        <v>0</v>
      </c>
      <c r="L108" s="12">
        <f t="shared" si="8"/>
        <v>0</v>
      </c>
      <c r="M108" s="13">
        <f t="shared" si="9"/>
        <v>0</v>
      </c>
    </row>
    <row r="109" spans="1:13">
      <c r="A109" s="14"/>
      <c r="B109" s="6"/>
      <c r="C109" s="7">
        <f>IFERROR(VLOOKUP(B109,ชื่อสินค้า!A:C,2,FALSE),)</f>
        <v>0</v>
      </c>
      <c r="D109" s="8" t="str">
        <f>IFERROR(VLOOKUP(B109,ชื่อสินค้า!A:D,4,FALSE),"")</f>
        <v/>
      </c>
      <c r="E109" s="9"/>
      <c r="F109" s="9"/>
      <c r="G109" s="8" t="str">
        <f t="shared" si="5"/>
        <v/>
      </c>
      <c r="H109" s="10">
        <f t="shared" si="6"/>
        <v>0</v>
      </c>
      <c r="I109" s="8">
        <f>IF(G109&lt;&gt;"",E109-SUMIFS(ขายสินค้า!E:E,ขายสินค้า!G:G,H109),)</f>
        <v>0</v>
      </c>
      <c r="J109" s="11">
        <f t="shared" si="7"/>
        <v>0</v>
      </c>
      <c r="K109" s="11">
        <f>IF(B109&lt;&gt;"", IFERROR(SUMIF(ขายสินค้า!G:G,H109,ขายสินค้า!F:F)/(E109-I109),0),)</f>
        <v>0</v>
      </c>
      <c r="L109" s="12">
        <f t="shared" si="8"/>
        <v>0</v>
      </c>
      <c r="M109" s="13">
        <f t="shared" si="9"/>
        <v>0</v>
      </c>
    </row>
    <row r="110" spans="1:13">
      <c r="A110" s="14"/>
      <c r="B110" s="6"/>
      <c r="C110" s="7">
        <f>IFERROR(VLOOKUP(B110,ชื่อสินค้า!A:C,2,FALSE),)</f>
        <v>0</v>
      </c>
      <c r="D110" s="8" t="str">
        <f>IFERROR(VLOOKUP(B110,ชื่อสินค้า!A:D,4,FALSE),"")</f>
        <v/>
      </c>
      <c r="E110" s="9"/>
      <c r="F110" s="9"/>
      <c r="G110" s="8" t="str">
        <f t="shared" si="5"/>
        <v/>
      </c>
      <c r="H110" s="10">
        <f t="shared" si="6"/>
        <v>0</v>
      </c>
      <c r="I110" s="8">
        <f>IF(G110&lt;&gt;"",E110-SUMIFS(ขายสินค้า!E:E,ขายสินค้า!G:G,H110),)</f>
        <v>0</v>
      </c>
      <c r="J110" s="11">
        <f t="shared" si="7"/>
        <v>0</v>
      </c>
      <c r="K110" s="11">
        <f>IF(B110&lt;&gt;"", IFERROR(SUMIF(ขายสินค้า!G:G,H110,ขายสินค้า!F:F)/(E110-I110),0),)</f>
        <v>0</v>
      </c>
      <c r="L110" s="12">
        <f t="shared" si="8"/>
        <v>0</v>
      </c>
      <c r="M110" s="13">
        <f t="shared" si="9"/>
        <v>0</v>
      </c>
    </row>
    <row r="111" spans="1:13">
      <c r="A111" s="14"/>
      <c r="B111" s="6"/>
      <c r="C111" s="7">
        <f>IFERROR(VLOOKUP(B111,ชื่อสินค้า!A:C,2,FALSE),)</f>
        <v>0</v>
      </c>
      <c r="D111" s="8" t="str">
        <f>IFERROR(VLOOKUP(B111,ชื่อสินค้า!A:D,4,FALSE),"")</f>
        <v/>
      </c>
      <c r="E111" s="9"/>
      <c r="F111" s="9"/>
      <c r="G111" s="8" t="str">
        <f t="shared" si="5"/>
        <v/>
      </c>
      <c r="H111" s="10">
        <f t="shared" si="6"/>
        <v>0</v>
      </c>
      <c r="I111" s="8">
        <f>IF(G111&lt;&gt;"",E111-SUMIFS(ขายสินค้า!E:E,ขายสินค้า!G:G,H111),)</f>
        <v>0</v>
      </c>
      <c r="J111" s="11">
        <f t="shared" si="7"/>
        <v>0</v>
      </c>
      <c r="K111" s="11">
        <f>IF(B111&lt;&gt;"", IFERROR(SUMIF(ขายสินค้า!G:G,H111,ขายสินค้า!F:F)/(E111-I111),0),)</f>
        <v>0</v>
      </c>
      <c r="L111" s="12">
        <f t="shared" si="8"/>
        <v>0</v>
      </c>
      <c r="M111" s="13">
        <f t="shared" si="9"/>
        <v>0</v>
      </c>
    </row>
    <row r="112" spans="1:13">
      <c r="A112" s="14"/>
      <c r="B112" s="6"/>
      <c r="C112" s="7">
        <f>IFERROR(VLOOKUP(B112,ชื่อสินค้า!A:C,2,FALSE),)</f>
        <v>0</v>
      </c>
      <c r="D112" s="8" t="str">
        <f>IFERROR(VLOOKUP(B112,ชื่อสินค้า!A:D,4,FALSE),"")</f>
        <v/>
      </c>
      <c r="E112" s="9"/>
      <c r="F112" s="9"/>
      <c r="G112" s="8" t="str">
        <f t="shared" si="5"/>
        <v/>
      </c>
      <c r="H112" s="10">
        <f t="shared" si="6"/>
        <v>0</v>
      </c>
      <c r="I112" s="8">
        <f>IF(G112&lt;&gt;"",E112-SUMIFS(ขายสินค้า!E:E,ขายสินค้า!G:G,H112),)</f>
        <v>0</v>
      </c>
      <c r="J112" s="11">
        <f t="shared" si="7"/>
        <v>0</v>
      </c>
      <c r="K112" s="11">
        <f>IF(B112&lt;&gt;"", IFERROR(SUMIF(ขายสินค้า!G:G,H112,ขายสินค้า!F:F)/(E112-I112),0),)</f>
        <v>0</v>
      </c>
      <c r="L112" s="12">
        <f t="shared" si="8"/>
        <v>0</v>
      </c>
      <c r="M112" s="13">
        <f t="shared" si="9"/>
        <v>0</v>
      </c>
    </row>
    <row r="113" spans="1:13">
      <c r="A113" s="14"/>
      <c r="B113" s="6"/>
      <c r="C113" s="7">
        <f>IFERROR(VLOOKUP(B113,ชื่อสินค้า!A:C,2,FALSE),)</f>
        <v>0</v>
      </c>
      <c r="D113" s="8" t="str">
        <f>IFERROR(VLOOKUP(B113,ชื่อสินค้า!A:D,4,FALSE),"")</f>
        <v/>
      </c>
      <c r="E113" s="9"/>
      <c r="F113" s="9"/>
      <c r="G113" s="8" t="str">
        <f t="shared" si="5"/>
        <v/>
      </c>
      <c r="H113" s="10">
        <f t="shared" si="6"/>
        <v>0</v>
      </c>
      <c r="I113" s="8">
        <f>IF(G113&lt;&gt;"",E113-SUMIFS(ขายสินค้า!E:E,ขายสินค้า!G:G,H113),)</f>
        <v>0</v>
      </c>
      <c r="J113" s="11">
        <f t="shared" si="7"/>
        <v>0</v>
      </c>
      <c r="K113" s="11">
        <f>IF(B113&lt;&gt;"", IFERROR(SUMIF(ขายสินค้า!G:G,H113,ขายสินค้า!F:F)/(E113-I113),0),)</f>
        <v>0</v>
      </c>
      <c r="L113" s="12">
        <f t="shared" si="8"/>
        <v>0</v>
      </c>
      <c r="M113" s="13">
        <f t="shared" si="9"/>
        <v>0</v>
      </c>
    </row>
    <row r="114" spans="1:13">
      <c r="A114" s="14"/>
      <c r="B114" s="6"/>
      <c r="C114" s="7">
        <f>IFERROR(VLOOKUP(B114,ชื่อสินค้า!A:C,2,FALSE),)</f>
        <v>0</v>
      </c>
      <c r="D114" s="8" t="str">
        <f>IFERROR(VLOOKUP(B114,ชื่อสินค้า!A:D,4,FALSE),"")</f>
        <v/>
      </c>
      <c r="E114" s="9"/>
      <c r="F114" s="9"/>
      <c r="G114" s="8" t="str">
        <f t="shared" si="5"/>
        <v/>
      </c>
      <c r="H114" s="10">
        <f t="shared" si="6"/>
        <v>0</v>
      </c>
      <c r="I114" s="8">
        <f>IF(G114&lt;&gt;"",E114-SUMIFS(ขายสินค้า!E:E,ขายสินค้า!G:G,H114),)</f>
        <v>0</v>
      </c>
      <c r="J114" s="11">
        <f t="shared" si="7"/>
        <v>0</v>
      </c>
      <c r="K114" s="11">
        <f>IF(B114&lt;&gt;"", IFERROR(SUMIF(ขายสินค้า!G:G,H114,ขายสินค้า!F:F)/(E114-I114),0),)</f>
        <v>0</v>
      </c>
      <c r="L114" s="12">
        <f t="shared" si="8"/>
        <v>0</v>
      </c>
      <c r="M114" s="13">
        <f t="shared" si="9"/>
        <v>0</v>
      </c>
    </row>
    <row r="115" spans="1:13">
      <c r="A115" s="14"/>
      <c r="B115" s="6"/>
      <c r="C115" s="7">
        <f>IFERROR(VLOOKUP(B115,ชื่อสินค้า!A:C,2,FALSE),)</f>
        <v>0</v>
      </c>
      <c r="D115" s="8" t="str">
        <f>IFERROR(VLOOKUP(B115,ชื่อสินค้า!A:D,4,FALSE),"")</f>
        <v/>
      </c>
      <c r="E115" s="9"/>
      <c r="F115" s="9"/>
      <c r="G115" s="8" t="str">
        <f t="shared" si="5"/>
        <v/>
      </c>
      <c r="H115" s="10">
        <f t="shared" si="6"/>
        <v>0</v>
      </c>
      <c r="I115" s="8">
        <f>IF(G115&lt;&gt;"",E115-SUMIFS(ขายสินค้า!E:E,ขายสินค้า!G:G,H115),)</f>
        <v>0</v>
      </c>
      <c r="J115" s="11">
        <f t="shared" si="7"/>
        <v>0</v>
      </c>
      <c r="K115" s="11">
        <f>IF(B115&lt;&gt;"", IFERROR(SUMIF(ขายสินค้า!G:G,H115,ขายสินค้า!F:F)/(E115-I115),0),)</f>
        <v>0</v>
      </c>
      <c r="L115" s="12">
        <f t="shared" si="8"/>
        <v>0</v>
      </c>
      <c r="M115" s="13">
        <f t="shared" si="9"/>
        <v>0</v>
      </c>
    </row>
    <row r="116" spans="1:13">
      <c r="A116" s="14"/>
      <c r="B116" s="6"/>
      <c r="C116" s="7">
        <f>IFERROR(VLOOKUP(B116,ชื่อสินค้า!A:C,2,FALSE),)</f>
        <v>0</v>
      </c>
      <c r="D116" s="8" t="str">
        <f>IFERROR(VLOOKUP(B116,ชื่อสินค้า!A:D,4,FALSE),"")</f>
        <v/>
      </c>
      <c r="E116" s="9"/>
      <c r="F116" s="9"/>
      <c r="G116" s="8" t="str">
        <f t="shared" si="5"/>
        <v/>
      </c>
      <c r="H116" s="10">
        <f t="shared" si="6"/>
        <v>0</v>
      </c>
      <c r="I116" s="8">
        <f>IF(G116&lt;&gt;"",E116-SUMIFS(ขายสินค้า!E:E,ขายสินค้า!G:G,H116),)</f>
        <v>0</v>
      </c>
      <c r="J116" s="11">
        <f t="shared" si="7"/>
        <v>0</v>
      </c>
      <c r="K116" s="11">
        <f>IF(B116&lt;&gt;"", IFERROR(SUMIF(ขายสินค้า!G:G,H116,ขายสินค้า!F:F)/(E116-I116),0),)</f>
        <v>0</v>
      </c>
      <c r="L116" s="12">
        <f t="shared" si="8"/>
        <v>0</v>
      </c>
      <c r="M116" s="13">
        <f t="shared" si="9"/>
        <v>0</v>
      </c>
    </row>
    <row r="117" spans="1:13">
      <c r="A117" s="14"/>
      <c r="B117" s="6"/>
      <c r="C117" s="7">
        <f>IFERROR(VLOOKUP(B117,ชื่อสินค้า!A:C,2,FALSE),)</f>
        <v>0</v>
      </c>
      <c r="D117" s="8" t="str">
        <f>IFERROR(VLOOKUP(B117,ชื่อสินค้า!A:D,4,FALSE),"")</f>
        <v/>
      </c>
      <c r="E117" s="9"/>
      <c r="F117" s="9"/>
      <c r="G117" s="8" t="str">
        <f t="shared" si="5"/>
        <v/>
      </c>
      <c r="H117" s="10">
        <f t="shared" si="6"/>
        <v>0</v>
      </c>
      <c r="I117" s="8">
        <f>IF(G117&lt;&gt;"",E117-SUMIFS(ขายสินค้า!E:E,ขายสินค้า!G:G,H117),)</f>
        <v>0</v>
      </c>
      <c r="J117" s="11">
        <f t="shared" si="7"/>
        <v>0</v>
      </c>
      <c r="K117" s="11">
        <f>IF(B117&lt;&gt;"", IFERROR(SUMIF(ขายสินค้า!G:G,H117,ขายสินค้า!F:F)/(E117-I117),0),)</f>
        <v>0</v>
      </c>
      <c r="L117" s="12">
        <f t="shared" si="8"/>
        <v>0</v>
      </c>
      <c r="M117" s="13">
        <f t="shared" si="9"/>
        <v>0</v>
      </c>
    </row>
    <row r="118" spans="1:13">
      <c r="A118" s="14"/>
      <c r="B118" s="6"/>
      <c r="C118" s="7">
        <f>IFERROR(VLOOKUP(B118,ชื่อสินค้า!A:C,2,FALSE),)</f>
        <v>0</v>
      </c>
      <c r="D118" s="8" t="str">
        <f>IFERROR(VLOOKUP(B118,ชื่อสินค้า!A:D,4,FALSE),"")</f>
        <v/>
      </c>
      <c r="E118" s="9"/>
      <c r="F118" s="9"/>
      <c r="G118" s="8" t="str">
        <f t="shared" si="5"/>
        <v/>
      </c>
      <c r="H118" s="10">
        <f t="shared" si="6"/>
        <v>0</v>
      </c>
      <c r="I118" s="8">
        <f>IF(G118&lt;&gt;"",E118-SUMIFS(ขายสินค้า!E:E,ขายสินค้า!G:G,H118),)</f>
        <v>0</v>
      </c>
      <c r="J118" s="11">
        <f t="shared" si="7"/>
        <v>0</v>
      </c>
      <c r="K118" s="11">
        <f>IF(B118&lt;&gt;"", IFERROR(SUMIF(ขายสินค้า!G:G,H118,ขายสินค้า!F:F)/(E118-I118),0),)</f>
        <v>0</v>
      </c>
      <c r="L118" s="12">
        <f t="shared" si="8"/>
        <v>0</v>
      </c>
      <c r="M118" s="13">
        <f t="shared" si="9"/>
        <v>0</v>
      </c>
    </row>
    <row r="119" spans="1:13">
      <c r="A119" s="14"/>
      <c r="B119" s="6"/>
      <c r="C119" s="7">
        <f>IFERROR(VLOOKUP(B119,ชื่อสินค้า!A:C,2,FALSE),)</f>
        <v>0</v>
      </c>
      <c r="D119" s="8" t="str">
        <f>IFERROR(VLOOKUP(B119,ชื่อสินค้า!A:D,4,FALSE),"")</f>
        <v/>
      </c>
      <c r="E119" s="9"/>
      <c r="F119" s="9"/>
      <c r="G119" s="8" t="str">
        <f t="shared" si="5"/>
        <v/>
      </c>
      <c r="H119" s="10">
        <f t="shared" si="6"/>
        <v>0</v>
      </c>
      <c r="I119" s="8">
        <f>IF(G119&lt;&gt;"",E119-SUMIFS(ขายสินค้า!E:E,ขายสินค้า!G:G,H119),)</f>
        <v>0</v>
      </c>
      <c r="J119" s="11">
        <f t="shared" si="7"/>
        <v>0</v>
      </c>
      <c r="K119" s="11">
        <f>IF(B119&lt;&gt;"", IFERROR(SUMIF(ขายสินค้า!G:G,H119,ขายสินค้า!F:F)/(E119-I119),0),)</f>
        <v>0</v>
      </c>
      <c r="L119" s="12">
        <f t="shared" si="8"/>
        <v>0</v>
      </c>
      <c r="M119" s="13">
        <f t="shared" si="9"/>
        <v>0</v>
      </c>
    </row>
    <row r="120" spans="1:13">
      <c r="A120" s="14"/>
      <c r="B120" s="6"/>
      <c r="C120" s="7">
        <f>IFERROR(VLOOKUP(B120,ชื่อสินค้า!A:C,2,FALSE),)</f>
        <v>0</v>
      </c>
      <c r="D120" s="8" t="str">
        <f>IFERROR(VLOOKUP(B120,ชื่อสินค้า!A:D,4,FALSE),"")</f>
        <v/>
      </c>
      <c r="E120" s="9"/>
      <c r="F120" s="9"/>
      <c r="G120" s="8" t="str">
        <f t="shared" si="5"/>
        <v/>
      </c>
      <c r="H120" s="10">
        <f t="shared" si="6"/>
        <v>0</v>
      </c>
      <c r="I120" s="8">
        <f>IF(G120&lt;&gt;"",E120-SUMIFS(ขายสินค้า!E:E,ขายสินค้า!G:G,H120),)</f>
        <v>0</v>
      </c>
      <c r="J120" s="11">
        <f t="shared" si="7"/>
        <v>0</v>
      </c>
      <c r="K120" s="11">
        <f>IF(B120&lt;&gt;"", IFERROR(SUMIF(ขายสินค้า!G:G,H120,ขายสินค้า!F:F)/(E120-I120),0),)</f>
        <v>0</v>
      </c>
      <c r="L120" s="12">
        <f t="shared" si="8"/>
        <v>0</v>
      </c>
      <c r="M120" s="13">
        <f t="shared" si="9"/>
        <v>0</v>
      </c>
    </row>
    <row r="121" spans="1:13">
      <c r="A121" s="14"/>
      <c r="B121" s="6"/>
      <c r="C121" s="7">
        <f>IFERROR(VLOOKUP(B121,ชื่อสินค้า!A:C,2,FALSE),)</f>
        <v>0</v>
      </c>
      <c r="D121" s="8" t="str">
        <f>IFERROR(VLOOKUP(B121,ชื่อสินค้า!A:D,4,FALSE),"")</f>
        <v/>
      </c>
      <c r="E121" s="9"/>
      <c r="F121" s="9"/>
      <c r="G121" s="8" t="str">
        <f t="shared" si="5"/>
        <v/>
      </c>
      <c r="H121" s="10">
        <f t="shared" si="6"/>
        <v>0</v>
      </c>
      <c r="I121" s="8">
        <f>IF(G121&lt;&gt;"",E121-SUMIFS(ขายสินค้า!E:E,ขายสินค้า!G:G,H121),)</f>
        <v>0</v>
      </c>
      <c r="J121" s="11">
        <f t="shared" si="7"/>
        <v>0</v>
      </c>
      <c r="K121" s="11">
        <f>IF(B121&lt;&gt;"", IFERROR(SUMIF(ขายสินค้า!G:G,H121,ขายสินค้า!F:F)/(E121-I121),0),)</f>
        <v>0</v>
      </c>
      <c r="L121" s="12">
        <f t="shared" si="8"/>
        <v>0</v>
      </c>
      <c r="M121" s="13">
        <f t="shared" si="9"/>
        <v>0</v>
      </c>
    </row>
    <row r="122" spans="1:13">
      <c r="A122" s="14"/>
      <c r="B122" s="6"/>
      <c r="C122" s="7">
        <f>IFERROR(VLOOKUP(B122,ชื่อสินค้า!A:C,2,FALSE),)</f>
        <v>0</v>
      </c>
      <c r="D122" s="8" t="str">
        <f>IFERROR(VLOOKUP(B122,ชื่อสินค้า!A:D,4,FALSE),"")</f>
        <v/>
      </c>
      <c r="E122" s="9"/>
      <c r="F122" s="9"/>
      <c r="G122" s="8" t="str">
        <f t="shared" si="5"/>
        <v/>
      </c>
      <c r="H122" s="10">
        <f t="shared" si="6"/>
        <v>0</v>
      </c>
      <c r="I122" s="8">
        <f>IF(G122&lt;&gt;"",E122-SUMIFS(ขายสินค้า!E:E,ขายสินค้า!G:G,H122),)</f>
        <v>0</v>
      </c>
      <c r="J122" s="11">
        <f t="shared" si="7"/>
        <v>0</v>
      </c>
      <c r="K122" s="11">
        <f>IF(B122&lt;&gt;"", IFERROR(SUMIF(ขายสินค้า!G:G,H122,ขายสินค้า!F:F)/(E122-I122),0),)</f>
        <v>0</v>
      </c>
      <c r="L122" s="12">
        <f t="shared" si="8"/>
        <v>0</v>
      </c>
      <c r="M122" s="13">
        <f t="shared" si="9"/>
        <v>0</v>
      </c>
    </row>
    <row r="123" spans="1:13">
      <c r="A123" s="14"/>
      <c r="B123" s="6"/>
      <c r="C123" s="7">
        <f>IFERROR(VLOOKUP(B123,ชื่อสินค้า!A:C,2,FALSE),)</f>
        <v>0</v>
      </c>
      <c r="D123" s="8" t="str">
        <f>IFERROR(VLOOKUP(B123,ชื่อสินค้า!A:D,4,FALSE),"")</f>
        <v/>
      </c>
      <c r="E123" s="9"/>
      <c r="F123" s="9"/>
      <c r="G123" s="8" t="str">
        <f t="shared" si="5"/>
        <v/>
      </c>
      <c r="H123" s="10">
        <f t="shared" si="6"/>
        <v>0</v>
      </c>
      <c r="I123" s="8">
        <f>IF(G123&lt;&gt;"",E123-SUMIFS(ขายสินค้า!E:E,ขายสินค้า!G:G,H123),)</f>
        <v>0</v>
      </c>
      <c r="J123" s="11">
        <f t="shared" si="7"/>
        <v>0</v>
      </c>
      <c r="K123" s="11">
        <f>IF(B123&lt;&gt;"", IFERROR(SUMIF(ขายสินค้า!G:G,H123,ขายสินค้า!F:F)/(E123-I123),0),)</f>
        <v>0</v>
      </c>
      <c r="L123" s="12">
        <f t="shared" si="8"/>
        <v>0</v>
      </c>
      <c r="M123" s="13">
        <f t="shared" si="9"/>
        <v>0</v>
      </c>
    </row>
    <row r="124" spans="1:13">
      <c r="A124" s="14"/>
      <c r="B124" s="6"/>
      <c r="C124" s="7">
        <f>IFERROR(VLOOKUP(B124,ชื่อสินค้า!A:C,2,FALSE),)</f>
        <v>0</v>
      </c>
      <c r="D124" s="8" t="str">
        <f>IFERROR(VLOOKUP(B124,ชื่อสินค้า!A:D,4,FALSE),"")</f>
        <v/>
      </c>
      <c r="E124" s="9"/>
      <c r="F124" s="9"/>
      <c r="G124" s="8" t="str">
        <f t="shared" si="5"/>
        <v/>
      </c>
      <c r="H124" s="10">
        <f t="shared" si="6"/>
        <v>0</v>
      </c>
      <c r="I124" s="8">
        <f>IF(G124&lt;&gt;"",E124-SUMIFS(ขายสินค้า!E:E,ขายสินค้า!G:G,H124),)</f>
        <v>0</v>
      </c>
      <c r="J124" s="11">
        <f t="shared" si="7"/>
        <v>0</v>
      </c>
      <c r="K124" s="11">
        <f>IF(B124&lt;&gt;"", IFERROR(SUMIF(ขายสินค้า!G:G,H124,ขายสินค้า!F:F)/(E124-I124),0),)</f>
        <v>0</v>
      </c>
      <c r="L124" s="12">
        <f t="shared" si="8"/>
        <v>0</v>
      </c>
      <c r="M124" s="13">
        <f t="shared" si="9"/>
        <v>0</v>
      </c>
    </row>
    <row r="125" spans="1:13">
      <c r="A125" s="14"/>
      <c r="B125" s="6"/>
      <c r="C125" s="7">
        <f>IFERROR(VLOOKUP(B125,ชื่อสินค้า!A:C,2,FALSE),)</f>
        <v>0</v>
      </c>
      <c r="D125" s="8" t="str">
        <f>IFERROR(VLOOKUP(B125,ชื่อสินค้า!A:D,4,FALSE),"")</f>
        <v/>
      </c>
      <c r="E125" s="9"/>
      <c r="F125" s="9"/>
      <c r="G125" s="8" t="str">
        <f t="shared" si="5"/>
        <v/>
      </c>
      <c r="H125" s="10">
        <f t="shared" si="6"/>
        <v>0</v>
      </c>
      <c r="I125" s="8">
        <f>IF(G125&lt;&gt;"",E125-SUMIFS(ขายสินค้า!E:E,ขายสินค้า!G:G,H125),)</f>
        <v>0</v>
      </c>
      <c r="J125" s="11">
        <f t="shared" si="7"/>
        <v>0</v>
      </c>
      <c r="K125" s="11">
        <f>IF(B125&lt;&gt;"", IFERROR(SUMIF(ขายสินค้า!G:G,H125,ขายสินค้า!F:F)/(E125-I125),0),)</f>
        <v>0</v>
      </c>
      <c r="L125" s="12">
        <f t="shared" si="8"/>
        <v>0</v>
      </c>
      <c r="M125" s="13">
        <f t="shared" si="9"/>
        <v>0</v>
      </c>
    </row>
    <row r="126" spans="1:13">
      <c r="A126" s="14"/>
      <c r="B126" s="6"/>
      <c r="C126" s="7">
        <f>IFERROR(VLOOKUP(B126,ชื่อสินค้า!A:C,2,FALSE),)</f>
        <v>0</v>
      </c>
      <c r="D126" s="8" t="str">
        <f>IFERROR(VLOOKUP(B126,ชื่อสินค้า!A:D,4,FALSE),"")</f>
        <v/>
      </c>
      <c r="E126" s="9"/>
      <c r="F126" s="9"/>
      <c r="G126" s="8" t="str">
        <f t="shared" si="5"/>
        <v/>
      </c>
      <c r="H126" s="10">
        <f t="shared" si="6"/>
        <v>0</v>
      </c>
      <c r="I126" s="8">
        <f>IF(G126&lt;&gt;"",E126-SUMIFS(ขายสินค้า!E:E,ขายสินค้า!G:G,H126),)</f>
        <v>0</v>
      </c>
      <c r="J126" s="11">
        <f t="shared" si="7"/>
        <v>0</v>
      </c>
      <c r="K126" s="11">
        <f>IF(B126&lt;&gt;"", IFERROR(SUMIF(ขายสินค้า!G:G,H126,ขายสินค้า!F:F)/(E126-I126),0),)</f>
        <v>0</v>
      </c>
      <c r="L126" s="12">
        <f t="shared" si="8"/>
        <v>0</v>
      </c>
      <c r="M126" s="13">
        <f t="shared" si="9"/>
        <v>0</v>
      </c>
    </row>
    <row r="127" spans="1:13">
      <c r="A127" s="14"/>
      <c r="B127" s="6"/>
      <c r="C127" s="7">
        <f>IFERROR(VLOOKUP(B127,ชื่อสินค้า!A:C,2,FALSE),)</f>
        <v>0</v>
      </c>
      <c r="D127" s="8" t="str">
        <f>IFERROR(VLOOKUP(B127,ชื่อสินค้า!A:D,4,FALSE),"")</f>
        <v/>
      </c>
      <c r="E127" s="9"/>
      <c r="F127" s="9"/>
      <c r="G127" s="8" t="str">
        <f t="shared" si="5"/>
        <v/>
      </c>
      <c r="H127" s="10">
        <f t="shared" si="6"/>
        <v>0</v>
      </c>
      <c r="I127" s="8">
        <f>IF(G127&lt;&gt;"",E127-SUMIFS(ขายสินค้า!E:E,ขายสินค้า!G:G,H127),)</f>
        <v>0</v>
      </c>
      <c r="J127" s="11">
        <f t="shared" si="7"/>
        <v>0</v>
      </c>
      <c r="K127" s="11">
        <f>IF(B127&lt;&gt;"", IFERROR(SUMIF(ขายสินค้า!G:G,H127,ขายสินค้า!F:F)/(E127-I127),0),)</f>
        <v>0</v>
      </c>
      <c r="L127" s="12">
        <f t="shared" si="8"/>
        <v>0</v>
      </c>
      <c r="M127" s="13">
        <f t="shared" si="9"/>
        <v>0</v>
      </c>
    </row>
    <row r="128" spans="1:13">
      <c r="A128" s="14"/>
      <c r="B128" s="6"/>
      <c r="C128" s="7">
        <f>IFERROR(VLOOKUP(B128,ชื่อสินค้า!A:C,2,FALSE),)</f>
        <v>0</v>
      </c>
      <c r="D128" s="8" t="str">
        <f>IFERROR(VLOOKUP(B128,ชื่อสินค้า!A:D,4,FALSE),"")</f>
        <v/>
      </c>
      <c r="E128" s="9"/>
      <c r="F128" s="9"/>
      <c r="G128" s="8" t="str">
        <f t="shared" si="5"/>
        <v/>
      </c>
      <c r="H128" s="10">
        <f t="shared" si="6"/>
        <v>0</v>
      </c>
      <c r="I128" s="8">
        <f>IF(G128&lt;&gt;"",E128-SUMIFS(ขายสินค้า!E:E,ขายสินค้า!G:G,H128),)</f>
        <v>0</v>
      </c>
      <c r="J128" s="11">
        <f t="shared" si="7"/>
        <v>0</v>
      </c>
      <c r="K128" s="11">
        <f>IF(B128&lt;&gt;"", IFERROR(SUMIF(ขายสินค้า!G:G,H128,ขายสินค้า!F:F)/(E128-I128),0),)</f>
        <v>0</v>
      </c>
      <c r="L128" s="12">
        <f t="shared" si="8"/>
        <v>0</v>
      </c>
      <c r="M128" s="13">
        <f t="shared" si="9"/>
        <v>0</v>
      </c>
    </row>
    <row r="129" spans="1:13">
      <c r="A129" s="14"/>
      <c r="B129" s="6"/>
      <c r="C129" s="7">
        <f>IFERROR(VLOOKUP(B129,ชื่อสินค้า!A:C,2,FALSE),)</f>
        <v>0</v>
      </c>
      <c r="D129" s="8" t="str">
        <f>IFERROR(VLOOKUP(B129,ชื่อสินค้า!A:D,4,FALSE),"")</f>
        <v/>
      </c>
      <c r="E129" s="9"/>
      <c r="F129" s="9"/>
      <c r="G129" s="8" t="str">
        <f t="shared" si="5"/>
        <v/>
      </c>
      <c r="H129" s="10">
        <f t="shared" si="6"/>
        <v>0</v>
      </c>
      <c r="I129" s="8">
        <f>IF(G129&lt;&gt;"",E129-SUMIFS(ขายสินค้า!E:E,ขายสินค้า!G:G,H129),)</f>
        <v>0</v>
      </c>
      <c r="J129" s="11">
        <f t="shared" si="7"/>
        <v>0</v>
      </c>
      <c r="K129" s="11">
        <f>IF(B129&lt;&gt;"", IFERROR(SUMIF(ขายสินค้า!G:G,H129,ขายสินค้า!F:F)/(E129-I129),0),)</f>
        <v>0</v>
      </c>
      <c r="L129" s="12">
        <f t="shared" si="8"/>
        <v>0</v>
      </c>
      <c r="M129" s="13">
        <f t="shared" si="9"/>
        <v>0</v>
      </c>
    </row>
    <row r="130" spans="1:13">
      <c r="A130" s="14"/>
      <c r="B130" s="6"/>
      <c r="C130" s="7">
        <f>IFERROR(VLOOKUP(B130,ชื่อสินค้า!A:C,2,FALSE),)</f>
        <v>0</v>
      </c>
      <c r="D130" s="8" t="str">
        <f>IFERROR(VLOOKUP(B130,ชื่อสินค้า!A:D,4,FALSE),"")</f>
        <v/>
      </c>
      <c r="E130" s="9"/>
      <c r="F130" s="9"/>
      <c r="G130" s="8" t="str">
        <f t="shared" si="5"/>
        <v/>
      </c>
      <c r="H130" s="10">
        <f t="shared" si="6"/>
        <v>0</v>
      </c>
      <c r="I130" s="8">
        <f>IF(G130&lt;&gt;"",E130-SUMIFS(ขายสินค้า!E:E,ขายสินค้า!G:G,H130),)</f>
        <v>0</v>
      </c>
      <c r="J130" s="11">
        <f t="shared" si="7"/>
        <v>0</v>
      </c>
      <c r="K130" s="11">
        <f>IF(B130&lt;&gt;"", IFERROR(SUMIF(ขายสินค้า!G:G,H130,ขายสินค้า!F:F)/(E130-I130),0),)</f>
        <v>0</v>
      </c>
      <c r="L130" s="12">
        <f t="shared" si="8"/>
        <v>0</v>
      </c>
      <c r="M130" s="13">
        <f t="shared" si="9"/>
        <v>0</v>
      </c>
    </row>
    <row r="131" spans="1:13">
      <c r="A131" s="14"/>
      <c r="B131" s="6"/>
      <c r="C131" s="7">
        <f>IFERROR(VLOOKUP(B131,ชื่อสินค้า!A:C,2,FALSE),)</f>
        <v>0</v>
      </c>
      <c r="D131" s="8" t="str">
        <f>IFERROR(VLOOKUP(B131,ชื่อสินค้า!A:D,4,FALSE),"")</f>
        <v/>
      </c>
      <c r="E131" s="9"/>
      <c r="F131" s="9"/>
      <c r="G131" s="8" t="str">
        <f t="shared" si="5"/>
        <v/>
      </c>
      <c r="H131" s="10">
        <f t="shared" si="6"/>
        <v>0</v>
      </c>
      <c r="I131" s="8">
        <f>IF(G131&lt;&gt;"",E131-SUMIFS(ขายสินค้า!E:E,ขายสินค้า!G:G,H131),)</f>
        <v>0</v>
      </c>
      <c r="J131" s="11">
        <f t="shared" si="7"/>
        <v>0</v>
      </c>
      <c r="K131" s="11">
        <f>IF(B131&lt;&gt;"", IFERROR(SUMIF(ขายสินค้า!G:G,H131,ขายสินค้า!F:F)/(E131-I131),0),)</f>
        <v>0</v>
      </c>
      <c r="L131" s="12">
        <f t="shared" si="8"/>
        <v>0</v>
      </c>
      <c r="M131" s="13">
        <f t="shared" si="9"/>
        <v>0</v>
      </c>
    </row>
    <row r="132" spans="1:13">
      <c r="A132" s="14"/>
      <c r="B132" s="6"/>
      <c r="C132" s="7">
        <f>IFERROR(VLOOKUP(B132,ชื่อสินค้า!A:C,2,FALSE),)</f>
        <v>0</v>
      </c>
      <c r="D132" s="8" t="str">
        <f>IFERROR(VLOOKUP(B132,ชื่อสินค้า!A:D,4,FALSE),"")</f>
        <v/>
      </c>
      <c r="E132" s="9"/>
      <c r="F132" s="9"/>
      <c r="G132" s="8" t="str">
        <f t="shared" si="5"/>
        <v/>
      </c>
      <c r="H132" s="10">
        <f t="shared" si="6"/>
        <v>0</v>
      </c>
      <c r="I132" s="8">
        <f>IF(G132&lt;&gt;"",E132-SUMIFS(ขายสินค้า!E:E,ขายสินค้า!G:G,H132),)</f>
        <v>0</v>
      </c>
      <c r="J132" s="11">
        <f t="shared" si="7"/>
        <v>0</v>
      </c>
      <c r="K132" s="11">
        <f>IF(B132&lt;&gt;"", IFERROR(SUMIF(ขายสินค้า!G:G,H132,ขายสินค้า!F:F)/(E132-I132),0),)</f>
        <v>0</v>
      </c>
      <c r="L132" s="12">
        <f t="shared" si="8"/>
        <v>0</v>
      </c>
      <c r="M132" s="13">
        <f t="shared" si="9"/>
        <v>0</v>
      </c>
    </row>
    <row r="133" spans="1:13">
      <c r="A133" s="14"/>
      <c r="B133" s="6"/>
      <c r="C133" s="7">
        <f>IFERROR(VLOOKUP(B133,ชื่อสินค้า!A:C,2,FALSE),)</f>
        <v>0</v>
      </c>
      <c r="D133" s="8" t="str">
        <f>IFERROR(VLOOKUP(B133,ชื่อสินค้า!A:D,4,FALSE),"")</f>
        <v/>
      </c>
      <c r="E133" s="9"/>
      <c r="F133" s="9"/>
      <c r="G133" s="8" t="str">
        <f t="shared" si="5"/>
        <v/>
      </c>
      <c r="H133" s="10">
        <f t="shared" si="6"/>
        <v>0</v>
      </c>
      <c r="I133" s="8">
        <f>IF(G133&lt;&gt;"",E133-SUMIFS(ขายสินค้า!E:E,ขายสินค้า!G:G,H133),)</f>
        <v>0</v>
      </c>
      <c r="J133" s="11">
        <f t="shared" si="7"/>
        <v>0</v>
      </c>
      <c r="K133" s="11">
        <f>IF(B133&lt;&gt;"", IFERROR(SUMIF(ขายสินค้า!G:G,H133,ขายสินค้า!F:F)/(E133-I133),0),)</f>
        <v>0</v>
      </c>
      <c r="L133" s="12">
        <f t="shared" si="8"/>
        <v>0</v>
      </c>
      <c r="M133" s="13">
        <f t="shared" si="9"/>
        <v>0</v>
      </c>
    </row>
    <row r="134" spans="1:13">
      <c r="A134" s="14"/>
      <c r="B134" s="6"/>
      <c r="C134" s="7">
        <f>IFERROR(VLOOKUP(B134,ชื่อสินค้า!A:C,2,FALSE),)</f>
        <v>0</v>
      </c>
      <c r="D134" s="8" t="str">
        <f>IFERROR(VLOOKUP(B134,ชื่อสินค้า!A:D,4,FALSE),"")</f>
        <v/>
      </c>
      <c r="E134" s="9"/>
      <c r="F134" s="9"/>
      <c r="G134" s="8" t="str">
        <f t="shared" si="5"/>
        <v/>
      </c>
      <c r="H134" s="10">
        <f t="shared" si="6"/>
        <v>0</v>
      </c>
      <c r="I134" s="8">
        <f>IF(G134&lt;&gt;"",E134-SUMIFS(ขายสินค้า!E:E,ขายสินค้า!G:G,H134),)</f>
        <v>0</v>
      </c>
      <c r="J134" s="11">
        <f t="shared" si="7"/>
        <v>0</v>
      </c>
      <c r="K134" s="11">
        <f>IF(B134&lt;&gt;"", IFERROR(SUMIF(ขายสินค้า!G:G,H134,ขายสินค้า!F:F)/(E134-I134),0),)</f>
        <v>0</v>
      </c>
      <c r="L134" s="12">
        <f t="shared" si="8"/>
        <v>0</v>
      </c>
      <c r="M134" s="13">
        <f t="shared" si="9"/>
        <v>0</v>
      </c>
    </row>
    <row r="135" spans="1:13">
      <c r="A135" s="14"/>
      <c r="B135" s="6"/>
      <c r="C135" s="7">
        <f>IFERROR(VLOOKUP(B135,ชื่อสินค้า!A:C,2,FALSE),)</f>
        <v>0</v>
      </c>
      <c r="D135" s="8" t="str">
        <f>IFERROR(VLOOKUP(B135,ชื่อสินค้า!A:D,4,FALSE),"")</f>
        <v/>
      </c>
      <c r="E135" s="9"/>
      <c r="F135" s="9"/>
      <c r="G135" s="8" t="str">
        <f t="shared" si="5"/>
        <v/>
      </c>
      <c r="H135" s="10">
        <f t="shared" si="6"/>
        <v>0</v>
      </c>
      <c r="I135" s="8">
        <f>IF(G135&lt;&gt;"",E135-SUMIFS(ขายสินค้า!E:E,ขายสินค้า!G:G,H135),)</f>
        <v>0</v>
      </c>
      <c r="J135" s="11">
        <f t="shared" si="7"/>
        <v>0</v>
      </c>
      <c r="K135" s="11">
        <f>IF(B135&lt;&gt;"", IFERROR(SUMIF(ขายสินค้า!G:G,H135,ขายสินค้า!F:F)/(E135-I135),0),)</f>
        <v>0</v>
      </c>
      <c r="L135" s="12">
        <f t="shared" si="8"/>
        <v>0</v>
      </c>
      <c r="M135" s="13">
        <f t="shared" si="9"/>
        <v>0</v>
      </c>
    </row>
    <row r="136" spans="1:13">
      <c r="A136" s="14"/>
      <c r="B136" s="6"/>
      <c r="C136" s="7">
        <f>IFERROR(VLOOKUP(B136,ชื่อสินค้า!A:C,2,FALSE),)</f>
        <v>0</v>
      </c>
      <c r="D136" s="8" t="str">
        <f>IFERROR(VLOOKUP(B136,ชื่อสินค้า!A:D,4,FALSE),"")</f>
        <v/>
      </c>
      <c r="E136" s="9"/>
      <c r="F136" s="9"/>
      <c r="G136" s="8" t="str">
        <f t="shared" si="5"/>
        <v/>
      </c>
      <c r="H136" s="10">
        <f t="shared" si="6"/>
        <v>0</v>
      </c>
      <c r="I136" s="8">
        <f>IF(G136&lt;&gt;"",E136-SUMIFS(ขายสินค้า!E:E,ขายสินค้า!G:G,H136),)</f>
        <v>0</v>
      </c>
      <c r="J136" s="11">
        <f t="shared" si="7"/>
        <v>0</v>
      </c>
      <c r="K136" s="11">
        <f>IF(B136&lt;&gt;"", IFERROR(SUMIF(ขายสินค้า!G:G,H136,ขายสินค้า!F:F)/(E136-I136),0),)</f>
        <v>0</v>
      </c>
      <c r="L136" s="12">
        <f t="shared" si="8"/>
        <v>0</v>
      </c>
      <c r="M136" s="13">
        <f t="shared" si="9"/>
        <v>0</v>
      </c>
    </row>
    <row r="137" spans="1:13">
      <c r="A137" s="14"/>
      <c r="B137" s="6"/>
      <c r="C137" s="7">
        <f>IFERROR(VLOOKUP(B137,ชื่อสินค้า!A:C,2,FALSE),)</f>
        <v>0</v>
      </c>
      <c r="D137" s="8" t="str">
        <f>IFERROR(VLOOKUP(B137,ชื่อสินค้า!A:D,4,FALSE),"")</f>
        <v/>
      </c>
      <c r="E137" s="9"/>
      <c r="F137" s="9"/>
      <c r="G137" s="8" t="str">
        <f t="shared" si="5"/>
        <v/>
      </c>
      <c r="H137" s="10">
        <f t="shared" si="6"/>
        <v>0</v>
      </c>
      <c r="I137" s="8">
        <f>IF(G137&lt;&gt;"",E137-SUMIFS(ขายสินค้า!E:E,ขายสินค้า!G:G,H137),)</f>
        <v>0</v>
      </c>
      <c r="J137" s="11">
        <f t="shared" si="7"/>
        <v>0</v>
      </c>
      <c r="K137" s="11">
        <f>IF(B137&lt;&gt;"", IFERROR(SUMIF(ขายสินค้า!G:G,H137,ขายสินค้า!F:F)/(E137-I137),0),)</f>
        <v>0</v>
      </c>
      <c r="L137" s="12">
        <f t="shared" si="8"/>
        <v>0</v>
      </c>
      <c r="M137" s="13">
        <f t="shared" si="9"/>
        <v>0</v>
      </c>
    </row>
    <row r="138" spans="1:13">
      <c r="A138" s="14"/>
      <c r="B138" s="6"/>
      <c r="C138" s="7">
        <f>IFERROR(VLOOKUP(B138,ชื่อสินค้า!A:C,2,FALSE),)</f>
        <v>0</v>
      </c>
      <c r="D138" s="8" t="str">
        <f>IFERROR(VLOOKUP(B138,ชื่อสินค้า!A:D,4,FALSE),"")</f>
        <v/>
      </c>
      <c r="E138" s="9"/>
      <c r="F138" s="9"/>
      <c r="G138" s="8" t="str">
        <f t="shared" si="5"/>
        <v/>
      </c>
      <c r="H138" s="10">
        <f t="shared" si="6"/>
        <v>0</v>
      </c>
      <c r="I138" s="8">
        <f>IF(G138&lt;&gt;"",E138-SUMIFS(ขายสินค้า!E:E,ขายสินค้า!G:G,H138),)</f>
        <v>0</v>
      </c>
      <c r="J138" s="11">
        <f t="shared" si="7"/>
        <v>0</v>
      </c>
      <c r="K138" s="11">
        <f>IF(B138&lt;&gt;"", IFERROR(SUMIF(ขายสินค้า!G:G,H138,ขายสินค้า!F:F)/(E138-I138),0),)</f>
        <v>0</v>
      </c>
      <c r="L138" s="12">
        <f t="shared" si="8"/>
        <v>0</v>
      </c>
      <c r="M138" s="13">
        <f t="shared" si="9"/>
        <v>0</v>
      </c>
    </row>
    <row r="139" spans="1:13">
      <c r="A139" s="14"/>
      <c r="B139" s="6"/>
      <c r="C139" s="7">
        <f>IFERROR(VLOOKUP(B139,ชื่อสินค้า!A:C,2,FALSE),)</f>
        <v>0</v>
      </c>
      <c r="D139" s="8" t="str">
        <f>IFERROR(VLOOKUP(B139,ชื่อสินค้า!A:D,4,FALSE),"")</f>
        <v/>
      </c>
      <c r="E139" s="9"/>
      <c r="F139" s="9"/>
      <c r="G139" s="8" t="str">
        <f t="shared" si="5"/>
        <v/>
      </c>
      <c r="H139" s="10">
        <f t="shared" si="6"/>
        <v>0</v>
      </c>
      <c r="I139" s="8">
        <f>IF(G139&lt;&gt;"",E139-SUMIFS(ขายสินค้า!E:E,ขายสินค้า!G:G,H139),)</f>
        <v>0</v>
      </c>
      <c r="J139" s="11">
        <f t="shared" si="7"/>
        <v>0</v>
      </c>
      <c r="K139" s="11">
        <f>IF(B139&lt;&gt;"", IFERROR(SUMIF(ขายสินค้า!G:G,H139,ขายสินค้า!F:F)/(E139-I139),0),)</f>
        <v>0</v>
      </c>
      <c r="L139" s="12">
        <f t="shared" si="8"/>
        <v>0</v>
      </c>
      <c r="M139" s="13">
        <f t="shared" si="9"/>
        <v>0</v>
      </c>
    </row>
    <row r="140" spans="1:13">
      <c r="A140" s="14"/>
      <c r="B140" s="6"/>
      <c r="C140" s="7">
        <f>IFERROR(VLOOKUP(B140,ชื่อสินค้า!A:C,2,FALSE),)</f>
        <v>0</v>
      </c>
      <c r="D140" s="8" t="str">
        <f>IFERROR(VLOOKUP(B140,ชื่อสินค้า!A:D,4,FALSE),"")</f>
        <v/>
      </c>
      <c r="E140" s="9"/>
      <c r="F140" s="9"/>
      <c r="G140" s="8" t="str">
        <f t="shared" si="5"/>
        <v/>
      </c>
      <c r="H140" s="10">
        <f t="shared" si="6"/>
        <v>0</v>
      </c>
      <c r="I140" s="8">
        <f>IF(G140&lt;&gt;"",E140-SUMIFS(ขายสินค้า!E:E,ขายสินค้า!G:G,H140),)</f>
        <v>0</v>
      </c>
      <c r="J140" s="11">
        <f t="shared" si="7"/>
        <v>0</v>
      </c>
      <c r="K140" s="11">
        <f>IF(B140&lt;&gt;"", IFERROR(SUMIF(ขายสินค้า!G:G,H140,ขายสินค้า!F:F)/(E140-I140),0),)</f>
        <v>0</v>
      </c>
      <c r="L140" s="12">
        <f t="shared" si="8"/>
        <v>0</v>
      </c>
      <c r="M140" s="13">
        <f t="shared" si="9"/>
        <v>0</v>
      </c>
    </row>
    <row r="141" spans="1:13">
      <c r="A141" s="14"/>
      <c r="B141" s="6"/>
      <c r="C141" s="7">
        <f>IFERROR(VLOOKUP(B141,ชื่อสินค้า!A:C,2,FALSE),)</f>
        <v>0</v>
      </c>
      <c r="D141" s="8" t="str">
        <f>IFERROR(VLOOKUP(B141,ชื่อสินค้า!A:D,4,FALSE),"")</f>
        <v/>
      </c>
      <c r="E141" s="9"/>
      <c r="F141" s="9"/>
      <c r="G141" s="8" t="str">
        <f t="shared" si="5"/>
        <v/>
      </c>
      <c r="H141" s="10">
        <f t="shared" si="6"/>
        <v>0</v>
      </c>
      <c r="I141" s="8">
        <f>IF(G141&lt;&gt;"",E141-SUMIFS(ขายสินค้า!E:E,ขายสินค้า!G:G,H141),)</f>
        <v>0</v>
      </c>
      <c r="J141" s="11">
        <f t="shared" si="7"/>
        <v>0</v>
      </c>
      <c r="K141" s="11">
        <f>IF(B141&lt;&gt;"", IFERROR(SUMIF(ขายสินค้า!G:G,H141,ขายสินค้า!F:F)/(E141-I141),0),)</f>
        <v>0</v>
      </c>
      <c r="L141" s="12">
        <f t="shared" si="8"/>
        <v>0</v>
      </c>
      <c r="M141" s="13">
        <f t="shared" si="9"/>
        <v>0</v>
      </c>
    </row>
    <row r="142" spans="1:13">
      <c r="A142" s="14"/>
      <c r="B142" s="6"/>
      <c r="C142" s="7">
        <f>IFERROR(VLOOKUP(B142,ชื่อสินค้า!A:C,2,FALSE),)</f>
        <v>0</v>
      </c>
      <c r="D142" s="8" t="str">
        <f>IFERROR(VLOOKUP(B142,ชื่อสินค้า!A:D,4,FALSE),"")</f>
        <v/>
      </c>
      <c r="E142" s="9"/>
      <c r="F142" s="9"/>
      <c r="G142" s="8" t="str">
        <f t="shared" si="5"/>
        <v/>
      </c>
      <c r="H142" s="10">
        <f t="shared" si="6"/>
        <v>0</v>
      </c>
      <c r="I142" s="8">
        <f>IF(G142&lt;&gt;"",E142-SUMIFS(ขายสินค้า!E:E,ขายสินค้า!G:G,H142),)</f>
        <v>0</v>
      </c>
      <c r="J142" s="11">
        <f t="shared" si="7"/>
        <v>0</v>
      </c>
      <c r="K142" s="11">
        <f>IF(B142&lt;&gt;"", IFERROR(SUMIF(ขายสินค้า!G:G,H142,ขายสินค้า!F:F)/(E142-I142),0),)</f>
        <v>0</v>
      </c>
      <c r="L142" s="12">
        <f t="shared" si="8"/>
        <v>0</v>
      </c>
      <c r="M142" s="13">
        <f t="shared" si="9"/>
        <v>0</v>
      </c>
    </row>
    <row r="143" spans="1:13">
      <c r="A143" s="14"/>
      <c r="B143" s="6"/>
      <c r="C143" s="7">
        <f>IFERROR(VLOOKUP(B143,ชื่อสินค้า!A:C,2,FALSE),)</f>
        <v>0</v>
      </c>
      <c r="D143" s="8" t="str">
        <f>IFERROR(VLOOKUP(B143,ชื่อสินค้า!A:D,4,FALSE),"")</f>
        <v/>
      </c>
      <c r="E143" s="9"/>
      <c r="F143" s="9"/>
      <c r="G143" s="8" t="str">
        <f t="shared" si="5"/>
        <v/>
      </c>
      <c r="H143" s="10">
        <f t="shared" si="6"/>
        <v>0</v>
      </c>
      <c r="I143" s="8">
        <f>IF(G143&lt;&gt;"",E143-SUMIFS(ขายสินค้า!E:E,ขายสินค้า!G:G,H143),)</f>
        <v>0</v>
      </c>
      <c r="J143" s="11">
        <f t="shared" si="7"/>
        <v>0</v>
      </c>
      <c r="K143" s="11">
        <f>IF(B143&lt;&gt;"", IFERROR(SUMIF(ขายสินค้า!G:G,H143,ขายสินค้า!F:F)/(E143-I143),0),)</f>
        <v>0</v>
      </c>
      <c r="L143" s="12">
        <f t="shared" si="8"/>
        <v>0</v>
      </c>
      <c r="M143" s="13">
        <f t="shared" si="9"/>
        <v>0</v>
      </c>
    </row>
    <row r="144" spans="1:13">
      <c r="A144" s="14"/>
      <c r="B144" s="6"/>
      <c r="C144" s="7">
        <f>IFERROR(VLOOKUP(B144,ชื่อสินค้า!A:C,2,FALSE),)</f>
        <v>0</v>
      </c>
      <c r="D144" s="8" t="str">
        <f>IFERROR(VLOOKUP(B144,ชื่อสินค้า!A:D,4,FALSE),"")</f>
        <v/>
      </c>
      <c r="E144" s="9"/>
      <c r="F144" s="9"/>
      <c r="G144" s="8" t="str">
        <f t="shared" si="5"/>
        <v/>
      </c>
      <c r="H144" s="10">
        <f t="shared" si="6"/>
        <v>0</v>
      </c>
      <c r="I144" s="8">
        <f>IF(G144&lt;&gt;"",E144-SUMIFS(ขายสินค้า!E:E,ขายสินค้า!G:G,H144),)</f>
        <v>0</v>
      </c>
      <c r="J144" s="11">
        <f t="shared" si="7"/>
        <v>0</v>
      </c>
      <c r="K144" s="11">
        <f>IF(B144&lt;&gt;"", IFERROR(SUMIF(ขายสินค้า!G:G,H144,ขายสินค้า!F:F)/(E144-I144),0),)</f>
        <v>0</v>
      </c>
      <c r="L144" s="12">
        <f t="shared" si="8"/>
        <v>0</v>
      </c>
      <c r="M144" s="13">
        <f t="shared" si="9"/>
        <v>0</v>
      </c>
    </row>
    <row r="145" spans="1:13">
      <c r="A145" s="14"/>
      <c r="B145" s="6"/>
      <c r="C145" s="7">
        <f>IFERROR(VLOOKUP(B145,ชื่อสินค้า!A:C,2,FALSE),)</f>
        <v>0</v>
      </c>
      <c r="D145" s="8" t="str">
        <f>IFERROR(VLOOKUP(B145,ชื่อสินค้า!A:D,4,FALSE),"")</f>
        <v/>
      </c>
      <c r="E145" s="9"/>
      <c r="F145" s="9"/>
      <c r="G145" s="8" t="str">
        <f t="shared" si="5"/>
        <v/>
      </c>
      <c r="H145" s="10">
        <f t="shared" si="6"/>
        <v>0</v>
      </c>
      <c r="I145" s="8">
        <f>IF(G145&lt;&gt;"",E145-SUMIFS(ขายสินค้า!E:E,ขายสินค้า!G:G,H145),)</f>
        <v>0</v>
      </c>
      <c r="J145" s="11">
        <f t="shared" si="7"/>
        <v>0</v>
      </c>
      <c r="K145" s="11">
        <f>IF(B145&lt;&gt;"", IFERROR(SUMIF(ขายสินค้า!G:G,H145,ขายสินค้า!F:F)/(E145-I145),0),)</f>
        <v>0</v>
      </c>
      <c r="L145" s="12">
        <f t="shared" si="8"/>
        <v>0</v>
      </c>
      <c r="M145" s="13">
        <f t="shared" si="9"/>
        <v>0</v>
      </c>
    </row>
    <row r="146" spans="1:13">
      <c r="A146" s="14"/>
      <c r="B146" s="6"/>
      <c r="C146" s="7">
        <f>IFERROR(VLOOKUP(B146,ชื่อสินค้า!A:C,2,FALSE),)</f>
        <v>0</v>
      </c>
      <c r="D146" s="8" t="str">
        <f>IFERROR(VLOOKUP(B146,ชื่อสินค้า!A:D,4,FALSE),"")</f>
        <v/>
      </c>
      <c r="E146" s="9"/>
      <c r="F146" s="9"/>
      <c r="G146" s="8" t="str">
        <f t="shared" si="5"/>
        <v/>
      </c>
      <c r="H146" s="10">
        <f t="shared" si="6"/>
        <v>0</v>
      </c>
      <c r="I146" s="8">
        <f>IF(G146&lt;&gt;"",E146-SUMIFS(ขายสินค้า!E:E,ขายสินค้า!G:G,H146),)</f>
        <v>0</v>
      </c>
      <c r="J146" s="11">
        <f t="shared" si="7"/>
        <v>0</v>
      </c>
      <c r="K146" s="11">
        <f>IF(B146&lt;&gt;"", IFERROR(SUMIF(ขายสินค้า!G:G,H146,ขายสินค้า!F:F)/(E146-I146),0),)</f>
        <v>0</v>
      </c>
      <c r="L146" s="12">
        <f t="shared" si="8"/>
        <v>0</v>
      </c>
      <c r="M146" s="13">
        <f t="shared" si="9"/>
        <v>0</v>
      </c>
    </row>
    <row r="147" spans="1:13">
      <c r="A147" s="14"/>
      <c r="B147" s="6"/>
      <c r="C147" s="7">
        <f>IFERROR(VLOOKUP(B147,ชื่อสินค้า!A:C,2,FALSE),)</f>
        <v>0</v>
      </c>
      <c r="D147" s="8" t="str">
        <f>IFERROR(VLOOKUP(B147,ชื่อสินค้า!A:D,4,FALSE),"")</f>
        <v/>
      </c>
      <c r="E147" s="9"/>
      <c r="F147" s="9"/>
      <c r="G147" s="8" t="str">
        <f t="shared" si="5"/>
        <v/>
      </c>
      <c r="H147" s="10">
        <f t="shared" si="6"/>
        <v>0</v>
      </c>
      <c r="I147" s="8">
        <f>IF(G147&lt;&gt;"",E147-SUMIFS(ขายสินค้า!E:E,ขายสินค้า!G:G,H147),)</f>
        <v>0</v>
      </c>
      <c r="J147" s="11">
        <f t="shared" si="7"/>
        <v>0</v>
      </c>
      <c r="K147" s="11">
        <f>IF(B147&lt;&gt;"", IFERROR(SUMIF(ขายสินค้า!G:G,H147,ขายสินค้า!F:F)/(E147-I147),0),)</f>
        <v>0</v>
      </c>
      <c r="L147" s="12">
        <f t="shared" si="8"/>
        <v>0</v>
      </c>
      <c r="M147" s="13">
        <f t="shared" si="9"/>
        <v>0</v>
      </c>
    </row>
    <row r="148" spans="1:13">
      <c r="A148" s="14"/>
      <c r="B148" s="6"/>
      <c r="C148" s="7">
        <f>IFERROR(VLOOKUP(B148,ชื่อสินค้า!A:C,2,FALSE),)</f>
        <v>0</v>
      </c>
      <c r="D148" s="8" t="str">
        <f>IFERROR(VLOOKUP(B148,ชื่อสินค้า!A:D,4,FALSE),"")</f>
        <v/>
      </c>
      <c r="E148" s="9"/>
      <c r="F148" s="9"/>
      <c r="G148" s="8" t="str">
        <f t="shared" si="5"/>
        <v/>
      </c>
      <c r="H148" s="10">
        <f t="shared" si="6"/>
        <v>0</v>
      </c>
      <c r="I148" s="8">
        <f>IF(G148&lt;&gt;"",E148-SUMIFS(ขายสินค้า!E:E,ขายสินค้า!G:G,H148),)</f>
        <v>0</v>
      </c>
      <c r="J148" s="11">
        <f t="shared" si="7"/>
        <v>0</v>
      </c>
      <c r="K148" s="11">
        <f>IF(B148&lt;&gt;"", IFERROR(SUMIF(ขายสินค้า!G:G,H148,ขายสินค้า!F:F)/(E148-I148),0),)</f>
        <v>0</v>
      </c>
      <c r="L148" s="12">
        <f t="shared" si="8"/>
        <v>0</v>
      </c>
      <c r="M148" s="13">
        <f t="shared" si="9"/>
        <v>0</v>
      </c>
    </row>
    <row r="149" spans="1:13">
      <c r="A149" s="14"/>
      <c r="B149" s="6"/>
      <c r="C149" s="7">
        <f>IFERROR(VLOOKUP(B149,ชื่อสินค้า!A:C,2,FALSE),)</f>
        <v>0</v>
      </c>
      <c r="D149" s="8" t="str">
        <f>IFERROR(VLOOKUP(B149,ชื่อสินค้า!A:D,4,FALSE),"")</f>
        <v/>
      </c>
      <c r="E149" s="9"/>
      <c r="F149" s="9"/>
      <c r="G149" s="8" t="str">
        <f t="shared" si="5"/>
        <v/>
      </c>
      <c r="H149" s="10">
        <f t="shared" si="6"/>
        <v>0</v>
      </c>
      <c r="I149" s="8">
        <f>IF(G149&lt;&gt;"",E149-SUMIFS(ขายสินค้า!E:E,ขายสินค้า!G:G,H149),)</f>
        <v>0</v>
      </c>
      <c r="J149" s="11">
        <f t="shared" si="7"/>
        <v>0</v>
      </c>
      <c r="K149" s="11">
        <f>IF(B149&lt;&gt;"", IFERROR(SUMIF(ขายสินค้า!G:G,H149,ขายสินค้า!F:F)/(E149-I149),0),)</f>
        <v>0</v>
      </c>
      <c r="L149" s="12">
        <f t="shared" si="8"/>
        <v>0</v>
      </c>
      <c r="M149" s="13">
        <f t="shared" si="9"/>
        <v>0</v>
      </c>
    </row>
    <row r="150" spans="1:13">
      <c r="A150" s="14"/>
      <c r="B150" s="6"/>
      <c r="C150" s="7">
        <f>IFERROR(VLOOKUP(B150,ชื่อสินค้า!A:C,2,FALSE),)</f>
        <v>0</v>
      </c>
      <c r="D150" s="8" t="str">
        <f>IFERROR(VLOOKUP(B150,ชื่อสินค้า!A:D,4,FALSE),"")</f>
        <v/>
      </c>
      <c r="E150" s="9"/>
      <c r="F150" s="9"/>
      <c r="G150" s="8" t="str">
        <f t="shared" si="5"/>
        <v/>
      </c>
      <c r="H150" s="10">
        <f t="shared" si="6"/>
        <v>0</v>
      </c>
      <c r="I150" s="8">
        <f>IF(G150&lt;&gt;"",E150-SUMIFS(ขายสินค้า!E:E,ขายสินค้า!G:G,H150),)</f>
        <v>0</v>
      </c>
      <c r="J150" s="11">
        <f t="shared" si="7"/>
        <v>0</v>
      </c>
      <c r="K150" s="11">
        <f>IF(B150&lt;&gt;"", IFERROR(SUMIF(ขายสินค้า!G:G,H150,ขายสินค้า!F:F)/(E150-I150),0),)</f>
        <v>0</v>
      </c>
      <c r="L150" s="12">
        <f t="shared" si="8"/>
        <v>0</v>
      </c>
      <c r="M150" s="13">
        <f t="shared" si="9"/>
        <v>0</v>
      </c>
    </row>
    <row r="151" spans="1:13">
      <c r="A151" s="14"/>
      <c r="B151" s="6"/>
      <c r="C151" s="7">
        <f>IFERROR(VLOOKUP(B151,ชื่อสินค้า!A:C,2,FALSE),)</f>
        <v>0</v>
      </c>
      <c r="D151" s="8" t="str">
        <f>IFERROR(VLOOKUP(B151,ชื่อสินค้า!A:D,4,FALSE),"")</f>
        <v/>
      </c>
      <c r="E151" s="9"/>
      <c r="F151" s="9"/>
      <c r="G151" s="8" t="str">
        <f t="shared" si="5"/>
        <v/>
      </c>
      <c r="H151" s="10">
        <f t="shared" si="6"/>
        <v>0</v>
      </c>
      <c r="I151" s="8">
        <f>IF(G151&lt;&gt;"",E151-SUMIFS(ขายสินค้า!E:E,ขายสินค้า!G:G,H151),)</f>
        <v>0</v>
      </c>
      <c r="J151" s="11">
        <f t="shared" si="7"/>
        <v>0</v>
      </c>
      <c r="K151" s="11">
        <f>IF(B151&lt;&gt;"", IFERROR(SUMIF(ขายสินค้า!G:G,H151,ขายสินค้า!F:F)/(E151-I151),0),)</f>
        <v>0</v>
      </c>
      <c r="L151" s="12">
        <f t="shared" si="8"/>
        <v>0</v>
      </c>
      <c r="M151" s="13">
        <f t="shared" si="9"/>
        <v>0</v>
      </c>
    </row>
    <row r="152" spans="1:13">
      <c r="A152" s="14"/>
      <c r="B152" s="6"/>
      <c r="C152" s="7">
        <f>IFERROR(VLOOKUP(B152,ชื่อสินค้า!A:C,2,FALSE),)</f>
        <v>0</v>
      </c>
      <c r="D152" s="8" t="str">
        <f>IFERROR(VLOOKUP(B152,ชื่อสินค้า!A:D,4,FALSE),"")</f>
        <v/>
      </c>
      <c r="E152" s="9"/>
      <c r="F152" s="9"/>
      <c r="G152" s="8" t="str">
        <f t="shared" si="5"/>
        <v/>
      </c>
      <c r="H152" s="10">
        <f t="shared" si="6"/>
        <v>0</v>
      </c>
      <c r="I152" s="8">
        <f>IF(G152&lt;&gt;"",E152-SUMIFS(ขายสินค้า!E:E,ขายสินค้า!G:G,H152),)</f>
        <v>0</v>
      </c>
      <c r="J152" s="11">
        <f t="shared" si="7"/>
        <v>0</v>
      </c>
      <c r="K152" s="11">
        <f>IF(B152&lt;&gt;"", IFERROR(SUMIF(ขายสินค้า!G:G,H152,ขายสินค้า!F:F)/(E152-I152),0),)</f>
        <v>0</v>
      </c>
      <c r="L152" s="12">
        <f t="shared" si="8"/>
        <v>0</v>
      </c>
      <c r="M152" s="13">
        <f t="shared" si="9"/>
        <v>0</v>
      </c>
    </row>
    <row r="153" spans="1:13">
      <c r="A153" s="14"/>
      <c r="B153" s="6"/>
      <c r="C153" s="7">
        <f>IFERROR(VLOOKUP(B153,ชื่อสินค้า!A:C,2,FALSE),)</f>
        <v>0</v>
      </c>
      <c r="D153" s="8" t="str">
        <f>IFERROR(VLOOKUP(B153,ชื่อสินค้า!A:D,4,FALSE),"")</f>
        <v/>
      </c>
      <c r="E153" s="9"/>
      <c r="F153" s="9"/>
      <c r="G153" s="8" t="str">
        <f t="shared" si="5"/>
        <v/>
      </c>
      <c r="H153" s="10">
        <f t="shared" si="6"/>
        <v>0</v>
      </c>
      <c r="I153" s="8">
        <f>IF(G153&lt;&gt;"",E153-SUMIFS(ขายสินค้า!E:E,ขายสินค้า!G:G,H153),)</f>
        <v>0</v>
      </c>
      <c r="J153" s="11">
        <f t="shared" si="7"/>
        <v>0</v>
      </c>
      <c r="K153" s="11">
        <f>IF(B153&lt;&gt;"", IFERROR(SUMIF(ขายสินค้า!G:G,H153,ขายสินค้า!F:F)/(E153-I153),0),)</f>
        <v>0</v>
      </c>
      <c r="L153" s="12">
        <f t="shared" si="8"/>
        <v>0</v>
      </c>
      <c r="M153" s="13">
        <f t="shared" si="9"/>
        <v>0</v>
      </c>
    </row>
    <row r="154" spans="1:13">
      <c r="A154" s="14"/>
      <c r="B154" s="6"/>
      <c r="C154" s="7">
        <f>IFERROR(VLOOKUP(B154,ชื่อสินค้า!A:C,2,FALSE),)</f>
        <v>0</v>
      </c>
      <c r="D154" s="8" t="str">
        <f>IFERROR(VLOOKUP(B154,ชื่อสินค้า!A:D,4,FALSE),"")</f>
        <v/>
      </c>
      <c r="E154" s="9"/>
      <c r="F154" s="9"/>
      <c r="G154" s="8" t="str">
        <f t="shared" si="5"/>
        <v/>
      </c>
      <c r="H154" s="10">
        <f t="shared" si="6"/>
        <v>0</v>
      </c>
      <c r="I154" s="8">
        <f>IF(G154&lt;&gt;"",E154-SUMIFS(ขายสินค้า!E:E,ขายสินค้า!G:G,H154),)</f>
        <v>0</v>
      </c>
      <c r="J154" s="11">
        <f t="shared" si="7"/>
        <v>0</v>
      </c>
      <c r="K154" s="11">
        <f>IF(B154&lt;&gt;"", IFERROR(SUMIF(ขายสินค้า!G:G,H154,ขายสินค้า!F:F)/(E154-I154),0),)</f>
        <v>0</v>
      </c>
      <c r="L154" s="12">
        <f t="shared" si="8"/>
        <v>0</v>
      </c>
      <c r="M154" s="13">
        <f t="shared" si="9"/>
        <v>0</v>
      </c>
    </row>
    <row r="155" spans="1:13">
      <c r="A155" s="14"/>
      <c r="B155" s="6"/>
      <c r="C155" s="7">
        <f>IFERROR(VLOOKUP(B155,ชื่อสินค้า!A:C,2,FALSE),)</f>
        <v>0</v>
      </c>
      <c r="D155" s="8" t="str">
        <f>IFERROR(VLOOKUP(B155,ชื่อสินค้า!A:D,4,FALSE),"")</f>
        <v/>
      </c>
      <c r="E155" s="9"/>
      <c r="F155" s="9"/>
      <c r="G155" s="8" t="str">
        <f t="shared" si="5"/>
        <v/>
      </c>
      <c r="H155" s="10">
        <f t="shared" si="6"/>
        <v>0</v>
      </c>
      <c r="I155" s="8">
        <f>IF(G155&lt;&gt;"",E155-SUMIFS(ขายสินค้า!E:E,ขายสินค้า!G:G,H155),)</f>
        <v>0</v>
      </c>
      <c r="J155" s="11">
        <f t="shared" si="7"/>
        <v>0</v>
      </c>
      <c r="K155" s="11">
        <f>IF(B155&lt;&gt;"", IFERROR(SUMIF(ขายสินค้า!G:G,H155,ขายสินค้า!F:F)/(E155-I155),0),)</f>
        <v>0</v>
      </c>
      <c r="L155" s="12">
        <f t="shared" si="8"/>
        <v>0</v>
      </c>
      <c r="M155" s="13">
        <f t="shared" si="9"/>
        <v>0</v>
      </c>
    </row>
    <row r="156" spans="1:13">
      <c r="A156" s="14"/>
      <c r="B156" s="6"/>
      <c r="C156" s="7">
        <f>IFERROR(VLOOKUP(B156,ชื่อสินค้า!A:C,2,FALSE),)</f>
        <v>0</v>
      </c>
      <c r="D156" s="8" t="str">
        <f>IFERROR(VLOOKUP(B156,ชื่อสินค้า!A:D,4,FALSE),"")</f>
        <v/>
      </c>
      <c r="E156" s="9"/>
      <c r="F156" s="9"/>
      <c r="G156" s="8" t="str">
        <f t="shared" si="5"/>
        <v/>
      </c>
      <c r="H156" s="10">
        <f t="shared" si="6"/>
        <v>0</v>
      </c>
      <c r="I156" s="8">
        <f>IF(G156&lt;&gt;"",E156-SUMIFS(ขายสินค้า!E:E,ขายสินค้า!G:G,H156),)</f>
        <v>0</v>
      </c>
      <c r="J156" s="11">
        <f t="shared" si="7"/>
        <v>0</v>
      </c>
      <c r="K156" s="11">
        <f>IF(B156&lt;&gt;"", IFERROR(SUMIF(ขายสินค้า!G:G,H156,ขายสินค้า!F:F)/(E156-I156),0),)</f>
        <v>0</v>
      </c>
      <c r="L156" s="12">
        <f t="shared" si="8"/>
        <v>0</v>
      </c>
      <c r="M156" s="13">
        <f t="shared" si="9"/>
        <v>0</v>
      </c>
    </row>
    <row r="157" spans="1:13">
      <c r="A157" s="14"/>
      <c r="B157" s="6"/>
      <c r="C157" s="7">
        <f>IFERROR(VLOOKUP(B157,ชื่อสินค้า!A:C,2,FALSE),)</f>
        <v>0</v>
      </c>
      <c r="D157" s="8" t="str">
        <f>IFERROR(VLOOKUP(B157,ชื่อสินค้า!A:D,4,FALSE),"")</f>
        <v/>
      </c>
      <c r="E157" s="9"/>
      <c r="F157" s="9"/>
      <c r="G157" s="8" t="str">
        <f t="shared" si="5"/>
        <v/>
      </c>
      <c r="H157" s="10">
        <f t="shared" si="6"/>
        <v>0</v>
      </c>
      <c r="I157" s="8">
        <f>IF(G157&lt;&gt;"",E157-SUMIFS(ขายสินค้า!E:E,ขายสินค้า!G:G,H157),)</f>
        <v>0</v>
      </c>
      <c r="J157" s="11">
        <f t="shared" si="7"/>
        <v>0</v>
      </c>
      <c r="K157" s="11">
        <f>IF(B157&lt;&gt;"", IFERROR(SUMIF(ขายสินค้า!G:G,H157,ขายสินค้า!F:F)/(E157-I157),0),)</f>
        <v>0</v>
      </c>
      <c r="L157" s="12">
        <f t="shared" si="8"/>
        <v>0</v>
      </c>
      <c r="M157" s="13">
        <f t="shared" si="9"/>
        <v>0</v>
      </c>
    </row>
    <row r="158" spans="1:13">
      <c r="A158" s="14"/>
      <c r="B158" s="6"/>
      <c r="C158" s="7">
        <f>IFERROR(VLOOKUP(B158,ชื่อสินค้า!A:C,2,FALSE),)</f>
        <v>0</v>
      </c>
      <c r="D158" s="8" t="str">
        <f>IFERROR(VLOOKUP(B158,ชื่อสินค้า!A:D,4,FALSE),"")</f>
        <v/>
      </c>
      <c r="E158" s="9"/>
      <c r="F158" s="9"/>
      <c r="G158" s="8" t="str">
        <f t="shared" si="5"/>
        <v/>
      </c>
      <c r="H158" s="10">
        <f t="shared" si="6"/>
        <v>0</v>
      </c>
      <c r="I158" s="8">
        <f>IF(G158&lt;&gt;"",E158-SUMIFS(ขายสินค้า!E:E,ขายสินค้า!G:G,H158),)</f>
        <v>0</v>
      </c>
      <c r="J158" s="11">
        <f t="shared" si="7"/>
        <v>0</v>
      </c>
      <c r="K158" s="11">
        <f>IF(B158&lt;&gt;"", IFERROR(SUMIF(ขายสินค้า!G:G,H158,ขายสินค้า!F:F)/(E158-I158),0),)</f>
        <v>0</v>
      </c>
      <c r="L158" s="12">
        <f t="shared" si="8"/>
        <v>0</v>
      </c>
      <c r="M158" s="13">
        <f t="shared" si="9"/>
        <v>0</v>
      </c>
    </row>
    <row r="159" spans="1:13">
      <c r="A159" s="14"/>
      <c r="B159" s="6"/>
      <c r="C159" s="7">
        <f>IFERROR(VLOOKUP(B159,ชื่อสินค้า!A:C,2,FALSE),)</f>
        <v>0</v>
      </c>
      <c r="D159" s="8" t="str">
        <f>IFERROR(VLOOKUP(B159,ชื่อสินค้า!A:D,4,FALSE),"")</f>
        <v/>
      </c>
      <c r="E159" s="9"/>
      <c r="F159" s="9"/>
      <c r="G159" s="8" t="str">
        <f t="shared" si="5"/>
        <v/>
      </c>
      <c r="H159" s="10">
        <f t="shared" si="6"/>
        <v>0</v>
      </c>
      <c r="I159" s="8">
        <f>IF(G159&lt;&gt;"",E159-SUMIFS(ขายสินค้า!E:E,ขายสินค้า!G:G,H159),)</f>
        <v>0</v>
      </c>
      <c r="J159" s="11">
        <f t="shared" si="7"/>
        <v>0</v>
      </c>
      <c r="K159" s="11">
        <f>IF(B159&lt;&gt;"", IFERROR(SUMIF(ขายสินค้า!G:G,H159,ขายสินค้า!F:F)/(E159-I159),0),)</f>
        <v>0</v>
      </c>
      <c r="L159" s="12">
        <f t="shared" si="8"/>
        <v>0</v>
      </c>
      <c r="M159" s="13">
        <f t="shared" si="9"/>
        <v>0</v>
      </c>
    </row>
    <row r="160" spans="1:13">
      <c r="A160" s="14"/>
      <c r="B160" s="6"/>
      <c r="C160" s="7">
        <f>IFERROR(VLOOKUP(B160,ชื่อสินค้า!A:C,2,FALSE),)</f>
        <v>0</v>
      </c>
      <c r="D160" s="8" t="str">
        <f>IFERROR(VLOOKUP(B160,ชื่อสินค้า!A:D,4,FALSE),"")</f>
        <v/>
      </c>
      <c r="E160" s="9"/>
      <c r="F160" s="9"/>
      <c r="G160" s="8" t="str">
        <f t="shared" si="5"/>
        <v/>
      </c>
      <c r="H160" s="10">
        <f t="shared" si="6"/>
        <v>0</v>
      </c>
      <c r="I160" s="8">
        <f>IF(G160&lt;&gt;"",E160-SUMIFS(ขายสินค้า!E:E,ขายสินค้า!G:G,H160),)</f>
        <v>0</v>
      </c>
      <c r="J160" s="11">
        <f t="shared" si="7"/>
        <v>0</v>
      </c>
      <c r="K160" s="11">
        <f>IF(B160&lt;&gt;"", IFERROR(SUMIF(ขายสินค้า!G:G,H160,ขายสินค้า!F:F)/(E160-I160),0),)</f>
        <v>0</v>
      </c>
      <c r="L160" s="12">
        <f t="shared" si="8"/>
        <v>0</v>
      </c>
      <c r="M160" s="13">
        <f t="shared" si="9"/>
        <v>0</v>
      </c>
    </row>
    <row r="161" spans="1:13">
      <c r="A161" s="14"/>
      <c r="B161" s="6"/>
      <c r="C161" s="7">
        <f>IFERROR(VLOOKUP(B161,ชื่อสินค้า!A:C,2,FALSE),)</f>
        <v>0</v>
      </c>
      <c r="D161" s="8" t="str">
        <f>IFERROR(VLOOKUP(B161,ชื่อสินค้า!A:D,4,FALSE),"")</f>
        <v/>
      </c>
      <c r="E161" s="9"/>
      <c r="F161" s="9"/>
      <c r="G161" s="8" t="str">
        <f t="shared" si="5"/>
        <v/>
      </c>
      <c r="H161" s="10">
        <f t="shared" si="6"/>
        <v>0</v>
      </c>
      <c r="I161" s="8">
        <f>IF(G161&lt;&gt;"",E161-SUMIFS(ขายสินค้า!E:E,ขายสินค้า!G:G,H161),)</f>
        <v>0</v>
      </c>
      <c r="J161" s="11">
        <f t="shared" si="7"/>
        <v>0</v>
      </c>
      <c r="K161" s="11">
        <f>IF(B161&lt;&gt;"", IFERROR(SUMIF(ขายสินค้า!G:G,H161,ขายสินค้า!F:F)/(E161-I161),0),)</f>
        <v>0</v>
      </c>
      <c r="L161" s="12">
        <f t="shared" si="8"/>
        <v>0</v>
      </c>
      <c r="M161" s="13">
        <f t="shared" si="9"/>
        <v>0</v>
      </c>
    </row>
    <row r="162" spans="1:13">
      <c r="A162" s="14"/>
      <c r="B162" s="6"/>
      <c r="C162" s="7">
        <f>IFERROR(VLOOKUP(B162,ชื่อสินค้า!A:C,2,FALSE),)</f>
        <v>0</v>
      </c>
      <c r="D162" s="8" t="str">
        <f>IFERROR(VLOOKUP(B162,ชื่อสินค้า!A:D,4,FALSE),"")</f>
        <v/>
      </c>
      <c r="E162" s="9"/>
      <c r="F162" s="9"/>
      <c r="G162" s="8" t="str">
        <f t="shared" si="5"/>
        <v/>
      </c>
      <c r="H162" s="10">
        <f t="shared" si="6"/>
        <v>0</v>
      </c>
      <c r="I162" s="8">
        <f>IF(G162&lt;&gt;"",E162-SUMIFS(ขายสินค้า!E:E,ขายสินค้า!G:G,H162),)</f>
        <v>0</v>
      </c>
      <c r="J162" s="11">
        <f t="shared" si="7"/>
        <v>0</v>
      </c>
      <c r="K162" s="11">
        <f>IF(B162&lt;&gt;"", IFERROR(SUMIF(ขายสินค้า!G:G,H162,ขายสินค้า!F:F)/(E162-I162),0),)</f>
        <v>0</v>
      </c>
      <c r="L162" s="12">
        <f t="shared" si="8"/>
        <v>0</v>
      </c>
      <c r="M162" s="13">
        <f t="shared" si="9"/>
        <v>0</v>
      </c>
    </row>
    <row r="163" spans="1:13">
      <c r="A163" s="14"/>
      <c r="B163" s="6"/>
      <c r="C163" s="7">
        <f>IFERROR(VLOOKUP(B163,ชื่อสินค้า!A:C,2,FALSE),)</f>
        <v>0</v>
      </c>
      <c r="D163" s="8" t="str">
        <f>IFERROR(VLOOKUP(B163,ชื่อสินค้า!A:D,4,FALSE),"")</f>
        <v/>
      </c>
      <c r="E163" s="9"/>
      <c r="F163" s="9"/>
      <c r="G163" s="8" t="str">
        <f t="shared" si="5"/>
        <v/>
      </c>
      <c r="H163" s="10">
        <f t="shared" si="6"/>
        <v>0</v>
      </c>
      <c r="I163" s="8">
        <f>IF(G163&lt;&gt;"",E163-SUMIFS(ขายสินค้า!E:E,ขายสินค้า!G:G,H163),)</f>
        <v>0</v>
      </c>
      <c r="J163" s="11">
        <f t="shared" si="7"/>
        <v>0</v>
      </c>
      <c r="K163" s="11">
        <f>IF(B163&lt;&gt;"", IFERROR(SUMIF(ขายสินค้า!G:G,H163,ขายสินค้า!F:F)/(E163-I163),0),)</f>
        <v>0</v>
      </c>
      <c r="L163" s="12">
        <f t="shared" si="8"/>
        <v>0</v>
      </c>
      <c r="M163" s="13">
        <f t="shared" si="9"/>
        <v>0</v>
      </c>
    </row>
    <row r="164" spans="1:13">
      <c r="A164" s="14"/>
      <c r="B164" s="6"/>
      <c r="C164" s="7">
        <f>IFERROR(VLOOKUP(B164,ชื่อสินค้า!A:C,2,FALSE),)</f>
        <v>0</v>
      </c>
      <c r="D164" s="8" t="str">
        <f>IFERROR(VLOOKUP(B164,ชื่อสินค้า!A:D,4,FALSE),"")</f>
        <v/>
      </c>
      <c r="E164" s="9"/>
      <c r="F164" s="9"/>
      <c r="G164" s="8" t="str">
        <f t="shared" si="5"/>
        <v/>
      </c>
      <c r="H164" s="10">
        <f t="shared" si="6"/>
        <v>0</v>
      </c>
      <c r="I164" s="8">
        <f>IF(G164&lt;&gt;"",E164-SUMIFS(ขายสินค้า!E:E,ขายสินค้า!G:G,H164),)</f>
        <v>0</v>
      </c>
      <c r="J164" s="11">
        <f t="shared" si="7"/>
        <v>0</v>
      </c>
      <c r="K164" s="11">
        <f>IF(B164&lt;&gt;"", IFERROR(SUMIF(ขายสินค้า!G:G,H164,ขายสินค้า!F:F)/(E164-I164),0),)</f>
        <v>0</v>
      </c>
      <c r="L164" s="12">
        <f t="shared" si="8"/>
        <v>0</v>
      </c>
      <c r="M164" s="13">
        <f t="shared" si="9"/>
        <v>0</v>
      </c>
    </row>
    <row r="165" spans="1:13">
      <c r="A165" s="14"/>
      <c r="B165" s="6"/>
      <c r="C165" s="7">
        <f>IFERROR(VLOOKUP(B165,ชื่อสินค้า!A:C,2,FALSE),)</f>
        <v>0</v>
      </c>
      <c r="D165" s="8" t="str">
        <f>IFERROR(VLOOKUP(B165,ชื่อสินค้า!A:D,4,FALSE),"")</f>
        <v/>
      </c>
      <c r="E165" s="9"/>
      <c r="F165" s="9"/>
      <c r="G165" s="8" t="str">
        <f t="shared" si="5"/>
        <v/>
      </c>
      <c r="H165" s="10">
        <f t="shared" si="6"/>
        <v>0</v>
      </c>
      <c r="I165" s="8">
        <f>IF(G165&lt;&gt;"",E165-SUMIFS(ขายสินค้า!E:E,ขายสินค้า!G:G,H165),)</f>
        <v>0</v>
      </c>
      <c r="J165" s="11">
        <f t="shared" si="7"/>
        <v>0</v>
      </c>
      <c r="K165" s="11">
        <f>IF(B165&lt;&gt;"", IFERROR(SUMIF(ขายสินค้า!G:G,H165,ขายสินค้า!F:F)/(E165-I165),0),)</f>
        <v>0</v>
      </c>
      <c r="L165" s="12">
        <f t="shared" si="8"/>
        <v>0</v>
      </c>
      <c r="M165" s="13">
        <f t="shared" si="9"/>
        <v>0</v>
      </c>
    </row>
    <row r="166" spans="1:13">
      <c r="A166" s="14"/>
      <c r="B166" s="6"/>
      <c r="C166" s="7">
        <f>IFERROR(VLOOKUP(B166,ชื่อสินค้า!A:C,2,FALSE),)</f>
        <v>0</v>
      </c>
      <c r="D166" s="8" t="str">
        <f>IFERROR(VLOOKUP(B166,ชื่อสินค้า!A:D,4,FALSE),"")</f>
        <v/>
      </c>
      <c r="E166" s="9"/>
      <c r="F166" s="9"/>
      <c r="G166" s="8" t="str">
        <f t="shared" si="5"/>
        <v/>
      </c>
      <c r="H166" s="10">
        <f t="shared" si="6"/>
        <v>0</v>
      </c>
      <c r="I166" s="8">
        <f>IF(G166&lt;&gt;"",E166-SUMIFS(ขายสินค้า!E:E,ขายสินค้า!G:G,H166),)</f>
        <v>0</v>
      </c>
      <c r="J166" s="11">
        <f t="shared" si="7"/>
        <v>0</v>
      </c>
      <c r="K166" s="11">
        <f>IF(B166&lt;&gt;"", IFERROR(SUMIF(ขายสินค้า!G:G,H166,ขายสินค้า!F:F)/(E166-I166),0),)</f>
        <v>0</v>
      </c>
      <c r="L166" s="12">
        <f t="shared" si="8"/>
        <v>0</v>
      </c>
      <c r="M166" s="13">
        <f t="shared" si="9"/>
        <v>0</v>
      </c>
    </row>
    <row r="167" spans="1:13">
      <c r="A167" s="14"/>
      <c r="B167" s="6"/>
      <c r="C167" s="7">
        <f>IFERROR(VLOOKUP(B167,ชื่อสินค้า!A:C,2,FALSE),)</f>
        <v>0</v>
      </c>
      <c r="D167" s="8" t="str">
        <f>IFERROR(VLOOKUP(B167,ชื่อสินค้า!A:D,4,FALSE),"")</f>
        <v/>
      </c>
      <c r="E167" s="9"/>
      <c r="F167" s="9"/>
      <c r="G167" s="8" t="str">
        <f t="shared" si="5"/>
        <v/>
      </c>
      <c r="H167" s="10">
        <f t="shared" si="6"/>
        <v>0</v>
      </c>
      <c r="I167" s="8">
        <f>IF(G167&lt;&gt;"",E167-SUMIFS(ขายสินค้า!E:E,ขายสินค้า!G:G,H167),)</f>
        <v>0</v>
      </c>
      <c r="J167" s="11">
        <f t="shared" si="7"/>
        <v>0</v>
      </c>
      <c r="K167" s="11">
        <f>IF(B167&lt;&gt;"", IFERROR(SUMIF(ขายสินค้า!G:G,H167,ขายสินค้า!F:F)/(E167-I167),0),)</f>
        <v>0</v>
      </c>
      <c r="L167" s="12">
        <f t="shared" si="8"/>
        <v>0</v>
      </c>
      <c r="M167" s="13">
        <f t="shared" si="9"/>
        <v>0</v>
      </c>
    </row>
    <row r="168" spans="1:13">
      <c r="A168" s="14"/>
      <c r="B168" s="6"/>
      <c r="C168" s="7">
        <f>IFERROR(VLOOKUP(B168,ชื่อสินค้า!A:C,2,FALSE),)</f>
        <v>0</v>
      </c>
      <c r="D168" s="8" t="str">
        <f>IFERROR(VLOOKUP(B168,ชื่อสินค้า!A:D,4,FALSE),"")</f>
        <v/>
      </c>
      <c r="E168" s="9"/>
      <c r="F168" s="9"/>
      <c r="G168" s="8" t="str">
        <f t="shared" si="5"/>
        <v/>
      </c>
      <c r="H168" s="10">
        <f t="shared" si="6"/>
        <v>0</v>
      </c>
      <c r="I168" s="8">
        <f>IF(G168&lt;&gt;"",E168-SUMIFS(ขายสินค้า!E:E,ขายสินค้า!G:G,H168),)</f>
        <v>0</v>
      </c>
      <c r="J168" s="11">
        <f t="shared" si="7"/>
        <v>0</v>
      </c>
      <c r="K168" s="11">
        <f>IF(B168&lt;&gt;"", IFERROR(SUMIF(ขายสินค้า!G:G,H168,ขายสินค้า!F:F)/(E168-I168),0),)</f>
        <v>0</v>
      </c>
      <c r="L168" s="12">
        <f t="shared" si="8"/>
        <v>0</v>
      </c>
      <c r="M168" s="13">
        <f t="shared" si="9"/>
        <v>0</v>
      </c>
    </row>
    <row r="169" spans="1:13">
      <c r="A169" s="14"/>
      <c r="B169" s="6"/>
      <c r="C169" s="7">
        <f>IFERROR(VLOOKUP(B169,ชื่อสินค้า!A:C,2,FALSE),)</f>
        <v>0</v>
      </c>
      <c r="D169" s="8" t="str">
        <f>IFERROR(VLOOKUP(B169,ชื่อสินค้า!A:D,4,FALSE),"")</f>
        <v/>
      </c>
      <c r="E169" s="9"/>
      <c r="F169" s="9"/>
      <c r="G169" s="8" t="str">
        <f t="shared" si="5"/>
        <v/>
      </c>
      <c r="H169" s="10">
        <f t="shared" si="6"/>
        <v>0</v>
      </c>
      <c r="I169" s="8">
        <f>IF(G169&lt;&gt;"",E169-SUMIFS(ขายสินค้า!E:E,ขายสินค้า!G:G,H169),)</f>
        <v>0</v>
      </c>
      <c r="J169" s="11">
        <f t="shared" si="7"/>
        <v>0</v>
      </c>
      <c r="K169" s="11">
        <f>IF(B169&lt;&gt;"", IFERROR(SUMIF(ขายสินค้า!G:G,H169,ขายสินค้า!F:F)/(E169-I169),0),)</f>
        <v>0</v>
      </c>
      <c r="L169" s="12">
        <f t="shared" si="8"/>
        <v>0</v>
      </c>
      <c r="M169" s="13">
        <f t="shared" si="9"/>
        <v>0</v>
      </c>
    </row>
    <row r="170" spans="1:13">
      <c r="A170" s="14"/>
      <c r="B170" s="6"/>
      <c r="C170" s="7">
        <f>IFERROR(VLOOKUP(B170,ชื่อสินค้า!A:C,2,FALSE),)</f>
        <v>0</v>
      </c>
      <c r="D170" s="8" t="str">
        <f>IFERROR(VLOOKUP(B170,ชื่อสินค้า!A:D,4,FALSE),"")</f>
        <v/>
      </c>
      <c r="E170" s="9"/>
      <c r="F170" s="9"/>
      <c r="G170" s="8" t="str">
        <f t="shared" si="5"/>
        <v/>
      </c>
      <c r="H170" s="10">
        <f t="shared" si="6"/>
        <v>0</v>
      </c>
      <c r="I170" s="8">
        <f>IF(G170&lt;&gt;"",E170-SUMIFS(ขายสินค้า!E:E,ขายสินค้า!G:G,H170),)</f>
        <v>0</v>
      </c>
      <c r="J170" s="11">
        <f t="shared" si="7"/>
        <v>0</v>
      </c>
      <c r="K170" s="11">
        <f>IF(B170&lt;&gt;"", IFERROR(SUMIF(ขายสินค้า!G:G,H170,ขายสินค้า!F:F)/(E170-I170),0),)</f>
        <v>0</v>
      </c>
      <c r="L170" s="12">
        <f t="shared" si="8"/>
        <v>0</v>
      </c>
      <c r="M170" s="13">
        <f t="shared" si="9"/>
        <v>0</v>
      </c>
    </row>
    <row r="171" spans="1:13">
      <c r="A171" s="14"/>
      <c r="B171" s="6"/>
      <c r="C171" s="7">
        <f>IFERROR(VLOOKUP(B171,ชื่อสินค้า!A:C,2,FALSE),)</f>
        <v>0</v>
      </c>
      <c r="D171" s="8" t="str">
        <f>IFERROR(VLOOKUP(B171,ชื่อสินค้า!A:D,4,FALSE),"")</f>
        <v/>
      </c>
      <c r="E171" s="9"/>
      <c r="F171" s="9"/>
      <c r="G171" s="8" t="str">
        <f t="shared" si="5"/>
        <v/>
      </c>
      <c r="H171" s="10">
        <f t="shared" si="6"/>
        <v>0</v>
      </c>
      <c r="I171" s="8">
        <f>IF(G171&lt;&gt;"",E171-SUMIFS(ขายสินค้า!E:E,ขายสินค้า!G:G,H171),)</f>
        <v>0</v>
      </c>
      <c r="J171" s="11">
        <f t="shared" si="7"/>
        <v>0</v>
      </c>
      <c r="K171" s="11">
        <f>IF(B171&lt;&gt;"", IFERROR(SUMIF(ขายสินค้า!G:G,H171,ขายสินค้า!F:F)/(E171-I171),0),)</f>
        <v>0</v>
      </c>
      <c r="L171" s="12">
        <f t="shared" si="8"/>
        <v>0</v>
      </c>
      <c r="M171" s="13">
        <f t="shared" si="9"/>
        <v>0</v>
      </c>
    </row>
    <row r="172" spans="1:13">
      <c r="A172" s="14"/>
      <c r="B172" s="6"/>
      <c r="C172" s="7">
        <f>IFERROR(VLOOKUP(B172,ชื่อสินค้า!A:C,2,FALSE),)</f>
        <v>0</v>
      </c>
      <c r="D172" s="8" t="str">
        <f>IFERROR(VLOOKUP(B172,ชื่อสินค้า!A:D,4,FALSE),"")</f>
        <v/>
      </c>
      <c r="E172" s="9"/>
      <c r="F172" s="9"/>
      <c r="G172" s="8" t="str">
        <f t="shared" si="5"/>
        <v/>
      </c>
      <c r="H172" s="10">
        <f t="shared" si="6"/>
        <v>0</v>
      </c>
      <c r="I172" s="8">
        <f>IF(G172&lt;&gt;"",E172-SUMIFS(ขายสินค้า!E:E,ขายสินค้า!G:G,H172),)</f>
        <v>0</v>
      </c>
      <c r="J172" s="11">
        <f t="shared" si="7"/>
        <v>0</v>
      </c>
      <c r="K172" s="11">
        <f>IF(B172&lt;&gt;"", IFERROR(SUMIF(ขายสินค้า!G:G,H172,ขายสินค้า!F:F)/(E172-I172),0),)</f>
        <v>0</v>
      </c>
      <c r="L172" s="12">
        <f t="shared" si="8"/>
        <v>0</v>
      </c>
      <c r="M172" s="13">
        <f t="shared" si="9"/>
        <v>0</v>
      </c>
    </row>
    <row r="173" spans="1:13">
      <c r="A173" s="14"/>
      <c r="B173" s="6"/>
      <c r="C173" s="7">
        <f>IFERROR(VLOOKUP(B173,ชื่อสินค้า!A:C,2,FALSE),)</f>
        <v>0</v>
      </c>
      <c r="D173" s="8" t="str">
        <f>IFERROR(VLOOKUP(B173,ชื่อสินค้า!A:D,4,FALSE),"")</f>
        <v/>
      </c>
      <c r="E173" s="9"/>
      <c r="F173" s="9"/>
      <c r="G173" s="8" t="str">
        <f t="shared" si="5"/>
        <v/>
      </c>
      <c r="H173" s="10">
        <f t="shared" si="6"/>
        <v>0</v>
      </c>
      <c r="I173" s="8">
        <f>IF(G173&lt;&gt;"",E173-SUMIFS(ขายสินค้า!E:E,ขายสินค้า!G:G,H173),)</f>
        <v>0</v>
      </c>
      <c r="J173" s="11">
        <f t="shared" si="7"/>
        <v>0</v>
      </c>
      <c r="K173" s="11">
        <f>IF(B173&lt;&gt;"", IFERROR(SUMIF(ขายสินค้า!G:G,H173,ขายสินค้า!F:F)/(E173-I173),0),)</f>
        <v>0</v>
      </c>
      <c r="L173" s="12">
        <f t="shared" si="8"/>
        <v>0</v>
      </c>
      <c r="M173" s="13">
        <f t="shared" si="9"/>
        <v>0</v>
      </c>
    </row>
    <row r="174" spans="1:13">
      <c r="A174" s="14"/>
      <c r="B174" s="6"/>
      <c r="C174" s="7">
        <f>IFERROR(VLOOKUP(B174,ชื่อสินค้า!A:C,2,FALSE),)</f>
        <v>0</v>
      </c>
      <c r="D174" s="8" t="str">
        <f>IFERROR(VLOOKUP(B174,ชื่อสินค้า!A:D,4,FALSE),"")</f>
        <v/>
      </c>
      <c r="E174" s="9"/>
      <c r="F174" s="9"/>
      <c r="G174" s="8" t="str">
        <f t="shared" si="5"/>
        <v/>
      </c>
      <c r="H174" s="10">
        <f t="shared" si="6"/>
        <v>0</v>
      </c>
      <c r="I174" s="8">
        <f>IF(G174&lt;&gt;"",E174-SUMIFS(ขายสินค้า!E:E,ขายสินค้า!G:G,H174),)</f>
        <v>0</v>
      </c>
      <c r="J174" s="11">
        <f t="shared" si="7"/>
        <v>0</v>
      </c>
      <c r="K174" s="11">
        <f>IF(B174&lt;&gt;"", IFERROR(SUMIF(ขายสินค้า!G:G,H174,ขายสินค้า!F:F)/(E174-I174),0),)</f>
        <v>0</v>
      </c>
      <c r="L174" s="12">
        <f t="shared" si="8"/>
        <v>0</v>
      </c>
      <c r="M174" s="13">
        <f t="shared" si="9"/>
        <v>0</v>
      </c>
    </row>
    <row r="175" spans="1:13">
      <c r="A175" s="14"/>
      <c r="B175" s="6"/>
      <c r="C175" s="7">
        <f>IFERROR(VLOOKUP(B175,ชื่อสินค้า!A:C,2,FALSE),)</f>
        <v>0</v>
      </c>
      <c r="D175" s="8" t="str">
        <f>IFERROR(VLOOKUP(B175,ชื่อสินค้า!A:D,4,FALSE),"")</f>
        <v/>
      </c>
      <c r="E175" s="9"/>
      <c r="F175" s="9"/>
      <c r="G175" s="8" t="str">
        <f t="shared" si="5"/>
        <v/>
      </c>
      <c r="H175" s="10">
        <f t="shared" si="6"/>
        <v>0</v>
      </c>
      <c r="I175" s="8">
        <f>IF(G175&lt;&gt;"",E175-SUMIFS(ขายสินค้า!E:E,ขายสินค้า!G:G,H175),)</f>
        <v>0</v>
      </c>
      <c r="J175" s="11">
        <f t="shared" si="7"/>
        <v>0</v>
      </c>
      <c r="K175" s="11">
        <f>IF(B175&lt;&gt;"", IFERROR(SUMIF(ขายสินค้า!G:G,H175,ขายสินค้า!F:F)/(E175-I175),0),)</f>
        <v>0</v>
      </c>
      <c r="L175" s="12">
        <f t="shared" si="8"/>
        <v>0</v>
      </c>
      <c r="M175" s="13">
        <f t="shared" si="9"/>
        <v>0</v>
      </c>
    </row>
    <row r="176" spans="1:13">
      <c r="A176" s="14"/>
      <c r="B176" s="6"/>
      <c r="C176" s="7">
        <f>IFERROR(VLOOKUP(B176,ชื่อสินค้า!A:C,2,FALSE),)</f>
        <v>0</v>
      </c>
      <c r="D176" s="8" t="str">
        <f>IFERROR(VLOOKUP(B176,ชื่อสินค้า!A:D,4,FALSE),"")</f>
        <v/>
      </c>
      <c r="E176" s="9"/>
      <c r="F176" s="9"/>
      <c r="G176" s="8" t="str">
        <f t="shared" si="5"/>
        <v/>
      </c>
      <c r="H176" s="10">
        <f t="shared" si="6"/>
        <v>0</v>
      </c>
      <c r="I176" s="8">
        <f>IF(G176&lt;&gt;"",E176-SUMIFS(ขายสินค้า!E:E,ขายสินค้า!G:G,H176),)</f>
        <v>0</v>
      </c>
      <c r="J176" s="11">
        <f t="shared" si="7"/>
        <v>0</v>
      </c>
      <c r="K176" s="11">
        <f>IF(B176&lt;&gt;"", IFERROR(SUMIF(ขายสินค้า!G:G,H176,ขายสินค้า!F:F)/(E176-I176),0),)</f>
        <v>0</v>
      </c>
      <c r="L176" s="12">
        <f t="shared" si="8"/>
        <v>0</v>
      </c>
      <c r="M176" s="13">
        <f t="shared" si="9"/>
        <v>0</v>
      </c>
    </row>
    <row r="177" spans="1:13">
      <c r="A177" s="14"/>
      <c r="B177" s="6"/>
      <c r="C177" s="7">
        <f>IFERROR(VLOOKUP(B177,ชื่อสินค้า!A:C,2,FALSE),)</f>
        <v>0</v>
      </c>
      <c r="D177" s="8" t="str">
        <f>IFERROR(VLOOKUP(B177,ชื่อสินค้า!A:D,4,FALSE),"")</f>
        <v/>
      </c>
      <c r="E177" s="9"/>
      <c r="F177" s="9"/>
      <c r="G177" s="8" t="str">
        <f t="shared" si="5"/>
        <v/>
      </c>
      <c r="H177" s="10">
        <f t="shared" si="6"/>
        <v>0</v>
      </c>
      <c r="I177" s="8">
        <f>IF(G177&lt;&gt;"",E177-SUMIFS(ขายสินค้า!E:E,ขายสินค้า!G:G,H177),)</f>
        <v>0</v>
      </c>
      <c r="J177" s="11">
        <f t="shared" si="7"/>
        <v>0</v>
      </c>
      <c r="K177" s="11">
        <f>IF(B177&lt;&gt;"", IFERROR(SUMIF(ขายสินค้า!G:G,H177,ขายสินค้า!F:F)/(E177-I177),0),)</f>
        <v>0</v>
      </c>
      <c r="L177" s="12">
        <f t="shared" si="8"/>
        <v>0</v>
      </c>
      <c r="M177" s="13">
        <f t="shared" si="9"/>
        <v>0</v>
      </c>
    </row>
    <row r="178" spans="1:13">
      <c r="A178" s="14"/>
      <c r="B178" s="6"/>
      <c r="C178" s="7">
        <f>IFERROR(VLOOKUP(B178,ชื่อสินค้า!A:C,2,FALSE),)</f>
        <v>0</v>
      </c>
      <c r="D178" s="8" t="str">
        <f>IFERROR(VLOOKUP(B178,ชื่อสินค้า!A:D,4,FALSE),"")</f>
        <v/>
      </c>
      <c r="E178" s="9"/>
      <c r="F178" s="9"/>
      <c r="G178" s="8" t="str">
        <f t="shared" si="5"/>
        <v/>
      </c>
      <c r="H178" s="10">
        <f t="shared" si="6"/>
        <v>0</v>
      </c>
      <c r="I178" s="8">
        <f>IF(G178&lt;&gt;"",E178-SUMIFS(ขายสินค้า!E:E,ขายสินค้า!G:G,H178),)</f>
        <v>0</v>
      </c>
      <c r="J178" s="11">
        <f t="shared" si="7"/>
        <v>0</v>
      </c>
      <c r="K178" s="11">
        <f>IF(B178&lt;&gt;"", IFERROR(SUMIF(ขายสินค้า!G:G,H178,ขายสินค้า!F:F)/(E178-I178),0),)</f>
        <v>0</v>
      </c>
      <c r="L178" s="12">
        <f t="shared" si="8"/>
        <v>0</v>
      </c>
      <c r="M178" s="13">
        <f t="shared" si="9"/>
        <v>0</v>
      </c>
    </row>
    <row r="179" spans="1:13">
      <c r="A179" s="14"/>
      <c r="B179" s="6"/>
      <c r="C179" s="7">
        <f>IFERROR(VLOOKUP(B179,ชื่อสินค้า!A:C,2,FALSE),)</f>
        <v>0</v>
      </c>
      <c r="D179" s="8" t="str">
        <f>IFERROR(VLOOKUP(B179,ชื่อสินค้า!A:D,4,FALSE),"")</f>
        <v/>
      </c>
      <c r="E179" s="9"/>
      <c r="F179" s="9"/>
      <c r="G179" s="8" t="str">
        <f t="shared" si="5"/>
        <v/>
      </c>
      <c r="H179" s="10">
        <f t="shared" si="6"/>
        <v>0</v>
      </c>
      <c r="I179" s="8">
        <f>IF(G179&lt;&gt;"",E179-SUMIFS(ขายสินค้า!E:E,ขายสินค้า!G:G,H179),)</f>
        <v>0</v>
      </c>
      <c r="J179" s="11">
        <f t="shared" si="7"/>
        <v>0</v>
      </c>
      <c r="K179" s="11">
        <f>IF(B179&lt;&gt;"", IFERROR(SUMIF(ขายสินค้า!G:G,H179,ขายสินค้า!F:F)/(E179-I179),0),)</f>
        <v>0</v>
      </c>
      <c r="L179" s="12">
        <f t="shared" si="8"/>
        <v>0</v>
      </c>
      <c r="M179" s="13">
        <f t="shared" si="9"/>
        <v>0</v>
      </c>
    </row>
    <row r="180" spans="1:13">
      <c r="A180" s="14"/>
      <c r="B180" s="6"/>
      <c r="C180" s="7">
        <f>IFERROR(VLOOKUP(B180,ชื่อสินค้า!A:C,2,FALSE),)</f>
        <v>0</v>
      </c>
      <c r="D180" s="8" t="str">
        <f>IFERROR(VLOOKUP(B180,ชื่อสินค้า!A:D,4,FALSE),"")</f>
        <v/>
      </c>
      <c r="E180" s="9"/>
      <c r="F180" s="9"/>
      <c r="G180" s="8" t="str">
        <f t="shared" si="5"/>
        <v/>
      </c>
      <c r="H180" s="10">
        <f t="shared" si="6"/>
        <v>0</v>
      </c>
      <c r="I180" s="8">
        <f>IF(G180&lt;&gt;"",E180-SUMIFS(ขายสินค้า!E:E,ขายสินค้า!G:G,H180),)</f>
        <v>0</v>
      </c>
      <c r="J180" s="11">
        <f t="shared" si="7"/>
        <v>0</v>
      </c>
      <c r="K180" s="11">
        <f>IF(B180&lt;&gt;"", IFERROR(SUMIF(ขายสินค้า!G:G,H180,ขายสินค้า!F:F)/(E180-I180),0),)</f>
        <v>0</v>
      </c>
      <c r="L180" s="12">
        <f t="shared" si="8"/>
        <v>0</v>
      </c>
      <c r="M180" s="13">
        <f t="shared" si="9"/>
        <v>0</v>
      </c>
    </row>
    <row r="181" spans="1:13">
      <c r="A181" s="14"/>
      <c r="B181" s="6"/>
      <c r="C181" s="7">
        <f>IFERROR(VLOOKUP(B181,ชื่อสินค้า!A:C,2,FALSE),)</f>
        <v>0</v>
      </c>
      <c r="D181" s="8" t="str">
        <f>IFERROR(VLOOKUP(B181,ชื่อสินค้า!A:D,4,FALSE),"")</f>
        <v/>
      </c>
      <c r="E181" s="9"/>
      <c r="F181" s="9"/>
      <c r="G181" s="8" t="str">
        <f t="shared" si="5"/>
        <v/>
      </c>
      <c r="H181" s="10">
        <f t="shared" si="6"/>
        <v>0</v>
      </c>
      <c r="I181" s="8">
        <f>IF(G181&lt;&gt;"",E181-SUMIFS(ขายสินค้า!E:E,ขายสินค้า!G:G,H181),)</f>
        <v>0</v>
      </c>
      <c r="J181" s="11">
        <f t="shared" si="7"/>
        <v>0</v>
      </c>
      <c r="K181" s="11">
        <f>IF(B181&lt;&gt;"", IFERROR(SUMIF(ขายสินค้า!G:G,H181,ขายสินค้า!F:F)/(E181-I181),0),)</f>
        <v>0</v>
      </c>
      <c r="L181" s="12">
        <f t="shared" si="8"/>
        <v>0</v>
      </c>
      <c r="M181" s="13">
        <f t="shared" si="9"/>
        <v>0</v>
      </c>
    </row>
    <row r="182" spans="1:13">
      <c r="A182" s="14"/>
      <c r="B182" s="6"/>
      <c r="C182" s="7">
        <f>IFERROR(VLOOKUP(B182,ชื่อสินค้า!A:C,2,FALSE),)</f>
        <v>0</v>
      </c>
      <c r="D182" s="8" t="str">
        <f>IFERROR(VLOOKUP(B182,ชื่อสินค้า!A:D,4,FALSE),"")</f>
        <v/>
      </c>
      <c r="E182" s="9"/>
      <c r="F182" s="9"/>
      <c r="G182" s="8" t="str">
        <f t="shared" si="5"/>
        <v/>
      </c>
      <c r="H182" s="10">
        <f t="shared" si="6"/>
        <v>0</v>
      </c>
      <c r="I182" s="8">
        <f>IF(G182&lt;&gt;"",E182-SUMIFS(ขายสินค้า!E:E,ขายสินค้า!G:G,H182),)</f>
        <v>0</v>
      </c>
      <c r="J182" s="11">
        <f t="shared" si="7"/>
        <v>0</v>
      </c>
      <c r="K182" s="11">
        <f>IF(B182&lt;&gt;"", IFERROR(SUMIF(ขายสินค้า!G:G,H182,ขายสินค้า!F:F)/(E182-I182),0),)</f>
        <v>0</v>
      </c>
      <c r="L182" s="12">
        <f t="shared" si="8"/>
        <v>0</v>
      </c>
      <c r="M182" s="13">
        <f t="shared" si="9"/>
        <v>0</v>
      </c>
    </row>
    <row r="183" spans="1:13">
      <c r="A183" s="14"/>
      <c r="B183" s="6"/>
      <c r="C183" s="7">
        <f>IFERROR(VLOOKUP(B183,ชื่อสินค้า!A:C,2,FALSE),)</f>
        <v>0</v>
      </c>
      <c r="D183" s="8" t="str">
        <f>IFERROR(VLOOKUP(B183,ชื่อสินค้า!A:D,4,FALSE),"")</f>
        <v/>
      </c>
      <c r="E183" s="9"/>
      <c r="F183" s="9"/>
      <c r="G183" s="8" t="str">
        <f t="shared" si="5"/>
        <v/>
      </c>
      <c r="H183" s="10">
        <f t="shared" si="6"/>
        <v>0</v>
      </c>
      <c r="I183" s="8">
        <f>IF(G183&lt;&gt;"",E183-SUMIFS(ขายสินค้า!E:E,ขายสินค้า!G:G,H183),)</f>
        <v>0</v>
      </c>
      <c r="J183" s="11">
        <f t="shared" si="7"/>
        <v>0</v>
      </c>
      <c r="K183" s="11">
        <f>IF(B183&lt;&gt;"", IFERROR(SUMIF(ขายสินค้า!G:G,H183,ขายสินค้า!F:F)/(E183-I183),0),)</f>
        <v>0</v>
      </c>
      <c r="L183" s="12">
        <f t="shared" si="8"/>
        <v>0</v>
      </c>
      <c r="M183" s="13">
        <f t="shared" si="9"/>
        <v>0</v>
      </c>
    </row>
    <row r="184" spans="1:13">
      <c r="A184" s="14"/>
      <c r="B184" s="6"/>
      <c r="C184" s="7">
        <f>IFERROR(VLOOKUP(B184,ชื่อสินค้า!A:C,2,FALSE),)</f>
        <v>0</v>
      </c>
      <c r="D184" s="8" t="str">
        <f>IFERROR(VLOOKUP(B184,ชื่อสินค้า!A:D,4,FALSE),"")</f>
        <v/>
      </c>
      <c r="E184" s="9"/>
      <c r="F184" s="9"/>
      <c r="G184" s="8" t="str">
        <f t="shared" si="5"/>
        <v/>
      </c>
      <c r="H184" s="10">
        <f t="shared" si="6"/>
        <v>0</v>
      </c>
      <c r="I184" s="8">
        <f>IF(G184&lt;&gt;"",E184-SUMIFS(ขายสินค้า!E:E,ขายสินค้า!G:G,H184),)</f>
        <v>0</v>
      </c>
      <c r="J184" s="11">
        <f t="shared" si="7"/>
        <v>0</v>
      </c>
      <c r="K184" s="11">
        <f>IF(B184&lt;&gt;"", IFERROR(SUMIF(ขายสินค้า!G:G,H184,ขายสินค้า!F:F)/(E184-I184),0),)</f>
        <v>0</v>
      </c>
      <c r="L184" s="12">
        <f t="shared" si="8"/>
        <v>0</v>
      </c>
      <c r="M184" s="13">
        <f t="shared" si="9"/>
        <v>0</v>
      </c>
    </row>
    <row r="185" spans="1:13">
      <c r="A185" s="14"/>
      <c r="B185" s="6"/>
      <c r="C185" s="7">
        <f>IFERROR(VLOOKUP(B185,ชื่อสินค้า!A:C,2,FALSE),)</f>
        <v>0</v>
      </c>
      <c r="D185" s="8" t="str">
        <f>IFERROR(VLOOKUP(B185,ชื่อสินค้า!A:D,4,FALSE),"")</f>
        <v/>
      </c>
      <c r="E185" s="9"/>
      <c r="F185" s="9"/>
      <c r="G185" s="8" t="str">
        <f t="shared" si="5"/>
        <v/>
      </c>
      <c r="H185" s="10">
        <f t="shared" si="6"/>
        <v>0</v>
      </c>
      <c r="I185" s="8">
        <f>IF(G185&lt;&gt;"",E185-SUMIFS(ขายสินค้า!E:E,ขายสินค้า!G:G,H185),)</f>
        <v>0</v>
      </c>
      <c r="J185" s="11">
        <f t="shared" si="7"/>
        <v>0</v>
      </c>
      <c r="K185" s="11">
        <f>IF(B185&lt;&gt;"", IFERROR(SUMIF(ขายสินค้า!G:G,H185,ขายสินค้า!F:F)/(E185-I185),0),)</f>
        <v>0</v>
      </c>
      <c r="L185" s="12">
        <f t="shared" si="8"/>
        <v>0</v>
      </c>
      <c r="M185" s="13">
        <f t="shared" si="9"/>
        <v>0</v>
      </c>
    </row>
    <row r="186" spans="1:13">
      <c r="A186" s="14"/>
      <c r="B186" s="6"/>
      <c r="C186" s="7">
        <f>IFERROR(VLOOKUP(B186,ชื่อสินค้า!A:C,2,FALSE),)</f>
        <v>0</v>
      </c>
      <c r="D186" s="8" t="str">
        <f>IFERROR(VLOOKUP(B186,ชื่อสินค้า!A:D,4,FALSE),"")</f>
        <v/>
      </c>
      <c r="E186" s="9"/>
      <c r="F186" s="9"/>
      <c r="G186" s="8" t="str">
        <f t="shared" si="5"/>
        <v/>
      </c>
      <c r="H186" s="10">
        <f t="shared" si="6"/>
        <v>0</v>
      </c>
      <c r="I186" s="8">
        <f>IF(G186&lt;&gt;"",E186-SUMIFS(ขายสินค้า!E:E,ขายสินค้า!G:G,H186),)</f>
        <v>0</v>
      </c>
      <c r="J186" s="11">
        <f t="shared" si="7"/>
        <v>0</v>
      </c>
      <c r="K186" s="11">
        <f>IF(B186&lt;&gt;"", IFERROR(SUMIF(ขายสินค้า!G:G,H186,ขายสินค้า!F:F)/(E186-I186),0),)</f>
        <v>0</v>
      </c>
      <c r="L186" s="12">
        <f t="shared" si="8"/>
        <v>0</v>
      </c>
      <c r="M186" s="13">
        <f t="shared" si="9"/>
        <v>0</v>
      </c>
    </row>
    <row r="187" spans="1:13">
      <c r="A187" s="14"/>
      <c r="B187" s="6"/>
      <c r="C187" s="7">
        <f>IFERROR(VLOOKUP(B187,ชื่อสินค้า!A:C,2,FALSE),)</f>
        <v>0</v>
      </c>
      <c r="D187" s="8" t="str">
        <f>IFERROR(VLOOKUP(B187,ชื่อสินค้า!A:D,4,FALSE),"")</f>
        <v/>
      </c>
      <c r="E187" s="9"/>
      <c r="F187" s="9"/>
      <c r="G187" s="8" t="str">
        <f t="shared" si="5"/>
        <v/>
      </c>
      <c r="H187" s="10">
        <f t="shared" si="6"/>
        <v>0</v>
      </c>
      <c r="I187" s="8">
        <f>IF(G187&lt;&gt;"",E187-SUMIFS(ขายสินค้า!E:E,ขายสินค้า!G:G,H187),)</f>
        <v>0</v>
      </c>
      <c r="J187" s="11">
        <f t="shared" si="7"/>
        <v>0</v>
      </c>
      <c r="K187" s="11">
        <f>IF(B187&lt;&gt;"", IFERROR(SUMIF(ขายสินค้า!G:G,H187,ขายสินค้า!F:F)/(E187-I187),0),)</f>
        <v>0</v>
      </c>
      <c r="L187" s="12">
        <f t="shared" si="8"/>
        <v>0</v>
      </c>
      <c r="M187" s="13">
        <f t="shared" si="9"/>
        <v>0</v>
      </c>
    </row>
    <row r="188" spans="1:13">
      <c r="A188" s="14"/>
      <c r="B188" s="6"/>
      <c r="C188" s="7">
        <f>IFERROR(VLOOKUP(B188,ชื่อสินค้า!A:C,2,FALSE),)</f>
        <v>0</v>
      </c>
      <c r="D188" s="8" t="str">
        <f>IFERROR(VLOOKUP(B188,ชื่อสินค้า!A:D,4,FALSE),"")</f>
        <v/>
      </c>
      <c r="E188" s="9"/>
      <c r="F188" s="9"/>
      <c r="G188" s="8" t="str">
        <f t="shared" si="5"/>
        <v/>
      </c>
      <c r="H188" s="10">
        <f t="shared" si="6"/>
        <v>0</v>
      </c>
      <c r="I188" s="8">
        <f>IF(G188&lt;&gt;"",E188-SUMIFS(ขายสินค้า!E:E,ขายสินค้า!G:G,H188),)</f>
        <v>0</v>
      </c>
      <c r="J188" s="11">
        <f t="shared" si="7"/>
        <v>0</v>
      </c>
      <c r="K188" s="11">
        <f>IF(B188&lt;&gt;"", IFERROR(SUMIF(ขายสินค้า!G:G,H188,ขายสินค้า!F:F)/(E188-I188),0),)</f>
        <v>0</v>
      </c>
      <c r="L188" s="12">
        <f t="shared" si="8"/>
        <v>0</v>
      </c>
      <c r="M188" s="13">
        <f t="shared" si="9"/>
        <v>0</v>
      </c>
    </row>
    <row r="189" spans="1:13">
      <c r="A189" s="14"/>
      <c r="B189" s="6"/>
      <c r="C189" s="7">
        <f>IFERROR(VLOOKUP(B189,ชื่อสินค้า!A:C,2,FALSE),)</f>
        <v>0</v>
      </c>
      <c r="D189" s="8" t="str">
        <f>IFERROR(VLOOKUP(B189,ชื่อสินค้า!A:D,4,FALSE),"")</f>
        <v/>
      </c>
      <c r="E189" s="9"/>
      <c r="F189" s="9"/>
      <c r="G189" s="8" t="str">
        <f t="shared" si="5"/>
        <v/>
      </c>
      <c r="H189" s="10">
        <f t="shared" si="6"/>
        <v>0</v>
      </c>
      <c r="I189" s="8">
        <f>IF(G189&lt;&gt;"",E189-SUMIFS(ขายสินค้า!E:E,ขายสินค้า!G:G,H189),)</f>
        <v>0</v>
      </c>
      <c r="J189" s="11">
        <f t="shared" si="7"/>
        <v>0</v>
      </c>
      <c r="K189" s="11">
        <f>IF(B189&lt;&gt;"", IFERROR(SUMIF(ขายสินค้า!G:G,H189,ขายสินค้า!F:F)/(E189-I189),0),)</f>
        <v>0</v>
      </c>
      <c r="L189" s="12">
        <f t="shared" si="8"/>
        <v>0</v>
      </c>
      <c r="M189" s="13">
        <f t="shared" si="9"/>
        <v>0</v>
      </c>
    </row>
    <row r="190" spans="1:13">
      <c r="A190" s="14"/>
      <c r="B190" s="6"/>
      <c r="C190" s="7">
        <f>IFERROR(VLOOKUP(B190,ชื่อสินค้า!A:C,2,FALSE),)</f>
        <v>0</v>
      </c>
      <c r="D190" s="8" t="str">
        <f>IFERROR(VLOOKUP(B190,ชื่อสินค้า!A:D,4,FALSE),"")</f>
        <v/>
      </c>
      <c r="E190" s="9"/>
      <c r="F190" s="9"/>
      <c r="G190" s="8" t="str">
        <f t="shared" si="5"/>
        <v/>
      </c>
      <c r="H190" s="10">
        <f t="shared" si="6"/>
        <v>0</v>
      </c>
      <c r="I190" s="8">
        <f>IF(G190&lt;&gt;"",E190-SUMIFS(ขายสินค้า!E:E,ขายสินค้า!G:G,H190),)</f>
        <v>0</v>
      </c>
      <c r="J190" s="11">
        <f t="shared" si="7"/>
        <v>0</v>
      </c>
      <c r="K190" s="11">
        <f>IF(B190&lt;&gt;"", IFERROR(SUMIF(ขายสินค้า!G:G,H190,ขายสินค้า!F:F)/(E190-I190),0),)</f>
        <v>0</v>
      </c>
      <c r="L190" s="12">
        <f t="shared" si="8"/>
        <v>0</v>
      </c>
      <c r="M190" s="13">
        <f t="shared" si="9"/>
        <v>0</v>
      </c>
    </row>
    <row r="191" spans="1:13">
      <c r="A191" s="14"/>
      <c r="B191" s="6"/>
      <c r="C191" s="7">
        <f>IFERROR(VLOOKUP(B191,ชื่อสินค้า!A:C,2,FALSE),)</f>
        <v>0</v>
      </c>
      <c r="D191" s="8" t="str">
        <f>IFERROR(VLOOKUP(B191,ชื่อสินค้า!A:D,4,FALSE),"")</f>
        <v/>
      </c>
      <c r="E191" s="9"/>
      <c r="F191" s="9"/>
      <c r="G191" s="8" t="str">
        <f t="shared" si="5"/>
        <v/>
      </c>
      <c r="H191" s="10">
        <f t="shared" si="6"/>
        <v>0</v>
      </c>
      <c r="I191" s="8">
        <f>IF(G191&lt;&gt;"",E191-SUMIFS(ขายสินค้า!E:E,ขายสินค้า!G:G,H191),)</f>
        <v>0</v>
      </c>
      <c r="J191" s="11">
        <f t="shared" si="7"/>
        <v>0</v>
      </c>
      <c r="K191" s="11">
        <f>IF(B191&lt;&gt;"", IFERROR(SUMIF(ขายสินค้า!G:G,H191,ขายสินค้า!F:F)/(E191-I191),0),)</f>
        <v>0</v>
      </c>
      <c r="L191" s="12">
        <f t="shared" si="8"/>
        <v>0</v>
      </c>
      <c r="M191" s="13">
        <f t="shared" si="9"/>
        <v>0</v>
      </c>
    </row>
    <row r="192" spans="1:13">
      <c r="A192" s="14"/>
      <c r="B192" s="6"/>
      <c r="C192" s="7">
        <f>IFERROR(VLOOKUP(B192,ชื่อสินค้า!A:C,2,FALSE),)</f>
        <v>0</v>
      </c>
      <c r="D192" s="8" t="str">
        <f>IFERROR(VLOOKUP(B192,ชื่อสินค้า!A:D,4,FALSE),"")</f>
        <v/>
      </c>
      <c r="E192" s="9"/>
      <c r="F192" s="9"/>
      <c r="G192" s="8" t="str">
        <f t="shared" si="5"/>
        <v/>
      </c>
      <c r="H192" s="10">
        <f t="shared" si="6"/>
        <v>0</v>
      </c>
      <c r="I192" s="8">
        <f>IF(G192&lt;&gt;"",E192-SUMIFS(ขายสินค้า!E:E,ขายสินค้า!G:G,H192),)</f>
        <v>0</v>
      </c>
      <c r="J192" s="11">
        <f t="shared" si="7"/>
        <v>0</v>
      </c>
      <c r="K192" s="11">
        <f>IF(B192&lt;&gt;"", IFERROR(SUMIF(ขายสินค้า!G:G,H192,ขายสินค้า!F:F)/(E192-I192),0),)</f>
        <v>0</v>
      </c>
      <c r="L192" s="12">
        <f t="shared" si="8"/>
        <v>0</v>
      </c>
      <c r="M192" s="13">
        <f t="shared" si="9"/>
        <v>0</v>
      </c>
    </row>
    <row r="193" spans="1:13">
      <c r="A193" s="14"/>
      <c r="B193" s="6"/>
      <c r="C193" s="7">
        <f>IFERROR(VLOOKUP(B193,ชื่อสินค้า!A:C,2,FALSE),)</f>
        <v>0</v>
      </c>
      <c r="D193" s="8" t="str">
        <f>IFERROR(VLOOKUP(B193,ชื่อสินค้า!A:D,4,FALSE),"")</f>
        <v/>
      </c>
      <c r="E193" s="9"/>
      <c r="F193" s="9"/>
      <c r="G193" s="8" t="str">
        <f t="shared" si="5"/>
        <v/>
      </c>
      <c r="H193" s="10">
        <f t="shared" si="6"/>
        <v>0</v>
      </c>
      <c r="I193" s="8">
        <f>IF(G193&lt;&gt;"",E193-SUMIFS(ขายสินค้า!E:E,ขายสินค้า!G:G,H193),)</f>
        <v>0</v>
      </c>
      <c r="J193" s="11">
        <f t="shared" si="7"/>
        <v>0</v>
      </c>
      <c r="K193" s="11">
        <f>IF(B193&lt;&gt;"", IFERROR(SUMIF(ขายสินค้า!G:G,H193,ขายสินค้า!F:F)/(E193-I193),0),)</f>
        <v>0</v>
      </c>
      <c r="L193" s="12">
        <f t="shared" si="8"/>
        <v>0</v>
      </c>
      <c r="M193" s="13">
        <f t="shared" si="9"/>
        <v>0</v>
      </c>
    </row>
    <row r="194" spans="1:13">
      <c r="A194" s="14"/>
      <c r="B194" s="6"/>
      <c r="C194" s="7">
        <f>IFERROR(VLOOKUP(B194,ชื่อสินค้า!A:C,2,FALSE),)</f>
        <v>0</v>
      </c>
      <c r="D194" s="8" t="str">
        <f>IFERROR(VLOOKUP(B194,ชื่อสินค้า!A:D,4,FALSE),"")</f>
        <v/>
      </c>
      <c r="E194" s="9"/>
      <c r="F194" s="9"/>
      <c r="G194" s="8" t="str">
        <f t="shared" si="5"/>
        <v/>
      </c>
      <c r="H194" s="10">
        <f t="shared" si="6"/>
        <v>0</v>
      </c>
      <c r="I194" s="8">
        <f>IF(G194&lt;&gt;"",E194-SUMIFS(ขายสินค้า!E:E,ขายสินค้า!G:G,H194),)</f>
        <v>0</v>
      </c>
      <c r="J194" s="11">
        <f t="shared" si="7"/>
        <v>0</v>
      </c>
      <c r="K194" s="11">
        <f>IF(B194&lt;&gt;"", IFERROR(SUMIF(ขายสินค้า!G:G,H194,ขายสินค้า!F:F)/(E194-I194),0),)</f>
        <v>0</v>
      </c>
      <c r="L194" s="12">
        <f t="shared" si="8"/>
        <v>0</v>
      </c>
      <c r="M194" s="13">
        <f t="shared" si="9"/>
        <v>0</v>
      </c>
    </row>
    <row r="195" spans="1:13">
      <c r="A195" s="14"/>
      <c r="B195" s="6"/>
      <c r="C195" s="7">
        <f>IFERROR(VLOOKUP(B195,ชื่อสินค้า!A:C,2,FALSE),)</f>
        <v>0</v>
      </c>
      <c r="D195" s="8" t="str">
        <f>IFERROR(VLOOKUP(B195,ชื่อสินค้า!A:D,4,FALSE),"")</f>
        <v/>
      </c>
      <c r="E195" s="9"/>
      <c r="F195" s="9"/>
      <c r="G195" s="8" t="str">
        <f t="shared" si="5"/>
        <v/>
      </c>
      <c r="H195" s="10">
        <f t="shared" si="6"/>
        <v>0</v>
      </c>
      <c r="I195" s="8">
        <f>IF(G195&lt;&gt;"",E195-SUMIFS(ขายสินค้า!E:E,ขายสินค้า!G:G,H195),)</f>
        <v>0</v>
      </c>
      <c r="J195" s="11">
        <f t="shared" si="7"/>
        <v>0</v>
      </c>
      <c r="K195" s="11">
        <f>IF(B195&lt;&gt;"", IFERROR(SUMIF(ขายสินค้า!G:G,H195,ขายสินค้า!F:F)/(E195-I195),0),)</f>
        <v>0</v>
      </c>
      <c r="L195" s="12">
        <f t="shared" si="8"/>
        <v>0</v>
      </c>
      <c r="M195" s="13">
        <f t="shared" si="9"/>
        <v>0</v>
      </c>
    </row>
    <row r="196" spans="1:13">
      <c r="A196" s="14"/>
      <c r="B196" s="6"/>
      <c r="C196" s="7">
        <f>IFERROR(VLOOKUP(B196,ชื่อสินค้า!A:C,2,FALSE),)</f>
        <v>0</v>
      </c>
      <c r="D196" s="8" t="str">
        <f>IFERROR(VLOOKUP(B196,ชื่อสินค้า!A:D,4,FALSE),"")</f>
        <v/>
      </c>
      <c r="E196" s="9"/>
      <c r="F196" s="9"/>
      <c r="G196" s="8" t="str">
        <f t="shared" si="5"/>
        <v/>
      </c>
      <c r="H196" s="10">
        <f t="shared" si="6"/>
        <v>0</v>
      </c>
      <c r="I196" s="8">
        <f>IF(G196&lt;&gt;"",E196-SUMIFS(ขายสินค้า!E:E,ขายสินค้า!G:G,H196),)</f>
        <v>0</v>
      </c>
      <c r="J196" s="11">
        <f t="shared" si="7"/>
        <v>0</v>
      </c>
      <c r="K196" s="11">
        <f>IF(B196&lt;&gt;"", IFERROR(SUMIF(ขายสินค้า!G:G,H196,ขายสินค้า!F:F)/(E196-I196),0),)</f>
        <v>0</v>
      </c>
      <c r="L196" s="12">
        <f t="shared" si="8"/>
        <v>0</v>
      </c>
      <c r="M196" s="13">
        <f t="shared" si="9"/>
        <v>0</v>
      </c>
    </row>
    <row r="197" spans="1:13">
      <c r="A197" s="14"/>
      <c r="B197" s="6"/>
      <c r="C197" s="7">
        <f>IFERROR(VLOOKUP(B197,ชื่อสินค้า!A:C,2,FALSE),)</f>
        <v>0</v>
      </c>
      <c r="D197" s="8" t="str">
        <f>IFERROR(VLOOKUP(B197,ชื่อสินค้า!A:D,4,FALSE),"")</f>
        <v/>
      </c>
      <c r="E197" s="9"/>
      <c r="F197" s="9"/>
      <c r="G197" s="8" t="str">
        <f t="shared" si="5"/>
        <v/>
      </c>
      <c r="H197" s="10">
        <f t="shared" si="6"/>
        <v>0</v>
      </c>
      <c r="I197" s="8">
        <f>IF(G197&lt;&gt;"",E197-SUMIFS(ขายสินค้า!E:E,ขายสินค้า!G:G,H197),)</f>
        <v>0</v>
      </c>
      <c r="J197" s="11">
        <f t="shared" si="7"/>
        <v>0</v>
      </c>
      <c r="K197" s="11">
        <f>IF(B197&lt;&gt;"", IFERROR(SUMIF(ขายสินค้า!G:G,H197,ขายสินค้า!F:F)/(E197-I197),0),)</f>
        <v>0</v>
      </c>
      <c r="L197" s="12">
        <f t="shared" si="8"/>
        <v>0</v>
      </c>
      <c r="M197" s="13">
        <f t="shared" si="9"/>
        <v>0</v>
      </c>
    </row>
    <row r="198" spans="1:13">
      <c r="A198" s="14"/>
      <c r="B198" s="6"/>
      <c r="C198" s="7">
        <f>IFERROR(VLOOKUP(B198,ชื่อสินค้า!A:C,2,FALSE),)</f>
        <v>0</v>
      </c>
      <c r="D198" s="8" t="str">
        <f>IFERROR(VLOOKUP(B198,ชื่อสินค้า!A:D,4,FALSE),"")</f>
        <v/>
      </c>
      <c r="E198" s="9"/>
      <c r="F198" s="9"/>
      <c r="G198" s="8" t="str">
        <f t="shared" si="5"/>
        <v/>
      </c>
      <c r="H198" s="10">
        <f t="shared" si="6"/>
        <v>0</v>
      </c>
      <c r="I198" s="8">
        <f>IF(G198&lt;&gt;"",E198-SUMIFS(ขายสินค้า!E:E,ขายสินค้า!G:G,H198),)</f>
        <v>0</v>
      </c>
      <c r="J198" s="11">
        <f t="shared" si="7"/>
        <v>0</v>
      </c>
      <c r="K198" s="11">
        <f>IF(B198&lt;&gt;"", IFERROR(SUMIF(ขายสินค้า!G:G,H198,ขายสินค้า!F:F)/(E198-I198),0),)</f>
        <v>0</v>
      </c>
      <c r="L198" s="12">
        <f t="shared" si="8"/>
        <v>0</v>
      </c>
      <c r="M198" s="13">
        <f t="shared" si="9"/>
        <v>0</v>
      </c>
    </row>
    <row r="199" spans="1:13">
      <c r="A199" s="14"/>
      <c r="B199" s="6"/>
      <c r="C199" s="7">
        <f>IFERROR(VLOOKUP(B199,ชื่อสินค้า!A:C,2,FALSE),)</f>
        <v>0</v>
      </c>
      <c r="D199" s="8" t="str">
        <f>IFERROR(VLOOKUP(B199,ชื่อสินค้า!A:D,4,FALSE),"")</f>
        <v/>
      </c>
      <c r="E199" s="9"/>
      <c r="F199" s="9"/>
      <c r="G199" s="8" t="str">
        <f t="shared" si="5"/>
        <v/>
      </c>
      <c r="H199" s="10">
        <f t="shared" si="6"/>
        <v>0</v>
      </c>
      <c r="I199" s="8">
        <f>IF(G199&lt;&gt;"",E199-SUMIFS(ขายสินค้า!E:E,ขายสินค้า!G:G,H199),)</f>
        <v>0</v>
      </c>
      <c r="J199" s="11">
        <f t="shared" si="7"/>
        <v>0</v>
      </c>
      <c r="K199" s="11">
        <f>IF(B199&lt;&gt;"", IFERROR(SUMIF(ขายสินค้า!G:G,H199,ขายสินค้า!F:F)/(E199-I199),0),)</f>
        <v>0</v>
      </c>
      <c r="L199" s="12">
        <f t="shared" si="8"/>
        <v>0</v>
      </c>
      <c r="M199" s="13">
        <f t="shared" si="9"/>
        <v>0</v>
      </c>
    </row>
    <row r="200" spans="1:13">
      <c r="A200" s="14"/>
      <c r="B200" s="6"/>
      <c r="C200" s="7">
        <f>IFERROR(VLOOKUP(B200,ชื่อสินค้า!A:C,2,FALSE),)</f>
        <v>0</v>
      </c>
      <c r="D200" s="8" t="str">
        <f>IFERROR(VLOOKUP(B200,ชื่อสินค้า!A:D,4,FALSE),"")</f>
        <v/>
      </c>
      <c r="E200" s="9"/>
      <c r="F200" s="9"/>
      <c r="G200" s="8" t="str">
        <f t="shared" si="5"/>
        <v/>
      </c>
      <c r="H200" s="10">
        <f t="shared" si="6"/>
        <v>0</v>
      </c>
      <c r="I200" s="8">
        <f>IF(G200&lt;&gt;"",E200-SUMIFS(ขายสินค้า!E:E,ขายสินค้า!G:G,H200),)</f>
        <v>0</v>
      </c>
      <c r="J200" s="11">
        <f t="shared" si="7"/>
        <v>0</v>
      </c>
      <c r="K200" s="11">
        <f>IF(B200&lt;&gt;"", IFERROR(SUMIF(ขายสินค้า!G:G,H200,ขายสินค้า!F:F)/(E200-I200),0),)</f>
        <v>0</v>
      </c>
      <c r="L200" s="12">
        <f t="shared" si="8"/>
        <v>0</v>
      </c>
      <c r="M200" s="13">
        <f t="shared" si="9"/>
        <v>0</v>
      </c>
    </row>
    <row r="201" spans="1:13">
      <c r="A201" s="14"/>
      <c r="B201" s="6"/>
      <c r="C201" s="7">
        <f>IFERROR(VLOOKUP(B201,ชื่อสินค้า!A:C,2,FALSE),)</f>
        <v>0</v>
      </c>
      <c r="D201" s="8" t="str">
        <f>IFERROR(VLOOKUP(B201,ชื่อสินค้า!A:D,4,FALSE),"")</f>
        <v/>
      </c>
      <c r="E201" s="9"/>
      <c r="F201" s="9"/>
      <c r="G201" s="8" t="str">
        <f t="shared" si="5"/>
        <v/>
      </c>
      <c r="H201" s="10">
        <f t="shared" si="6"/>
        <v>0</v>
      </c>
      <c r="I201" s="8">
        <f>IF(G201&lt;&gt;"",E201-SUMIFS(ขายสินค้า!E:E,ขายสินค้า!G:G,H201),)</f>
        <v>0</v>
      </c>
      <c r="J201" s="11">
        <f t="shared" si="7"/>
        <v>0</v>
      </c>
      <c r="K201" s="11">
        <f>IF(B201&lt;&gt;"", IFERROR(SUMIF(ขายสินค้า!G:G,H201,ขายสินค้า!F:F)/(E201-I201),0),)</f>
        <v>0</v>
      </c>
      <c r="L201" s="12">
        <f t="shared" si="8"/>
        <v>0</v>
      </c>
      <c r="M201" s="13">
        <f t="shared" si="9"/>
        <v>0</v>
      </c>
    </row>
    <row r="202" spans="1:13">
      <c r="A202" s="14"/>
      <c r="B202" s="6"/>
      <c r="C202" s="7">
        <f>IFERROR(VLOOKUP(B202,ชื่อสินค้า!A:C,2,FALSE),)</f>
        <v>0</v>
      </c>
      <c r="D202" s="8" t="str">
        <f>IFERROR(VLOOKUP(B202,ชื่อสินค้า!A:D,4,FALSE),"")</f>
        <v/>
      </c>
      <c r="E202" s="9"/>
      <c r="F202" s="9"/>
      <c r="G202" s="8" t="str">
        <f t="shared" si="5"/>
        <v/>
      </c>
      <c r="H202" s="10">
        <f t="shared" si="6"/>
        <v>0</v>
      </c>
      <c r="I202" s="8">
        <f>IF(G202&lt;&gt;"",E202-SUMIFS(ขายสินค้า!E:E,ขายสินค้า!G:G,H202),)</f>
        <v>0</v>
      </c>
      <c r="J202" s="11">
        <f t="shared" si="7"/>
        <v>0</v>
      </c>
      <c r="K202" s="11">
        <f>IF(B202&lt;&gt;"", IFERROR(SUMIF(ขายสินค้า!G:G,H202,ขายสินค้า!F:F)/(E202-I202),0),)</f>
        <v>0</v>
      </c>
      <c r="L202" s="12">
        <f t="shared" si="8"/>
        <v>0</v>
      </c>
      <c r="M202" s="13">
        <f t="shared" si="9"/>
        <v>0</v>
      </c>
    </row>
    <row r="203" spans="1:13">
      <c r="A203" s="14"/>
      <c r="B203" s="6"/>
      <c r="C203" s="7">
        <f>IFERROR(VLOOKUP(B203,ชื่อสินค้า!A:C,2,FALSE),)</f>
        <v>0</v>
      </c>
      <c r="D203" s="8" t="str">
        <f>IFERROR(VLOOKUP(B203,ชื่อสินค้า!A:D,4,FALSE),"")</f>
        <v/>
      </c>
      <c r="E203" s="9"/>
      <c r="F203" s="9"/>
      <c r="G203" s="8" t="str">
        <f t="shared" si="5"/>
        <v/>
      </c>
      <c r="H203" s="10">
        <f t="shared" si="6"/>
        <v>0</v>
      </c>
      <c r="I203" s="8">
        <f>IF(G203&lt;&gt;"",E203-SUMIFS(ขายสินค้า!E:E,ขายสินค้า!G:G,H203),)</f>
        <v>0</v>
      </c>
      <c r="J203" s="11">
        <f t="shared" si="7"/>
        <v>0</v>
      </c>
      <c r="K203" s="11">
        <f>IF(B203&lt;&gt;"", IFERROR(SUMIF(ขายสินค้า!G:G,H203,ขายสินค้า!F:F)/(E203-I203),0),)</f>
        <v>0</v>
      </c>
      <c r="L203" s="12">
        <f t="shared" si="8"/>
        <v>0</v>
      </c>
      <c r="M203" s="13">
        <f t="shared" si="9"/>
        <v>0</v>
      </c>
    </row>
    <row r="204" spans="1:13">
      <c r="A204" s="14"/>
      <c r="B204" s="6"/>
      <c r="C204" s="7">
        <f>IFERROR(VLOOKUP(B204,ชื่อสินค้า!A:C,2,FALSE),)</f>
        <v>0</v>
      </c>
      <c r="D204" s="8" t="str">
        <f>IFERROR(VLOOKUP(B204,ชื่อสินค้า!A:D,4,FALSE),"")</f>
        <v/>
      </c>
      <c r="E204" s="9"/>
      <c r="F204" s="9"/>
      <c r="G204" s="8" t="str">
        <f t="shared" si="5"/>
        <v/>
      </c>
      <c r="H204" s="10">
        <f t="shared" si="6"/>
        <v>0</v>
      </c>
      <c r="I204" s="8">
        <f>IF(G204&lt;&gt;"",E204-SUMIFS(ขายสินค้า!E:E,ขายสินค้า!G:G,H204),)</f>
        <v>0</v>
      </c>
      <c r="J204" s="11">
        <f t="shared" si="7"/>
        <v>0</v>
      </c>
      <c r="K204" s="11">
        <f>IF(B204&lt;&gt;"", IFERROR(SUMIF(ขายสินค้า!G:G,H204,ขายสินค้า!F:F)/(E204-I204),0),)</f>
        <v>0</v>
      </c>
      <c r="L204" s="12">
        <f t="shared" si="8"/>
        <v>0</v>
      </c>
      <c r="M204" s="13">
        <f t="shared" si="9"/>
        <v>0</v>
      </c>
    </row>
    <row r="205" spans="1:13">
      <c r="A205" s="14"/>
      <c r="B205" s="6"/>
      <c r="C205" s="7">
        <f>IFERROR(VLOOKUP(B205,ชื่อสินค้า!A:C,2,FALSE),)</f>
        <v>0</v>
      </c>
      <c r="D205" s="8" t="str">
        <f>IFERROR(VLOOKUP(B205,ชื่อสินค้า!A:D,4,FALSE),"")</f>
        <v/>
      </c>
      <c r="E205" s="9"/>
      <c r="F205" s="9"/>
      <c r="G205" s="8" t="str">
        <f t="shared" si="5"/>
        <v/>
      </c>
      <c r="H205" s="10">
        <f t="shared" si="6"/>
        <v>0</v>
      </c>
      <c r="I205" s="8">
        <f>IF(G205&lt;&gt;"",E205-SUMIFS(ขายสินค้า!E:E,ขายสินค้า!G:G,H205),)</f>
        <v>0</v>
      </c>
      <c r="J205" s="11">
        <f t="shared" si="7"/>
        <v>0</v>
      </c>
      <c r="K205" s="11">
        <f>IF(B205&lt;&gt;"", IFERROR(SUMIF(ขายสินค้า!G:G,H205,ขายสินค้า!F:F)/(E205-I205),0),)</f>
        <v>0</v>
      </c>
      <c r="L205" s="12">
        <f t="shared" si="8"/>
        <v>0</v>
      </c>
      <c r="M205" s="13">
        <f t="shared" si="9"/>
        <v>0</v>
      </c>
    </row>
    <row r="206" spans="1:13">
      <c r="A206" s="14"/>
      <c r="B206" s="6"/>
      <c r="C206" s="7">
        <f>IFERROR(VLOOKUP(B206,ชื่อสินค้า!A:C,2,FALSE),)</f>
        <v>0</v>
      </c>
      <c r="D206" s="8" t="str">
        <f>IFERROR(VLOOKUP(B206,ชื่อสินค้า!A:D,4,FALSE),"")</f>
        <v/>
      </c>
      <c r="E206" s="9"/>
      <c r="F206" s="9"/>
      <c r="G206" s="8" t="str">
        <f t="shared" si="5"/>
        <v/>
      </c>
      <c r="H206" s="10">
        <f t="shared" si="6"/>
        <v>0</v>
      </c>
      <c r="I206" s="8">
        <f>IF(G206&lt;&gt;"",E206-SUMIFS(ขายสินค้า!E:E,ขายสินค้า!G:G,H206),)</f>
        <v>0</v>
      </c>
      <c r="J206" s="11">
        <f t="shared" si="7"/>
        <v>0</v>
      </c>
      <c r="K206" s="11">
        <f>IF(B206&lt;&gt;"", IFERROR(SUMIF(ขายสินค้า!G:G,H206,ขายสินค้า!F:F)/(E206-I206),0),)</f>
        <v>0</v>
      </c>
      <c r="L206" s="12">
        <f t="shared" si="8"/>
        <v>0</v>
      </c>
      <c r="M206" s="13">
        <f t="shared" si="9"/>
        <v>0</v>
      </c>
    </row>
    <row r="207" spans="1:13">
      <c r="A207" s="14"/>
      <c r="B207" s="6"/>
      <c r="C207" s="7">
        <f>IFERROR(VLOOKUP(B207,ชื่อสินค้า!A:C,2,FALSE),)</f>
        <v>0</v>
      </c>
      <c r="D207" s="8" t="str">
        <f>IFERROR(VLOOKUP(B207,ชื่อสินค้า!A:D,4,FALSE),"")</f>
        <v/>
      </c>
      <c r="E207" s="9"/>
      <c r="F207" s="9"/>
      <c r="G207" s="8" t="str">
        <f t="shared" si="5"/>
        <v/>
      </c>
      <c r="H207" s="10">
        <f t="shared" si="6"/>
        <v>0</v>
      </c>
      <c r="I207" s="8">
        <f>IF(G207&lt;&gt;"",E207-SUMIFS(ขายสินค้า!E:E,ขายสินค้า!G:G,H207),)</f>
        <v>0</v>
      </c>
      <c r="J207" s="11">
        <f t="shared" si="7"/>
        <v>0</v>
      </c>
      <c r="K207" s="11">
        <f>IF(B207&lt;&gt;"", IFERROR(SUMIF(ขายสินค้า!G:G,H207,ขายสินค้า!F:F)/(E207-I207),0),)</f>
        <v>0</v>
      </c>
      <c r="L207" s="12">
        <f t="shared" si="8"/>
        <v>0</v>
      </c>
      <c r="M207" s="13">
        <f t="shared" si="9"/>
        <v>0</v>
      </c>
    </row>
    <row r="208" spans="1:13">
      <c r="A208" s="14"/>
      <c r="B208" s="6"/>
      <c r="C208" s="7">
        <f>IFERROR(VLOOKUP(B208,ชื่อสินค้า!A:C,2,FALSE),)</f>
        <v>0</v>
      </c>
      <c r="D208" s="8" t="str">
        <f>IFERROR(VLOOKUP(B208,ชื่อสินค้า!A:D,4,FALSE),"")</f>
        <v/>
      </c>
      <c r="E208" s="9"/>
      <c r="F208" s="9"/>
      <c r="G208" s="8" t="str">
        <f t="shared" si="5"/>
        <v/>
      </c>
      <c r="H208" s="10">
        <f t="shared" si="6"/>
        <v>0</v>
      </c>
      <c r="I208" s="8">
        <f>IF(G208&lt;&gt;"",E208-SUMIFS(ขายสินค้า!E:E,ขายสินค้า!G:G,H208),)</f>
        <v>0</v>
      </c>
      <c r="J208" s="11">
        <f t="shared" si="7"/>
        <v>0</v>
      </c>
      <c r="K208" s="11">
        <f>IF(B208&lt;&gt;"", IFERROR(SUMIF(ขายสินค้า!G:G,H208,ขายสินค้า!F:F)/(E208-I208),0),)</f>
        <v>0</v>
      </c>
      <c r="L208" s="12">
        <f t="shared" si="8"/>
        <v>0</v>
      </c>
      <c r="M208" s="13">
        <f t="shared" si="9"/>
        <v>0</v>
      </c>
    </row>
    <row r="209" spans="1:13">
      <c r="A209" s="14"/>
      <c r="B209" s="6"/>
      <c r="C209" s="7">
        <f>IFERROR(VLOOKUP(B209,ชื่อสินค้า!A:C,2,FALSE),)</f>
        <v>0</v>
      </c>
      <c r="D209" s="8" t="str">
        <f>IFERROR(VLOOKUP(B209,ชื่อสินค้า!A:D,4,FALSE),"")</f>
        <v/>
      </c>
      <c r="E209" s="9"/>
      <c r="F209" s="9"/>
      <c r="G209" s="8" t="str">
        <f t="shared" si="5"/>
        <v/>
      </c>
      <c r="H209" s="10">
        <f t="shared" si="6"/>
        <v>0</v>
      </c>
      <c r="I209" s="8">
        <f>IF(G209&lt;&gt;"",E209-SUMIFS(ขายสินค้า!E:E,ขายสินค้า!G:G,H209),)</f>
        <v>0</v>
      </c>
      <c r="J209" s="11">
        <f t="shared" si="7"/>
        <v>0</v>
      </c>
      <c r="K209" s="11">
        <f>IF(B209&lt;&gt;"", IFERROR(SUMIF(ขายสินค้า!G:G,H209,ขายสินค้า!F:F)/(E209-I209),0),)</f>
        <v>0</v>
      </c>
      <c r="L209" s="12">
        <f t="shared" si="8"/>
        <v>0</v>
      </c>
      <c r="M209" s="13">
        <f t="shared" si="9"/>
        <v>0</v>
      </c>
    </row>
    <row r="210" spans="1:13">
      <c r="A210" s="14"/>
      <c r="B210" s="6"/>
      <c r="C210" s="7">
        <f>IFERROR(VLOOKUP(B210,ชื่อสินค้า!A:C,2,FALSE),)</f>
        <v>0</v>
      </c>
      <c r="D210" s="8" t="str">
        <f>IFERROR(VLOOKUP(B210,ชื่อสินค้า!A:D,4,FALSE),"")</f>
        <v/>
      </c>
      <c r="E210" s="9"/>
      <c r="F210" s="9"/>
      <c r="G210" s="8" t="str">
        <f t="shared" si="5"/>
        <v/>
      </c>
      <c r="H210" s="10">
        <f t="shared" si="6"/>
        <v>0</v>
      </c>
      <c r="I210" s="8">
        <f>IF(G210&lt;&gt;"",E210-SUMIFS(ขายสินค้า!E:E,ขายสินค้า!G:G,H210),)</f>
        <v>0</v>
      </c>
      <c r="J210" s="11">
        <f t="shared" si="7"/>
        <v>0</v>
      </c>
      <c r="K210" s="11">
        <f>IF(B210&lt;&gt;"", IFERROR(SUMIF(ขายสินค้า!G:G,H210,ขายสินค้า!F:F)/(E210-I210),0),)</f>
        <v>0</v>
      </c>
      <c r="L210" s="12">
        <f t="shared" si="8"/>
        <v>0</v>
      </c>
      <c r="M210" s="13">
        <f t="shared" si="9"/>
        <v>0</v>
      </c>
    </row>
    <row r="211" spans="1:13">
      <c r="A211" s="14"/>
      <c r="B211" s="6"/>
      <c r="C211" s="7">
        <f>IFERROR(VLOOKUP(B211,ชื่อสินค้า!A:C,2,FALSE),)</f>
        <v>0</v>
      </c>
      <c r="D211" s="8" t="str">
        <f>IFERROR(VLOOKUP(B211,ชื่อสินค้า!A:D,4,FALSE),"")</f>
        <v/>
      </c>
      <c r="E211" s="9"/>
      <c r="F211" s="9"/>
      <c r="G211" s="8" t="str">
        <f t="shared" si="5"/>
        <v/>
      </c>
      <c r="H211" s="10">
        <f t="shared" si="6"/>
        <v>0</v>
      </c>
      <c r="I211" s="8">
        <f>IF(G211&lt;&gt;"",E211-SUMIFS(ขายสินค้า!E:E,ขายสินค้า!G:G,H211),)</f>
        <v>0</v>
      </c>
      <c r="J211" s="11">
        <f t="shared" si="7"/>
        <v>0</v>
      </c>
      <c r="K211" s="11">
        <f>IF(B211&lt;&gt;"", IFERROR(SUMIF(ขายสินค้า!G:G,H211,ขายสินค้า!F:F)/(E211-I211),0),)</f>
        <v>0</v>
      </c>
      <c r="L211" s="12">
        <f t="shared" si="8"/>
        <v>0</v>
      </c>
      <c r="M211" s="13">
        <f t="shared" si="9"/>
        <v>0</v>
      </c>
    </row>
    <row r="212" spans="1:13">
      <c r="A212" s="14"/>
      <c r="B212" s="6"/>
      <c r="C212" s="7">
        <f>IFERROR(VLOOKUP(B212,ชื่อสินค้า!A:C,2,FALSE),)</f>
        <v>0</v>
      </c>
      <c r="D212" s="8" t="str">
        <f>IFERROR(VLOOKUP(B212,ชื่อสินค้า!A:D,4,FALSE),"")</f>
        <v/>
      </c>
      <c r="E212" s="9"/>
      <c r="F212" s="9"/>
      <c r="G212" s="8" t="str">
        <f t="shared" si="5"/>
        <v/>
      </c>
      <c r="H212" s="10">
        <f t="shared" si="6"/>
        <v>0</v>
      </c>
      <c r="I212" s="8">
        <f>IF(G212&lt;&gt;"",E212-SUMIFS(ขายสินค้า!E:E,ขายสินค้า!G:G,H212),)</f>
        <v>0</v>
      </c>
      <c r="J212" s="11">
        <f t="shared" si="7"/>
        <v>0</v>
      </c>
      <c r="K212" s="11">
        <f>IF(B212&lt;&gt;"", IFERROR(SUMIF(ขายสินค้า!G:G,H212,ขายสินค้า!F:F)/(E212-I212),0),)</f>
        <v>0</v>
      </c>
      <c r="L212" s="12">
        <f t="shared" si="8"/>
        <v>0</v>
      </c>
      <c r="M212" s="13">
        <f t="shared" si="9"/>
        <v>0</v>
      </c>
    </row>
    <row r="213" spans="1:13">
      <c r="A213" s="14"/>
      <c r="B213" s="6"/>
      <c r="C213" s="7">
        <f>IFERROR(VLOOKUP(B213,ชื่อสินค้า!A:C,2,FALSE),)</f>
        <v>0</v>
      </c>
      <c r="D213" s="8" t="str">
        <f>IFERROR(VLOOKUP(B213,ชื่อสินค้า!A:D,4,FALSE),"")</f>
        <v/>
      </c>
      <c r="E213" s="9"/>
      <c r="F213" s="9"/>
      <c r="G213" s="8" t="str">
        <f t="shared" si="5"/>
        <v/>
      </c>
      <c r="H213" s="10">
        <f t="shared" si="6"/>
        <v>0</v>
      </c>
      <c r="I213" s="8">
        <f>IF(G213&lt;&gt;"",E213-SUMIFS(ขายสินค้า!E:E,ขายสินค้า!G:G,H213),)</f>
        <v>0</v>
      </c>
      <c r="J213" s="11">
        <f t="shared" si="7"/>
        <v>0</v>
      </c>
      <c r="K213" s="11">
        <f>IF(B213&lt;&gt;"", IFERROR(SUMIF(ขายสินค้า!G:G,H213,ขายสินค้า!F:F)/(E213-I213),0),)</f>
        <v>0</v>
      </c>
      <c r="L213" s="12">
        <f t="shared" si="8"/>
        <v>0</v>
      </c>
      <c r="M213" s="13">
        <f t="shared" si="9"/>
        <v>0</v>
      </c>
    </row>
    <row r="214" spans="1:13">
      <c r="A214" s="14"/>
      <c r="B214" s="6"/>
      <c r="C214" s="7">
        <f>IFERROR(VLOOKUP(B214,ชื่อสินค้า!A:C,2,FALSE),)</f>
        <v>0</v>
      </c>
      <c r="D214" s="8" t="str">
        <f>IFERROR(VLOOKUP(B214,ชื่อสินค้า!A:D,4,FALSE),"")</f>
        <v/>
      </c>
      <c r="E214" s="9"/>
      <c r="F214" s="9"/>
      <c r="G214" s="8" t="str">
        <f t="shared" si="5"/>
        <v/>
      </c>
      <c r="H214" s="10">
        <f t="shared" si="6"/>
        <v>0</v>
      </c>
      <c r="I214" s="8">
        <f>IF(G214&lt;&gt;"",E214-SUMIFS(ขายสินค้า!E:E,ขายสินค้า!G:G,H214),)</f>
        <v>0</v>
      </c>
      <c r="J214" s="11">
        <f t="shared" si="7"/>
        <v>0</v>
      </c>
      <c r="K214" s="11">
        <f>IF(B214&lt;&gt;"", IFERROR(SUMIF(ขายสินค้า!G:G,H214,ขายสินค้า!F:F)/(E214-I214),0),)</f>
        <v>0</v>
      </c>
      <c r="L214" s="12">
        <f t="shared" si="8"/>
        <v>0</v>
      </c>
      <c r="M214" s="13">
        <f t="shared" si="9"/>
        <v>0</v>
      </c>
    </row>
    <row r="215" spans="1:13">
      <c r="A215" s="14"/>
      <c r="B215" s="6"/>
      <c r="C215" s="7">
        <f>IFERROR(VLOOKUP(B215,ชื่อสินค้า!A:C,2,FALSE),)</f>
        <v>0</v>
      </c>
      <c r="D215" s="8" t="str">
        <f>IFERROR(VLOOKUP(B215,ชื่อสินค้า!A:D,4,FALSE),"")</f>
        <v/>
      </c>
      <c r="E215" s="9"/>
      <c r="F215" s="9"/>
      <c r="G215" s="8" t="str">
        <f t="shared" si="5"/>
        <v/>
      </c>
      <c r="H215" s="10">
        <f t="shared" si="6"/>
        <v>0</v>
      </c>
      <c r="I215" s="8">
        <f>IF(G215&lt;&gt;"",E215-SUMIFS(ขายสินค้า!E:E,ขายสินค้า!G:G,H215),)</f>
        <v>0</v>
      </c>
      <c r="J215" s="11">
        <f t="shared" si="7"/>
        <v>0</v>
      </c>
      <c r="K215" s="11">
        <f>IF(B215&lt;&gt;"", IFERROR(SUMIF(ขายสินค้า!G:G,H215,ขายสินค้า!F:F)/(E215-I215),0),)</f>
        <v>0</v>
      </c>
      <c r="L215" s="12">
        <f t="shared" si="8"/>
        <v>0</v>
      </c>
      <c r="M215" s="13">
        <f t="shared" si="9"/>
        <v>0</v>
      </c>
    </row>
    <row r="216" spans="1:13">
      <c r="A216" s="14"/>
      <c r="B216" s="6"/>
      <c r="C216" s="7">
        <f>IFERROR(VLOOKUP(B216,ชื่อสินค้า!A:C,2,FALSE),)</f>
        <v>0</v>
      </c>
      <c r="D216" s="8" t="str">
        <f>IFERROR(VLOOKUP(B216,ชื่อสินค้า!A:D,4,FALSE),"")</f>
        <v/>
      </c>
      <c r="E216" s="9"/>
      <c r="F216" s="9"/>
      <c r="G216" s="8" t="str">
        <f t="shared" si="5"/>
        <v/>
      </c>
      <c r="H216" s="10">
        <f t="shared" si="6"/>
        <v>0</v>
      </c>
      <c r="I216" s="8">
        <f>IF(G216&lt;&gt;"",E216-SUMIFS(ขายสินค้า!E:E,ขายสินค้า!G:G,H216),)</f>
        <v>0</v>
      </c>
      <c r="J216" s="11">
        <f t="shared" si="7"/>
        <v>0</v>
      </c>
      <c r="K216" s="11">
        <f>IF(B216&lt;&gt;"", IFERROR(SUMIF(ขายสินค้า!G:G,H216,ขายสินค้า!F:F)/(E216-I216),0),)</f>
        <v>0</v>
      </c>
      <c r="L216" s="12">
        <f t="shared" si="8"/>
        <v>0</v>
      </c>
      <c r="M216" s="13">
        <f t="shared" si="9"/>
        <v>0</v>
      </c>
    </row>
    <row r="217" spans="1:13">
      <c r="A217" s="14"/>
      <c r="B217" s="6"/>
      <c r="C217" s="7">
        <f>IFERROR(VLOOKUP(B217,ชื่อสินค้า!A:C,2,FALSE),)</f>
        <v>0</v>
      </c>
      <c r="D217" s="8" t="str">
        <f>IFERROR(VLOOKUP(B217,ชื่อสินค้า!A:D,4,FALSE),"")</f>
        <v/>
      </c>
      <c r="E217" s="9"/>
      <c r="F217" s="9"/>
      <c r="G217" s="8" t="str">
        <f t="shared" si="5"/>
        <v/>
      </c>
      <c r="H217" s="10">
        <f t="shared" si="6"/>
        <v>0</v>
      </c>
      <c r="I217" s="8">
        <f>IF(G217&lt;&gt;"",E217-SUMIFS(ขายสินค้า!E:E,ขายสินค้า!G:G,H217),)</f>
        <v>0</v>
      </c>
      <c r="J217" s="11">
        <f t="shared" si="7"/>
        <v>0</v>
      </c>
      <c r="K217" s="11">
        <f>IF(B217&lt;&gt;"", IFERROR(SUMIF(ขายสินค้า!G:G,H217,ขายสินค้า!F:F)/(E217-I217),0),)</f>
        <v>0</v>
      </c>
      <c r="L217" s="12">
        <f t="shared" si="8"/>
        <v>0</v>
      </c>
      <c r="M217" s="13">
        <f t="shared" si="9"/>
        <v>0</v>
      </c>
    </row>
    <row r="218" spans="1:13">
      <c r="A218" s="14"/>
      <c r="B218" s="6"/>
      <c r="C218" s="7">
        <f>IFERROR(VLOOKUP(B218,ชื่อสินค้า!A:C,2,FALSE),)</f>
        <v>0</v>
      </c>
      <c r="D218" s="8" t="str">
        <f>IFERROR(VLOOKUP(B218,ชื่อสินค้า!A:D,4,FALSE),"")</f>
        <v/>
      </c>
      <c r="E218" s="9"/>
      <c r="F218" s="9"/>
      <c r="G218" s="8" t="str">
        <f t="shared" si="5"/>
        <v/>
      </c>
      <c r="H218" s="10">
        <f t="shared" si="6"/>
        <v>0</v>
      </c>
      <c r="I218" s="8">
        <f>IF(G218&lt;&gt;"",E218-SUMIFS(ขายสินค้า!E:E,ขายสินค้า!G:G,H218),)</f>
        <v>0</v>
      </c>
      <c r="J218" s="11">
        <f t="shared" si="7"/>
        <v>0</v>
      </c>
      <c r="K218" s="11">
        <f>IF(B218&lt;&gt;"", IFERROR(SUMIF(ขายสินค้า!G:G,H218,ขายสินค้า!F:F)/(E218-I218),0),)</f>
        <v>0</v>
      </c>
      <c r="L218" s="12">
        <f t="shared" si="8"/>
        <v>0</v>
      </c>
      <c r="M218" s="13">
        <f t="shared" si="9"/>
        <v>0</v>
      </c>
    </row>
    <row r="219" spans="1:13">
      <c r="A219" s="14"/>
      <c r="B219" s="6"/>
      <c r="C219" s="7">
        <f>IFERROR(VLOOKUP(B219,ชื่อสินค้า!A:C,2,FALSE),)</f>
        <v>0</v>
      </c>
      <c r="D219" s="8" t="str">
        <f>IFERROR(VLOOKUP(B219,ชื่อสินค้า!A:D,4,FALSE),"")</f>
        <v/>
      </c>
      <c r="E219" s="9"/>
      <c r="F219" s="9"/>
      <c r="G219" s="8" t="str">
        <f t="shared" si="5"/>
        <v/>
      </c>
      <c r="H219" s="10">
        <f t="shared" si="6"/>
        <v>0</v>
      </c>
      <c r="I219" s="8">
        <f>IF(G219&lt;&gt;"",E219-SUMIFS(ขายสินค้า!E:E,ขายสินค้า!G:G,H219),)</f>
        <v>0</v>
      </c>
      <c r="J219" s="11">
        <f t="shared" si="7"/>
        <v>0</v>
      </c>
      <c r="K219" s="11">
        <f>IF(B219&lt;&gt;"", IFERROR(SUMIF(ขายสินค้า!G:G,H219,ขายสินค้า!F:F)/(E219-I219),0),)</f>
        <v>0</v>
      </c>
      <c r="L219" s="12">
        <f t="shared" si="8"/>
        <v>0</v>
      </c>
      <c r="M219" s="13">
        <f t="shared" si="9"/>
        <v>0</v>
      </c>
    </row>
    <row r="220" spans="1:13">
      <c r="A220" s="14"/>
      <c r="B220" s="6"/>
      <c r="C220" s="7">
        <f>IFERROR(VLOOKUP(B220,ชื่อสินค้า!A:C,2,FALSE),)</f>
        <v>0</v>
      </c>
      <c r="D220" s="8" t="str">
        <f>IFERROR(VLOOKUP(B220,ชื่อสินค้า!A:D,4,FALSE),"")</f>
        <v/>
      </c>
      <c r="E220" s="9"/>
      <c r="F220" s="9"/>
      <c r="G220" s="8" t="str">
        <f t="shared" si="5"/>
        <v/>
      </c>
      <c r="H220" s="10">
        <f t="shared" si="6"/>
        <v>0</v>
      </c>
      <c r="I220" s="8">
        <f>IF(G220&lt;&gt;"",E220-SUMIFS(ขายสินค้า!E:E,ขายสินค้า!G:G,H220),)</f>
        <v>0</v>
      </c>
      <c r="J220" s="11">
        <f t="shared" si="7"/>
        <v>0</v>
      </c>
      <c r="K220" s="11">
        <f>IF(B220&lt;&gt;"", IFERROR(SUMIF(ขายสินค้า!G:G,H220,ขายสินค้า!F:F)/(E220-I220),0),)</f>
        <v>0</v>
      </c>
      <c r="L220" s="12">
        <f t="shared" si="8"/>
        <v>0</v>
      </c>
      <c r="M220" s="13">
        <f t="shared" si="9"/>
        <v>0</v>
      </c>
    </row>
    <row r="221" spans="1:13">
      <c r="A221" s="14"/>
      <c r="B221" s="6"/>
      <c r="C221" s="7">
        <f>IFERROR(VLOOKUP(B221,ชื่อสินค้า!A:C,2,FALSE),)</f>
        <v>0</v>
      </c>
      <c r="D221" s="8" t="str">
        <f>IFERROR(VLOOKUP(B221,ชื่อสินค้า!A:D,4,FALSE),"")</f>
        <v/>
      </c>
      <c r="E221" s="9"/>
      <c r="F221" s="9"/>
      <c r="G221" s="8" t="str">
        <f t="shared" si="5"/>
        <v/>
      </c>
      <c r="H221" s="10">
        <f t="shared" si="6"/>
        <v>0</v>
      </c>
      <c r="I221" s="8">
        <f>IF(G221&lt;&gt;"",E221-SUMIFS(ขายสินค้า!E:E,ขายสินค้า!G:G,H221),)</f>
        <v>0</v>
      </c>
      <c r="J221" s="11">
        <f t="shared" si="7"/>
        <v>0</v>
      </c>
      <c r="K221" s="11">
        <f>IF(B221&lt;&gt;"", IFERROR(SUMIF(ขายสินค้า!G:G,H221,ขายสินค้า!F:F)/(E221-I221),0),)</f>
        <v>0</v>
      </c>
      <c r="L221" s="12">
        <f t="shared" si="8"/>
        <v>0</v>
      </c>
      <c r="M221" s="13">
        <f t="shared" si="9"/>
        <v>0</v>
      </c>
    </row>
    <row r="222" spans="1:13">
      <c r="A222" s="14"/>
      <c r="B222" s="6"/>
      <c r="C222" s="7">
        <f>IFERROR(VLOOKUP(B222,ชื่อสินค้า!A:C,2,FALSE),)</f>
        <v>0</v>
      </c>
      <c r="D222" s="8" t="str">
        <f>IFERROR(VLOOKUP(B222,ชื่อสินค้า!A:D,4,FALSE),"")</f>
        <v/>
      </c>
      <c r="E222" s="9"/>
      <c r="F222" s="9"/>
      <c r="G222" s="8" t="str">
        <f t="shared" si="5"/>
        <v/>
      </c>
      <c r="H222" s="10">
        <f t="shared" si="6"/>
        <v>0</v>
      </c>
      <c r="I222" s="8">
        <f>IF(G222&lt;&gt;"",E222-SUMIFS(ขายสินค้า!E:E,ขายสินค้า!G:G,H222),)</f>
        <v>0</v>
      </c>
      <c r="J222" s="11">
        <f t="shared" si="7"/>
        <v>0</v>
      </c>
      <c r="K222" s="11">
        <f>IF(B222&lt;&gt;"", IFERROR(SUMIF(ขายสินค้า!G:G,H222,ขายสินค้า!F:F)/(E222-I222),0),)</f>
        <v>0</v>
      </c>
      <c r="L222" s="12">
        <f t="shared" si="8"/>
        <v>0</v>
      </c>
      <c r="M222" s="13">
        <f t="shared" si="9"/>
        <v>0</v>
      </c>
    </row>
    <row r="223" spans="1:13">
      <c r="A223" s="14"/>
      <c r="B223" s="6"/>
      <c r="C223" s="7">
        <f>IFERROR(VLOOKUP(B223,ชื่อสินค้า!A:C,2,FALSE),)</f>
        <v>0</v>
      </c>
      <c r="D223" s="8" t="str">
        <f>IFERROR(VLOOKUP(B223,ชื่อสินค้า!A:D,4,FALSE),"")</f>
        <v/>
      </c>
      <c r="E223" s="9"/>
      <c r="F223" s="9"/>
      <c r="G223" s="8" t="str">
        <f t="shared" si="5"/>
        <v/>
      </c>
      <c r="H223" s="10">
        <f t="shared" si="6"/>
        <v>0</v>
      </c>
      <c r="I223" s="8">
        <f>IF(G223&lt;&gt;"",E223-SUMIFS(ขายสินค้า!E:E,ขายสินค้า!G:G,H223),)</f>
        <v>0</v>
      </c>
      <c r="J223" s="11">
        <f t="shared" si="7"/>
        <v>0</v>
      </c>
      <c r="K223" s="11">
        <f>IF(B223&lt;&gt;"", IFERROR(SUMIF(ขายสินค้า!G:G,H223,ขายสินค้า!F:F)/(E223-I223),0),)</f>
        <v>0</v>
      </c>
      <c r="L223" s="12">
        <f t="shared" si="8"/>
        <v>0</v>
      </c>
      <c r="M223" s="13">
        <f t="shared" si="9"/>
        <v>0</v>
      </c>
    </row>
    <row r="224" spans="1:13">
      <c r="A224" s="14"/>
      <c r="B224" s="6"/>
      <c r="C224" s="7">
        <f>IFERROR(VLOOKUP(B224,ชื่อสินค้า!A:C,2,FALSE),)</f>
        <v>0</v>
      </c>
      <c r="D224" s="8" t="str">
        <f>IFERROR(VLOOKUP(B224,ชื่อสินค้า!A:D,4,FALSE),"")</f>
        <v/>
      </c>
      <c r="E224" s="9"/>
      <c r="F224" s="9"/>
      <c r="G224" s="8" t="str">
        <f t="shared" si="5"/>
        <v/>
      </c>
      <c r="H224" s="10">
        <f t="shared" si="6"/>
        <v>0</v>
      </c>
      <c r="I224" s="8">
        <f>IF(G224&lt;&gt;"",E224-SUMIFS(ขายสินค้า!E:E,ขายสินค้า!G:G,H224),)</f>
        <v>0</v>
      </c>
      <c r="J224" s="11">
        <f t="shared" si="7"/>
        <v>0</v>
      </c>
      <c r="K224" s="11">
        <f>IF(B224&lt;&gt;"", IFERROR(SUMIF(ขายสินค้า!G:G,H224,ขายสินค้า!F:F)/(E224-I224),0),)</f>
        <v>0</v>
      </c>
      <c r="L224" s="12">
        <f t="shared" si="8"/>
        <v>0</v>
      </c>
      <c r="M224" s="13">
        <f t="shared" si="9"/>
        <v>0</v>
      </c>
    </row>
    <row r="225" spans="1:13">
      <c r="A225" s="14"/>
      <c r="B225" s="6"/>
      <c r="C225" s="7">
        <f>IFERROR(VLOOKUP(B225,ชื่อสินค้า!A:C,2,FALSE),)</f>
        <v>0</v>
      </c>
      <c r="D225" s="8" t="str">
        <f>IFERROR(VLOOKUP(B225,ชื่อสินค้า!A:D,4,FALSE),"")</f>
        <v/>
      </c>
      <c r="E225" s="9"/>
      <c r="F225" s="9"/>
      <c r="G225" s="8" t="str">
        <f t="shared" si="5"/>
        <v/>
      </c>
      <c r="H225" s="10">
        <f t="shared" si="6"/>
        <v>0</v>
      </c>
      <c r="I225" s="8">
        <f>IF(G225&lt;&gt;"",E225-SUMIFS(ขายสินค้า!E:E,ขายสินค้า!G:G,H225),)</f>
        <v>0</v>
      </c>
      <c r="J225" s="11">
        <f t="shared" si="7"/>
        <v>0</v>
      </c>
      <c r="K225" s="11">
        <f>IF(B225&lt;&gt;"", IFERROR(SUMIF(ขายสินค้า!G:G,H225,ขายสินค้า!F:F)/(E225-I225),0),)</f>
        <v>0</v>
      </c>
      <c r="L225" s="12">
        <f t="shared" si="8"/>
        <v>0</v>
      </c>
      <c r="M225" s="13">
        <f t="shared" si="9"/>
        <v>0</v>
      </c>
    </row>
    <row r="226" spans="1:13">
      <c r="A226" s="14"/>
      <c r="B226" s="6"/>
      <c r="C226" s="7">
        <f>IFERROR(VLOOKUP(B226,ชื่อสินค้า!A:C,2,FALSE),)</f>
        <v>0</v>
      </c>
      <c r="D226" s="8" t="str">
        <f>IFERROR(VLOOKUP(B226,ชื่อสินค้า!A:D,4,FALSE),"")</f>
        <v/>
      </c>
      <c r="E226" s="9"/>
      <c r="F226" s="9"/>
      <c r="G226" s="8" t="str">
        <f t="shared" si="5"/>
        <v/>
      </c>
      <c r="H226" s="10">
        <f t="shared" si="6"/>
        <v>0</v>
      </c>
      <c r="I226" s="8">
        <f>IF(G226&lt;&gt;"",E226-SUMIFS(ขายสินค้า!E:E,ขายสินค้า!G:G,H226),)</f>
        <v>0</v>
      </c>
      <c r="J226" s="11">
        <f t="shared" si="7"/>
        <v>0</v>
      </c>
      <c r="K226" s="11">
        <f>IF(B226&lt;&gt;"", IFERROR(SUMIF(ขายสินค้า!G:G,H226,ขายสินค้า!F:F)/(E226-I226),0),)</f>
        <v>0</v>
      </c>
      <c r="L226" s="12">
        <f t="shared" si="8"/>
        <v>0</v>
      </c>
      <c r="M226" s="13">
        <f t="shared" si="9"/>
        <v>0</v>
      </c>
    </row>
    <row r="227" spans="1:13">
      <c r="A227" s="14"/>
      <c r="B227" s="6"/>
      <c r="C227" s="7">
        <f>IFERROR(VLOOKUP(B227,ชื่อสินค้า!A:C,2,FALSE),)</f>
        <v>0</v>
      </c>
      <c r="D227" s="8" t="str">
        <f>IFERROR(VLOOKUP(B227,ชื่อสินค้า!A:D,4,FALSE),"")</f>
        <v/>
      </c>
      <c r="E227" s="9"/>
      <c r="F227" s="9"/>
      <c r="G227" s="8" t="str">
        <f t="shared" si="5"/>
        <v/>
      </c>
      <c r="H227" s="10">
        <f t="shared" si="6"/>
        <v>0</v>
      </c>
      <c r="I227" s="8">
        <f>IF(G227&lt;&gt;"",E227-SUMIFS(ขายสินค้า!E:E,ขายสินค้า!G:G,H227),)</f>
        <v>0</v>
      </c>
      <c r="J227" s="11">
        <f t="shared" si="7"/>
        <v>0</v>
      </c>
      <c r="K227" s="11">
        <f>IF(B227&lt;&gt;"", IFERROR(SUMIF(ขายสินค้า!G:G,H227,ขายสินค้า!F:F)/(E227-I227),0),)</f>
        <v>0</v>
      </c>
      <c r="L227" s="12">
        <f t="shared" si="8"/>
        <v>0</v>
      </c>
      <c r="M227" s="13">
        <f t="shared" si="9"/>
        <v>0</v>
      </c>
    </row>
    <row r="228" spans="1:13">
      <c r="A228" s="14"/>
      <c r="B228" s="6"/>
      <c r="C228" s="7">
        <f>IFERROR(VLOOKUP(B228,ชื่อสินค้า!A:C,2,FALSE),)</f>
        <v>0</v>
      </c>
      <c r="D228" s="8" t="str">
        <f>IFERROR(VLOOKUP(B228,ชื่อสินค้า!A:D,4,FALSE),"")</f>
        <v/>
      </c>
      <c r="E228" s="9"/>
      <c r="F228" s="9"/>
      <c r="G228" s="8" t="str">
        <f t="shared" si="5"/>
        <v/>
      </c>
      <c r="H228" s="10">
        <f t="shared" si="6"/>
        <v>0</v>
      </c>
      <c r="I228" s="8">
        <f>IF(G228&lt;&gt;"",E228-SUMIFS(ขายสินค้า!E:E,ขายสินค้า!G:G,H228),)</f>
        <v>0</v>
      </c>
      <c r="J228" s="11">
        <f t="shared" si="7"/>
        <v>0</v>
      </c>
      <c r="K228" s="11">
        <f>IF(B228&lt;&gt;"", IFERROR(SUMIF(ขายสินค้า!G:G,H228,ขายสินค้า!F:F)/(E228-I228),0),)</f>
        <v>0</v>
      </c>
      <c r="L228" s="12">
        <f t="shared" si="8"/>
        <v>0</v>
      </c>
      <c r="M228" s="13">
        <f t="shared" si="9"/>
        <v>0</v>
      </c>
    </row>
    <row r="229" spans="1:13">
      <c r="A229" s="14"/>
      <c r="B229" s="6"/>
      <c r="C229" s="7">
        <f>IFERROR(VLOOKUP(B229,ชื่อสินค้า!A:C,2,FALSE),)</f>
        <v>0</v>
      </c>
      <c r="D229" s="8" t="str">
        <f>IFERROR(VLOOKUP(B229,ชื่อสินค้า!A:D,4,FALSE),"")</f>
        <v/>
      </c>
      <c r="E229" s="9"/>
      <c r="F229" s="9"/>
      <c r="G229" s="8" t="str">
        <f t="shared" si="5"/>
        <v/>
      </c>
      <c r="H229" s="10">
        <f t="shared" si="6"/>
        <v>0</v>
      </c>
      <c r="I229" s="8">
        <f>IF(G229&lt;&gt;"",E229-SUMIFS(ขายสินค้า!E:E,ขายสินค้า!G:G,H229),)</f>
        <v>0</v>
      </c>
      <c r="J229" s="11">
        <f t="shared" si="7"/>
        <v>0</v>
      </c>
      <c r="K229" s="11">
        <f>IF(B229&lt;&gt;"", IFERROR(SUMIF(ขายสินค้า!G:G,H229,ขายสินค้า!F:F)/(E229-I229),0),)</f>
        <v>0</v>
      </c>
      <c r="L229" s="12">
        <f t="shared" si="8"/>
        <v>0</v>
      </c>
      <c r="M229" s="13">
        <f t="shared" si="9"/>
        <v>0</v>
      </c>
    </row>
    <row r="230" spans="1:13">
      <c r="A230" s="14"/>
      <c r="B230" s="6"/>
      <c r="C230" s="7">
        <f>IFERROR(VLOOKUP(B230,ชื่อสินค้า!A:C,2,FALSE),)</f>
        <v>0</v>
      </c>
      <c r="D230" s="8" t="str">
        <f>IFERROR(VLOOKUP(B230,ชื่อสินค้า!A:D,4,FALSE),"")</f>
        <v/>
      </c>
      <c r="E230" s="9"/>
      <c r="F230" s="9"/>
      <c r="G230" s="8" t="str">
        <f t="shared" si="5"/>
        <v/>
      </c>
      <c r="H230" s="10">
        <f t="shared" si="6"/>
        <v>0</v>
      </c>
      <c r="I230" s="8">
        <f>IF(G230&lt;&gt;"",E230-SUMIFS(ขายสินค้า!E:E,ขายสินค้า!G:G,H230),)</f>
        <v>0</v>
      </c>
      <c r="J230" s="11">
        <f t="shared" si="7"/>
        <v>0</v>
      </c>
      <c r="K230" s="11">
        <f>IF(B230&lt;&gt;"", IFERROR(SUMIF(ขายสินค้า!G:G,H230,ขายสินค้า!F:F)/(E230-I230),0),)</f>
        <v>0</v>
      </c>
      <c r="L230" s="12">
        <f t="shared" si="8"/>
        <v>0</v>
      </c>
      <c r="M230" s="13">
        <f t="shared" si="9"/>
        <v>0</v>
      </c>
    </row>
    <row r="231" spans="1:13">
      <c r="A231" s="14"/>
      <c r="B231" s="6"/>
      <c r="C231" s="7">
        <f>IFERROR(VLOOKUP(B231,ชื่อสินค้า!A:C,2,FALSE),)</f>
        <v>0</v>
      </c>
      <c r="D231" s="8" t="str">
        <f>IFERROR(VLOOKUP(B231,ชื่อสินค้า!A:D,4,FALSE),"")</f>
        <v/>
      </c>
      <c r="E231" s="9"/>
      <c r="F231" s="9"/>
      <c r="G231" s="8" t="str">
        <f t="shared" si="5"/>
        <v/>
      </c>
      <c r="H231" s="10">
        <f t="shared" si="6"/>
        <v>0</v>
      </c>
      <c r="I231" s="8">
        <f>IF(G231&lt;&gt;"",E231-SUMIFS(ขายสินค้า!E:E,ขายสินค้า!G:G,H231),)</f>
        <v>0</v>
      </c>
      <c r="J231" s="11">
        <f t="shared" si="7"/>
        <v>0</v>
      </c>
      <c r="K231" s="11">
        <f>IF(B231&lt;&gt;"", IFERROR(SUMIF(ขายสินค้า!G:G,H231,ขายสินค้า!F:F)/(E231-I231),0),)</f>
        <v>0</v>
      </c>
      <c r="L231" s="12">
        <f t="shared" si="8"/>
        <v>0</v>
      </c>
      <c r="M231" s="13">
        <f t="shared" si="9"/>
        <v>0</v>
      </c>
    </row>
    <row r="232" spans="1:13">
      <c r="A232" s="14"/>
      <c r="B232" s="6"/>
      <c r="C232" s="7">
        <f>IFERROR(VLOOKUP(B232,ชื่อสินค้า!A:C,2,FALSE),)</f>
        <v>0</v>
      </c>
      <c r="D232" s="8" t="str">
        <f>IFERROR(VLOOKUP(B232,ชื่อสินค้า!A:D,4,FALSE),"")</f>
        <v/>
      </c>
      <c r="E232" s="9"/>
      <c r="F232" s="9"/>
      <c r="G232" s="8" t="str">
        <f t="shared" si="5"/>
        <v/>
      </c>
      <c r="H232" s="10">
        <f t="shared" si="6"/>
        <v>0</v>
      </c>
      <c r="I232" s="8">
        <f>IF(G232&lt;&gt;"",E232-SUMIFS(ขายสินค้า!E:E,ขายสินค้า!G:G,H232),)</f>
        <v>0</v>
      </c>
      <c r="J232" s="11">
        <f t="shared" si="7"/>
        <v>0</v>
      </c>
      <c r="K232" s="11">
        <f>IF(B232&lt;&gt;"", IFERROR(SUMIF(ขายสินค้า!G:G,H232,ขายสินค้า!F:F)/(E232-I232),0),)</f>
        <v>0</v>
      </c>
      <c r="L232" s="12">
        <f t="shared" si="8"/>
        <v>0</v>
      </c>
      <c r="M232" s="13">
        <f t="shared" si="9"/>
        <v>0</v>
      </c>
    </row>
    <row r="233" spans="1:13">
      <c r="A233" s="14"/>
      <c r="B233" s="6"/>
      <c r="C233" s="7">
        <f>IFERROR(VLOOKUP(B233,ชื่อสินค้า!A:C,2,FALSE),)</f>
        <v>0</v>
      </c>
      <c r="D233" s="8" t="str">
        <f>IFERROR(VLOOKUP(B233,ชื่อสินค้า!A:D,4,FALSE),"")</f>
        <v/>
      </c>
      <c r="E233" s="9"/>
      <c r="F233" s="9"/>
      <c r="G233" s="8" t="str">
        <f t="shared" si="5"/>
        <v/>
      </c>
      <c r="H233" s="10">
        <f t="shared" si="6"/>
        <v>0</v>
      </c>
      <c r="I233" s="8">
        <f>IF(G233&lt;&gt;"",E233-SUMIFS(ขายสินค้า!E:E,ขายสินค้า!G:G,H233),)</f>
        <v>0</v>
      </c>
      <c r="J233" s="11">
        <f t="shared" si="7"/>
        <v>0</v>
      </c>
      <c r="K233" s="11">
        <f>IF(B233&lt;&gt;"", IFERROR(SUMIF(ขายสินค้า!G:G,H233,ขายสินค้า!F:F)/(E233-I233),0),)</f>
        <v>0</v>
      </c>
      <c r="L233" s="12">
        <f t="shared" si="8"/>
        <v>0</v>
      </c>
      <c r="M233" s="13">
        <f t="shared" si="9"/>
        <v>0</v>
      </c>
    </row>
    <row r="234" spans="1:13">
      <c r="A234" s="14"/>
      <c r="B234" s="6"/>
      <c r="C234" s="7">
        <f>IFERROR(VLOOKUP(B234,ชื่อสินค้า!A:C,2,FALSE),)</f>
        <v>0</v>
      </c>
      <c r="D234" s="8" t="str">
        <f>IFERROR(VLOOKUP(B234,ชื่อสินค้า!A:D,4,FALSE),"")</f>
        <v/>
      </c>
      <c r="E234" s="9"/>
      <c r="F234" s="9"/>
      <c r="G234" s="8" t="str">
        <f t="shared" si="5"/>
        <v/>
      </c>
      <c r="H234" s="10">
        <f t="shared" si="6"/>
        <v>0</v>
      </c>
      <c r="I234" s="8">
        <f>IF(G234&lt;&gt;"",E234-SUMIFS(ขายสินค้า!E:E,ขายสินค้า!G:G,H234),)</f>
        <v>0</v>
      </c>
      <c r="J234" s="11">
        <f t="shared" si="7"/>
        <v>0</v>
      </c>
      <c r="K234" s="11">
        <f>IF(B234&lt;&gt;"", IFERROR(SUMIF(ขายสินค้า!G:G,H234,ขายสินค้า!F:F)/(E234-I234),0),)</f>
        <v>0</v>
      </c>
      <c r="L234" s="12">
        <f t="shared" si="8"/>
        <v>0</v>
      </c>
      <c r="M234" s="13">
        <f t="shared" si="9"/>
        <v>0</v>
      </c>
    </row>
    <row r="235" spans="1:13">
      <c r="A235" s="14"/>
      <c r="B235" s="6"/>
      <c r="C235" s="7">
        <f>IFERROR(VLOOKUP(B235,ชื่อสินค้า!A:C,2,FALSE),)</f>
        <v>0</v>
      </c>
      <c r="D235" s="8" t="str">
        <f>IFERROR(VLOOKUP(B235,ชื่อสินค้า!A:D,4,FALSE),"")</f>
        <v/>
      </c>
      <c r="E235" s="9"/>
      <c r="F235" s="9"/>
      <c r="G235" s="8" t="str">
        <f t="shared" si="5"/>
        <v/>
      </c>
      <c r="H235" s="10">
        <f t="shared" si="6"/>
        <v>0</v>
      </c>
      <c r="I235" s="8">
        <f>IF(G235&lt;&gt;"",E235-SUMIFS(ขายสินค้า!E:E,ขายสินค้า!G:G,H235),)</f>
        <v>0</v>
      </c>
      <c r="J235" s="11">
        <f t="shared" si="7"/>
        <v>0</v>
      </c>
      <c r="K235" s="11">
        <f>IF(B235&lt;&gt;"", IFERROR(SUMIF(ขายสินค้า!G:G,H235,ขายสินค้า!F:F)/(E235-I235),0),)</f>
        <v>0</v>
      </c>
      <c r="L235" s="12">
        <f t="shared" si="8"/>
        <v>0</v>
      </c>
      <c r="M235" s="13">
        <f t="shared" si="9"/>
        <v>0</v>
      </c>
    </row>
    <row r="236" spans="1:13">
      <c r="A236" s="14"/>
      <c r="B236" s="6"/>
      <c r="C236" s="7">
        <f>IFERROR(VLOOKUP(B236,ชื่อสินค้า!A:C,2,FALSE),)</f>
        <v>0</v>
      </c>
      <c r="D236" s="8" t="str">
        <f>IFERROR(VLOOKUP(B236,ชื่อสินค้า!A:D,4,FALSE),"")</f>
        <v/>
      </c>
      <c r="E236" s="9"/>
      <c r="F236" s="9"/>
      <c r="G236" s="8" t="str">
        <f t="shared" si="5"/>
        <v/>
      </c>
      <c r="H236" s="10">
        <f t="shared" si="6"/>
        <v>0</v>
      </c>
      <c r="I236" s="8">
        <f>IF(G236&lt;&gt;"",E236-SUMIFS(ขายสินค้า!E:E,ขายสินค้า!G:G,H236),)</f>
        <v>0</v>
      </c>
      <c r="J236" s="11">
        <f t="shared" si="7"/>
        <v>0</v>
      </c>
      <c r="K236" s="11">
        <f>IF(B236&lt;&gt;"", IFERROR(SUMIF(ขายสินค้า!G:G,H236,ขายสินค้า!F:F)/(E236-I236),0),)</f>
        <v>0</v>
      </c>
      <c r="L236" s="12">
        <f t="shared" si="8"/>
        <v>0</v>
      </c>
      <c r="M236" s="13">
        <f t="shared" si="9"/>
        <v>0</v>
      </c>
    </row>
    <row r="237" spans="1:13">
      <c r="A237" s="14"/>
      <c r="B237" s="6"/>
      <c r="C237" s="7">
        <f>IFERROR(VLOOKUP(B237,ชื่อสินค้า!A:C,2,FALSE),)</f>
        <v>0</v>
      </c>
      <c r="D237" s="8" t="str">
        <f>IFERROR(VLOOKUP(B237,ชื่อสินค้า!A:D,4,FALSE),"")</f>
        <v/>
      </c>
      <c r="E237" s="9"/>
      <c r="F237" s="9"/>
      <c r="G237" s="8" t="str">
        <f t="shared" si="5"/>
        <v/>
      </c>
      <c r="H237" s="10">
        <f t="shared" si="6"/>
        <v>0</v>
      </c>
      <c r="I237" s="8">
        <f>IF(G237&lt;&gt;"",E237-SUMIFS(ขายสินค้า!E:E,ขายสินค้า!G:G,H237),)</f>
        <v>0</v>
      </c>
      <c r="J237" s="11">
        <f t="shared" si="7"/>
        <v>0</v>
      </c>
      <c r="K237" s="11">
        <f>IF(B237&lt;&gt;"", IFERROR(SUMIF(ขายสินค้า!G:G,H237,ขายสินค้า!F:F)/(E237-I237),0),)</f>
        <v>0</v>
      </c>
      <c r="L237" s="12">
        <f t="shared" si="8"/>
        <v>0</v>
      </c>
      <c r="M237" s="13">
        <f t="shared" si="9"/>
        <v>0</v>
      </c>
    </row>
    <row r="238" spans="1:13">
      <c r="A238" s="14"/>
      <c r="B238" s="6"/>
      <c r="C238" s="7">
        <f>IFERROR(VLOOKUP(B238,ชื่อสินค้า!A:C,2,FALSE),)</f>
        <v>0</v>
      </c>
      <c r="D238" s="8" t="str">
        <f>IFERROR(VLOOKUP(B238,ชื่อสินค้า!A:D,4,FALSE),"")</f>
        <v/>
      </c>
      <c r="E238" s="9"/>
      <c r="F238" s="9"/>
      <c r="G238" s="8" t="str">
        <f t="shared" si="5"/>
        <v/>
      </c>
      <c r="H238" s="10">
        <f t="shared" si="6"/>
        <v>0</v>
      </c>
      <c r="I238" s="8">
        <f>IF(G238&lt;&gt;"",E238-SUMIFS(ขายสินค้า!E:E,ขายสินค้า!G:G,H238),)</f>
        <v>0</v>
      </c>
      <c r="J238" s="11">
        <f t="shared" si="7"/>
        <v>0</v>
      </c>
      <c r="K238" s="11">
        <f>IF(B238&lt;&gt;"", IFERROR(SUMIF(ขายสินค้า!G:G,H238,ขายสินค้า!F:F)/(E238-I238),0),)</f>
        <v>0</v>
      </c>
      <c r="L238" s="12">
        <f t="shared" si="8"/>
        <v>0</v>
      </c>
      <c r="M238" s="13">
        <f t="shared" si="9"/>
        <v>0</v>
      </c>
    </row>
    <row r="239" spans="1:13">
      <c r="A239" s="14"/>
      <c r="B239" s="6"/>
      <c r="C239" s="7">
        <f>IFERROR(VLOOKUP(B239,ชื่อสินค้า!A:C,2,FALSE),)</f>
        <v>0</v>
      </c>
      <c r="D239" s="8" t="str">
        <f>IFERROR(VLOOKUP(B239,ชื่อสินค้า!A:D,4,FALSE),"")</f>
        <v/>
      </c>
      <c r="E239" s="9"/>
      <c r="F239" s="9"/>
      <c r="G239" s="8" t="str">
        <f t="shared" si="5"/>
        <v/>
      </c>
      <c r="H239" s="10">
        <f t="shared" si="6"/>
        <v>0</v>
      </c>
      <c r="I239" s="8">
        <f>IF(G239&lt;&gt;"",E239-SUMIFS(ขายสินค้า!E:E,ขายสินค้า!G:G,H239),)</f>
        <v>0</v>
      </c>
      <c r="J239" s="11">
        <f t="shared" si="7"/>
        <v>0</v>
      </c>
      <c r="K239" s="11">
        <f>IF(B239&lt;&gt;"", IFERROR(SUMIF(ขายสินค้า!G:G,H239,ขายสินค้า!F:F)/(E239-I239),0),)</f>
        <v>0</v>
      </c>
      <c r="L239" s="12">
        <f t="shared" si="8"/>
        <v>0</v>
      </c>
      <c r="M239" s="13">
        <f t="shared" si="9"/>
        <v>0</v>
      </c>
    </row>
    <row r="240" spans="1:13">
      <c r="A240" s="14"/>
      <c r="B240" s="6"/>
      <c r="C240" s="7">
        <f>IFERROR(VLOOKUP(B240,ชื่อสินค้า!A:C,2,FALSE),)</f>
        <v>0</v>
      </c>
      <c r="D240" s="8" t="str">
        <f>IFERROR(VLOOKUP(B240,ชื่อสินค้า!A:D,4,FALSE),"")</f>
        <v/>
      </c>
      <c r="E240" s="9"/>
      <c r="F240" s="9"/>
      <c r="G240" s="8" t="str">
        <f t="shared" si="5"/>
        <v/>
      </c>
      <c r="H240" s="10">
        <f t="shared" si="6"/>
        <v>0</v>
      </c>
      <c r="I240" s="8">
        <f>IF(G240&lt;&gt;"",E240-SUMIFS(ขายสินค้า!E:E,ขายสินค้า!G:G,H240),)</f>
        <v>0</v>
      </c>
      <c r="J240" s="11">
        <f t="shared" si="7"/>
        <v>0</v>
      </c>
      <c r="K240" s="11">
        <f>IF(B240&lt;&gt;"", IFERROR(SUMIF(ขายสินค้า!G:G,H240,ขายสินค้า!F:F)/(E240-I240),0),)</f>
        <v>0</v>
      </c>
      <c r="L240" s="12">
        <f t="shared" si="8"/>
        <v>0</v>
      </c>
      <c r="M240" s="13">
        <f t="shared" si="9"/>
        <v>0</v>
      </c>
    </row>
    <row r="241" spans="1:13">
      <c r="A241" s="14"/>
      <c r="B241" s="6"/>
      <c r="C241" s="7">
        <f>IFERROR(VLOOKUP(B241,ชื่อสินค้า!A:C,2,FALSE),)</f>
        <v>0</v>
      </c>
      <c r="D241" s="8" t="str">
        <f>IFERROR(VLOOKUP(B241,ชื่อสินค้า!A:D,4,FALSE),"")</f>
        <v/>
      </c>
      <c r="E241" s="9"/>
      <c r="F241" s="9"/>
      <c r="G241" s="8" t="str">
        <f t="shared" si="5"/>
        <v/>
      </c>
      <c r="H241" s="10">
        <f t="shared" si="6"/>
        <v>0</v>
      </c>
      <c r="I241" s="8">
        <f>IF(G241&lt;&gt;"",E241-SUMIFS(ขายสินค้า!E:E,ขายสินค้า!G:G,H241),)</f>
        <v>0</v>
      </c>
      <c r="J241" s="11">
        <f t="shared" si="7"/>
        <v>0</v>
      </c>
      <c r="K241" s="11">
        <f>IF(B241&lt;&gt;"", IFERROR(SUMIF(ขายสินค้า!G:G,H241,ขายสินค้า!F:F)/(E241-I241),0),)</f>
        <v>0</v>
      </c>
      <c r="L241" s="12">
        <f t="shared" si="8"/>
        <v>0</v>
      </c>
      <c r="M241" s="13">
        <f t="shared" si="9"/>
        <v>0</v>
      </c>
    </row>
    <row r="242" spans="1:13">
      <c r="A242" s="14"/>
      <c r="B242" s="6"/>
      <c r="C242" s="7">
        <f>IFERROR(VLOOKUP(B242,ชื่อสินค้า!A:C,2,FALSE),)</f>
        <v>0</v>
      </c>
      <c r="D242" s="8" t="str">
        <f>IFERROR(VLOOKUP(B242,ชื่อสินค้า!A:D,4,FALSE),"")</f>
        <v/>
      </c>
      <c r="E242" s="9"/>
      <c r="F242" s="9"/>
      <c r="G242" s="8" t="str">
        <f t="shared" si="5"/>
        <v/>
      </c>
      <c r="H242" s="10">
        <f t="shared" si="6"/>
        <v>0</v>
      </c>
      <c r="I242" s="8">
        <f>IF(G242&lt;&gt;"",E242-SUMIFS(ขายสินค้า!E:E,ขายสินค้า!G:G,H242),)</f>
        <v>0</v>
      </c>
      <c r="J242" s="11">
        <f t="shared" si="7"/>
        <v>0</v>
      </c>
      <c r="K242" s="11">
        <f>IF(B242&lt;&gt;"", IFERROR(SUMIF(ขายสินค้า!G:G,H242,ขายสินค้า!F:F)/(E242-I242),0),)</f>
        <v>0</v>
      </c>
      <c r="L242" s="12">
        <f t="shared" si="8"/>
        <v>0</v>
      </c>
      <c r="M242" s="13">
        <f t="shared" si="9"/>
        <v>0</v>
      </c>
    </row>
    <row r="243" spans="1:13">
      <c r="A243" s="14"/>
      <c r="B243" s="6"/>
      <c r="C243" s="7">
        <f>IFERROR(VLOOKUP(B243,ชื่อสินค้า!A:C,2,FALSE),)</f>
        <v>0</v>
      </c>
      <c r="D243" s="8" t="str">
        <f>IFERROR(VLOOKUP(B243,ชื่อสินค้า!A:D,4,FALSE),"")</f>
        <v/>
      </c>
      <c r="E243" s="9"/>
      <c r="F243" s="9"/>
      <c r="G243" s="8" t="str">
        <f t="shared" si="5"/>
        <v/>
      </c>
      <c r="H243" s="10">
        <f t="shared" si="6"/>
        <v>0</v>
      </c>
      <c r="I243" s="8">
        <f>IF(G243&lt;&gt;"",E243-SUMIFS(ขายสินค้า!E:E,ขายสินค้า!G:G,H243),)</f>
        <v>0</v>
      </c>
      <c r="J243" s="11">
        <f t="shared" si="7"/>
        <v>0</v>
      </c>
      <c r="K243" s="11">
        <f>IF(B243&lt;&gt;"", IFERROR(SUMIF(ขายสินค้า!G:G,H243,ขายสินค้า!F:F)/(E243-I243),0),)</f>
        <v>0</v>
      </c>
      <c r="L243" s="12">
        <f t="shared" si="8"/>
        <v>0</v>
      </c>
      <c r="M243" s="13">
        <f t="shared" si="9"/>
        <v>0</v>
      </c>
    </row>
    <row r="244" spans="1:13">
      <c r="A244" s="14"/>
      <c r="B244" s="6"/>
      <c r="C244" s="7">
        <f>IFERROR(VLOOKUP(B244,ชื่อสินค้า!A:C,2,FALSE),)</f>
        <v>0</v>
      </c>
      <c r="D244" s="8" t="str">
        <f>IFERROR(VLOOKUP(B244,ชื่อสินค้า!A:D,4,FALSE),"")</f>
        <v/>
      </c>
      <c r="E244" s="9"/>
      <c r="F244" s="9"/>
      <c r="G244" s="8" t="str">
        <f t="shared" si="5"/>
        <v/>
      </c>
      <c r="H244" s="10">
        <f t="shared" si="6"/>
        <v>0</v>
      </c>
      <c r="I244" s="8">
        <f>IF(G244&lt;&gt;"",E244-SUMIFS(ขายสินค้า!E:E,ขายสินค้า!G:G,H244),)</f>
        <v>0</v>
      </c>
      <c r="J244" s="11">
        <f t="shared" si="7"/>
        <v>0</v>
      </c>
      <c r="K244" s="11">
        <f>IF(B244&lt;&gt;"", IFERROR(SUMIF(ขายสินค้า!G:G,H244,ขายสินค้า!F:F)/(E244-I244),0),)</f>
        <v>0</v>
      </c>
      <c r="L244" s="12">
        <f t="shared" si="8"/>
        <v>0</v>
      </c>
      <c r="M244" s="13">
        <f t="shared" si="9"/>
        <v>0</v>
      </c>
    </row>
    <row r="245" spans="1:13">
      <c r="A245" s="14"/>
      <c r="B245" s="6"/>
      <c r="C245" s="7">
        <f>IFERROR(VLOOKUP(B245,ชื่อสินค้า!A:C,2,FALSE),)</f>
        <v>0</v>
      </c>
      <c r="D245" s="8" t="str">
        <f>IFERROR(VLOOKUP(B245,ชื่อสินค้า!A:D,4,FALSE),"")</f>
        <v/>
      </c>
      <c r="E245" s="9"/>
      <c r="F245" s="9"/>
      <c r="G245" s="8" t="str">
        <f t="shared" si="5"/>
        <v/>
      </c>
      <c r="H245" s="10">
        <f t="shared" si="6"/>
        <v>0</v>
      </c>
      <c r="I245" s="8">
        <f>IF(G245&lt;&gt;"",E245-SUMIFS(ขายสินค้า!E:E,ขายสินค้า!G:G,H245),)</f>
        <v>0</v>
      </c>
      <c r="J245" s="11">
        <f t="shared" si="7"/>
        <v>0</v>
      </c>
      <c r="K245" s="11">
        <f>IF(B245&lt;&gt;"", IFERROR(SUMIF(ขายสินค้า!G:G,H245,ขายสินค้า!F:F)/(E245-I245),0),)</f>
        <v>0</v>
      </c>
      <c r="L245" s="12">
        <f t="shared" si="8"/>
        <v>0</v>
      </c>
      <c r="M245" s="13">
        <f t="shared" si="9"/>
        <v>0</v>
      </c>
    </row>
    <row r="246" spans="1:13">
      <c r="A246" s="14"/>
      <c r="B246" s="6"/>
      <c r="C246" s="7">
        <f>IFERROR(VLOOKUP(B246,ชื่อสินค้า!A:C,2,FALSE),)</f>
        <v>0</v>
      </c>
      <c r="D246" s="8" t="str">
        <f>IFERROR(VLOOKUP(B246,ชื่อสินค้า!A:D,4,FALSE),"")</f>
        <v/>
      </c>
      <c r="E246" s="9"/>
      <c r="F246" s="9"/>
      <c r="G246" s="8" t="str">
        <f t="shared" si="5"/>
        <v/>
      </c>
      <c r="H246" s="10">
        <f t="shared" si="6"/>
        <v>0</v>
      </c>
      <c r="I246" s="8">
        <f>IF(G246&lt;&gt;"",E246-SUMIFS(ขายสินค้า!E:E,ขายสินค้า!G:G,H246),)</f>
        <v>0</v>
      </c>
      <c r="J246" s="11">
        <f t="shared" si="7"/>
        <v>0</v>
      </c>
      <c r="K246" s="11">
        <f>IF(B246&lt;&gt;"", IFERROR(SUMIF(ขายสินค้า!G:G,H246,ขายสินค้า!F:F)/(E246-I246),0),)</f>
        <v>0</v>
      </c>
      <c r="L246" s="12">
        <f t="shared" si="8"/>
        <v>0</v>
      </c>
      <c r="M246" s="13">
        <f t="shared" si="9"/>
        <v>0</v>
      </c>
    </row>
    <row r="247" spans="1:13">
      <c r="A247" s="14"/>
      <c r="B247" s="6"/>
      <c r="C247" s="7">
        <f>IFERROR(VLOOKUP(B247,ชื่อสินค้า!A:C,2,FALSE),)</f>
        <v>0</v>
      </c>
      <c r="D247" s="8" t="str">
        <f>IFERROR(VLOOKUP(B247,ชื่อสินค้า!A:D,4,FALSE),"")</f>
        <v/>
      </c>
      <c r="E247" s="9"/>
      <c r="F247" s="9"/>
      <c r="G247" s="8" t="str">
        <f t="shared" si="5"/>
        <v/>
      </c>
      <c r="H247" s="10">
        <f t="shared" si="6"/>
        <v>0</v>
      </c>
      <c r="I247" s="8">
        <f>IF(G247&lt;&gt;"",E247-SUMIFS(ขายสินค้า!E:E,ขายสินค้า!G:G,H247),)</f>
        <v>0</v>
      </c>
      <c r="J247" s="11">
        <f t="shared" si="7"/>
        <v>0</v>
      </c>
      <c r="K247" s="11">
        <f>IF(B247&lt;&gt;"", IFERROR(SUMIF(ขายสินค้า!G:G,H247,ขายสินค้า!F:F)/(E247-I247),0),)</f>
        <v>0</v>
      </c>
      <c r="L247" s="12">
        <f t="shared" si="8"/>
        <v>0</v>
      </c>
      <c r="M247" s="13">
        <f t="shared" si="9"/>
        <v>0</v>
      </c>
    </row>
    <row r="248" spans="1:13">
      <c r="A248" s="14"/>
      <c r="B248" s="6"/>
      <c r="C248" s="7">
        <f>IFERROR(VLOOKUP(B248,ชื่อสินค้า!A:C,2,FALSE),)</f>
        <v>0</v>
      </c>
      <c r="D248" s="8" t="str">
        <f>IFERROR(VLOOKUP(B248,ชื่อสินค้า!A:D,4,FALSE),"")</f>
        <v/>
      </c>
      <c r="E248" s="9"/>
      <c r="F248" s="9"/>
      <c r="G248" s="8" t="str">
        <f t="shared" si="5"/>
        <v/>
      </c>
      <c r="H248" s="10">
        <f t="shared" si="6"/>
        <v>0</v>
      </c>
      <c r="I248" s="8">
        <f>IF(G248&lt;&gt;"",E248-SUMIFS(ขายสินค้า!E:E,ขายสินค้า!G:G,H248),)</f>
        <v>0</v>
      </c>
      <c r="J248" s="11">
        <f t="shared" si="7"/>
        <v>0</v>
      </c>
      <c r="K248" s="11">
        <f>IF(B248&lt;&gt;"", IFERROR(SUMIF(ขายสินค้า!G:G,H248,ขายสินค้า!F:F)/(E248-I248),0),)</f>
        <v>0</v>
      </c>
      <c r="L248" s="12">
        <f t="shared" si="8"/>
        <v>0</v>
      </c>
      <c r="M248" s="13">
        <f t="shared" si="9"/>
        <v>0</v>
      </c>
    </row>
    <row r="249" spans="1:13">
      <c r="A249" s="14"/>
      <c r="B249" s="6"/>
      <c r="C249" s="7">
        <f>IFERROR(VLOOKUP(B249,ชื่อสินค้า!A:C,2,FALSE),)</f>
        <v>0</v>
      </c>
      <c r="D249" s="8" t="str">
        <f>IFERROR(VLOOKUP(B249,ชื่อสินค้า!A:D,4,FALSE),"")</f>
        <v/>
      </c>
      <c r="E249" s="9"/>
      <c r="F249" s="9"/>
      <c r="G249" s="8" t="str">
        <f t="shared" si="5"/>
        <v/>
      </c>
      <c r="H249" s="10">
        <f t="shared" si="6"/>
        <v>0</v>
      </c>
      <c r="I249" s="8">
        <f>IF(G249&lt;&gt;"",E249-SUMIFS(ขายสินค้า!E:E,ขายสินค้า!G:G,H249),)</f>
        <v>0</v>
      </c>
      <c r="J249" s="11">
        <f t="shared" si="7"/>
        <v>0</v>
      </c>
      <c r="K249" s="11">
        <f>IF(B249&lt;&gt;"", IFERROR(SUMIF(ขายสินค้า!G:G,H249,ขายสินค้า!F:F)/(E249-I249),0),)</f>
        <v>0</v>
      </c>
      <c r="L249" s="12">
        <f t="shared" si="8"/>
        <v>0</v>
      </c>
      <c r="M249" s="13">
        <f t="shared" si="9"/>
        <v>0</v>
      </c>
    </row>
    <row r="250" spans="1:13">
      <c r="A250" s="14"/>
      <c r="B250" s="6"/>
      <c r="C250" s="7">
        <f>IFERROR(VLOOKUP(B250,ชื่อสินค้า!A:C,2,FALSE),)</f>
        <v>0</v>
      </c>
      <c r="D250" s="8" t="str">
        <f>IFERROR(VLOOKUP(B250,ชื่อสินค้า!A:D,4,FALSE),"")</f>
        <v/>
      </c>
      <c r="E250" s="9"/>
      <c r="F250" s="9"/>
      <c r="G250" s="8" t="str">
        <f t="shared" si="5"/>
        <v/>
      </c>
      <c r="H250" s="10">
        <f t="shared" si="6"/>
        <v>0</v>
      </c>
      <c r="I250" s="8">
        <f>IF(G250&lt;&gt;"",E250-SUMIFS(ขายสินค้า!E:E,ขายสินค้า!G:G,H250),)</f>
        <v>0</v>
      </c>
      <c r="J250" s="11">
        <f t="shared" si="7"/>
        <v>0</v>
      </c>
      <c r="K250" s="11">
        <f>IF(B250&lt;&gt;"", IFERROR(SUMIF(ขายสินค้า!G:G,H250,ขายสินค้า!F:F)/(E250-I250),0),)</f>
        <v>0</v>
      </c>
      <c r="L250" s="12">
        <f t="shared" si="8"/>
        <v>0</v>
      </c>
      <c r="M250" s="13">
        <f t="shared" si="9"/>
        <v>0</v>
      </c>
    </row>
    <row r="251" spans="1:13">
      <c r="A251" s="14"/>
      <c r="B251" s="6"/>
      <c r="C251" s="7">
        <f>IFERROR(VLOOKUP(B251,ชื่อสินค้า!A:C,2,FALSE),)</f>
        <v>0</v>
      </c>
      <c r="D251" s="8" t="str">
        <f>IFERROR(VLOOKUP(B251,ชื่อสินค้า!A:D,4,FALSE),"")</f>
        <v/>
      </c>
      <c r="E251" s="9"/>
      <c r="F251" s="9"/>
      <c r="G251" s="8" t="str">
        <f t="shared" si="5"/>
        <v/>
      </c>
      <c r="H251" s="10">
        <f t="shared" si="6"/>
        <v>0</v>
      </c>
      <c r="I251" s="8">
        <f>IF(G251&lt;&gt;"",E251-SUMIFS(ขายสินค้า!E:E,ขายสินค้า!G:G,H251),)</f>
        <v>0</v>
      </c>
      <c r="J251" s="11">
        <f t="shared" si="7"/>
        <v>0</v>
      </c>
      <c r="K251" s="11">
        <f>IF(B251&lt;&gt;"", IFERROR(SUMIF(ขายสินค้า!G:G,H251,ขายสินค้า!F:F)/(E251-I251),0),)</f>
        <v>0</v>
      </c>
      <c r="L251" s="12">
        <f t="shared" si="8"/>
        <v>0</v>
      </c>
      <c r="M251" s="13">
        <f t="shared" si="9"/>
        <v>0</v>
      </c>
    </row>
    <row r="252" spans="1:13">
      <c r="A252" s="14"/>
      <c r="B252" s="6"/>
      <c r="C252" s="7">
        <f>IFERROR(VLOOKUP(B252,ชื่อสินค้า!A:C,2,FALSE),)</f>
        <v>0</v>
      </c>
      <c r="D252" s="8" t="str">
        <f>IFERROR(VLOOKUP(B252,ชื่อสินค้า!A:D,4,FALSE),"")</f>
        <v/>
      </c>
      <c r="E252" s="9"/>
      <c r="F252" s="9"/>
      <c r="G252" s="8" t="str">
        <f t="shared" si="5"/>
        <v/>
      </c>
      <c r="H252" s="10">
        <f t="shared" si="6"/>
        <v>0</v>
      </c>
      <c r="I252" s="8">
        <f>IF(G252&lt;&gt;"",E252-SUMIFS(ขายสินค้า!E:E,ขายสินค้า!G:G,H252),)</f>
        <v>0</v>
      </c>
      <c r="J252" s="11">
        <f t="shared" si="7"/>
        <v>0</v>
      </c>
      <c r="K252" s="11">
        <f>IF(B252&lt;&gt;"", IFERROR(SUMIF(ขายสินค้า!G:G,H252,ขายสินค้า!F:F)/(E252-I252),0),)</f>
        <v>0</v>
      </c>
      <c r="L252" s="12">
        <f t="shared" si="8"/>
        <v>0</v>
      </c>
      <c r="M252" s="13">
        <f t="shared" si="9"/>
        <v>0</v>
      </c>
    </row>
    <row r="253" spans="1:13">
      <c r="A253" s="14"/>
      <c r="B253" s="6"/>
      <c r="C253" s="7">
        <f>IFERROR(VLOOKUP(B253,ชื่อสินค้า!A:C,2,FALSE),)</f>
        <v>0</v>
      </c>
      <c r="D253" s="8" t="str">
        <f>IFERROR(VLOOKUP(B253,ชื่อสินค้า!A:D,4,FALSE),"")</f>
        <v/>
      </c>
      <c r="E253" s="9"/>
      <c r="F253" s="9"/>
      <c r="G253" s="8" t="str">
        <f t="shared" si="5"/>
        <v/>
      </c>
      <c r="H253" s="10">
        <f t="shared" si="6"/>
        <v>0</v>
      </c>
      <c r="I253" s="8">
        <f>IF(G253&lt;&gt;"",E253-SUMIFS(ขายสินค้า!E:E,ขายสินค้า!G:G,H253),)</f>
        <v>0</v>
      </c>
      <c r="J253" s="11">
        <f t="shared" si="7"/>
        <v>0</v>
      </c>
      <c r="K253" s="11">
        <f>IF(B253&lt;&gt;"", IFERROR(SUMIF(ขายสินค้า!G:G,H253,ขายสินค้า!F:F)/(E253-I253),0),)</f>
        <v>0</v>
      </c>
      <c r="L253" s="12">
        <f t="shared" si="8"/>
        <v>0</v>
      </c>
      <c r="M253" s="13">
        <f t="shared" si="9"/>
        <v>0</v>
      </c>
    </row>
    <row r="254" spans="1:13">
      <c r="A254" s="14"/>
      <c r="B254" s="6"/>
      <c r="C254" s="7">
        <f>IFERROR(VLOOKUP(B254,ชื่อสินค้า!A:C,2,FALSE),)</f>
        <v>0</v>
      </c>
      <c r="D254" s="8" t="str">
        <f>IFERROR(VLOOKUP(B254,ชื่อสินค้า!A:D,4,FALSE),"")</f>
        <v/>
      </c>
      <c r="E254" s="9"/>
      <c r="F254" s="9"/>
      <c r="G254" s="8" t="str">
        <f t="shared" si="5"/>
        <v/>
      </c>
      <c r="H254" s="10">
        <f t="shared" si="6"/>
        <v>0</v>
      </c>
      <c r="I254" s="8">
        <f>IF(G254&lt;&gt;"",E254-SUMIFS(ขายสินค้า!E:E,ขายสินค้า!G:G,H254),)</f>
        <v>0</v>
      </c>
      <c r="J254" s="11">
        <f t="shared" si="7"/>
        <v>0</v>
      </c>
      <c r="K254" s="11">
        <f>IF(B254&lt;&gt;"", IFERROR(SUMIF(ขายสินค้า!G:G,H254,ขายสินค้า!F:F)/(E254-I254),0),)</f>
        <v>0</v>
      </c>
      <c r="L254" s="12">
        <f t="shared" si="8"/>
        <v>0</v>
      </c>
      <c r="M254" s="13">
        <f t="shared" si="9"/>
        <v>0</v>
      </c>
    </row>
    <row r="255" spans="1:13">
      <c r="A255" s="14"/>
      <c r="B255" s="6"/>
      <c r="C255" s="7">
        <f>IFERROR(VLOOKUP(B255,ชื่อสินค้า!A:C,2,FALSE),)</f>
        <v>0</v>
      </c>
      <c r="D255" s="8" t="str">
        <f>IFERROR(VLOOKUP(B255,ชื่อสินค้า!A:D,4,FALSE),"")</f>
        <v/>
      </c>
      <c r="E255" s="9"/>
      <c r="F255" s="9"/>
      <c r="G255" s="8" t="str">
        <f t="shared" si="5"/>
        <v/>
      </c>
      <c r="H255" s="10">
        <f t="shared" si="6"/>
        <v>0</v>
      </c>
      <c r="I255" s="8">
        <f>IF(G255&lt;&gt;"",E255-SUMIFS(ขายสินค้า!E:E,ขายสินค้า!G:G,H255),)</f>
        <v>0</v>
      </c>
      <c r="J255" s="11">
        <f t="shared" si="7"/>
        <v>0</v>
      </c>
      <c r="K255" s="11">
        <f>IF(B255&lt;&gt;"", IFERROR(SUMIF(ขายสินค้า!G:G,H255,ขายสินค้า!F:F)/(E255-I255),0),)</f>
        <v>0</v>
      </c>
      <c r="L255" s="12">
        <f t="shared" si="8"/>
        <v>0</v>
      </c>
      <c r="M255" s="13">
        <f t="shared" si="9"/>
        <v>0</v>
      </c>
    </row>
    <row r="256" spans="1:13">
      <c r="A256" s="14"/>
      <c r="B256" s="6"/>
      <c r="C256" s="7">
        <f>IFERROR(VLOOKUP(B256,ชื่อสินค้า!A:C,2,FALSE),)</f>
        <v>0</v>
      </c>
      <c r="D256" s="8" t="str">
        <f>IFERROR(VLOOKUP(B256,ชื่อสินค้า!A:D,4,FALSE),"")</f>
        <v/>
      </c>
      <c r="E256" s="9"/>
      <c r="F256" s="9"/>
      <c r="G256" s="8" t="str">
        <f t="shared" si="5"/>
        <v/>
      </c>
      <c r="H256" s="10">
        <f t="shared" si="6"/>
        <v>0</v>
      </c>
      <c r="I256" s="8">
        <f>IF(G256&lt;&gt;"",E256-SUMIFS(ขายสินค้า!E:E,ขายสินค้า!G:G,H256),)</f>
        <v>0</v>
      </c>
      <c r="J256" s="11">
        <f t="shared" si="7"/>
        <v>0</v>
      </c>
      <c r="K256" s="11">
        <f>IF(B256&lt;&gt;"", IFERROR(SUMIF(ขายสินค้า!G:G,H256,ขายสินค้า!F:F)/(E256-I256),0),)</f>
        <v>0</v>
      </c>
      <c r="L256" s="12">
        <f t="shared" si="8"/>
        <v>0</v>
      </c>
      <c r="M256" s="13">
        <f t="shared" si="9"/>
        <v>0</v>
      </c>
    </row>
    <row r="257" spans="1:13">
      <c r="A257" s="14"/>
      <c r="B257" s="6"/>
      <c r="C257" s="7">
        <f>IFERROR(VLOOKUP(B257,ชื่อสินค้า!A:C,2,FALSE),)</f>
        <v>0</v>
      </c>
      <c r="D257" s="8" t="str">
        <f>IFERROR(VLOOKUP(B257,ชื่อสินค้า!A:D,4,FALSE),"")</f>
        <v/>
      </c>
      <c r="E257" s="9"/>
      <c r="F257" s="9"/>
      <c r="G257" s="8" t="str">
        <f t="shared" ref="G257:G511" si="10">IF(LEN(B257)&gt;0,C257*E257+F257,"")</f>
        <v/>
      </c>
      <c r="H257" s="10">
        <f t="shared" ref="H257:H511" si="11">IF(B257&lt;&gt;"",COUNTIF($B$2:B257, B257) &amp; "-" &amp; B257,)</f>
        <v>0</v>
      </c>
      <c r="I257" s="8">
        <f>IF(G257&lt;&gt;"",E257-SUMIFS(ขายสินค้า!E:E,ขายสินค้า!G:G,H257),)</f>
        <v>0</v>
      </c>
      <c r="J257" s="11">
        <f t="shared" ref="J257:J511" si="12">IF(G257&lt;&gt;"",G257/E257,)</f>
        <v>0</v>
      </c>
      <c r="K257" s="11">
        <f>IF(B257&lt;&gt;"", IFERROR(SUMIF(ขายสินค้า!G:G,H257,ขายสินค้า!F:F)/(E257-I257),0),)</f>
        <v>0</v>
      </c>
      <c r="L257" s="12">
        <f t="shared" ref="L257:L511" si="13">IF(B257&lt;&gt;"",IFERROR((K257-J257)/K257,0),)</f>
        <v>0</v>
      </c>
      <c r="M257" s="13">
        <f t="shared" ref="M257:M511" si="14">IF(G257&lt;&gt;"",I257*J257,)</f>
        <v>0</v>
      </c>
    </row>
    <row r="258" spans="1:13">
      <c r="A258" s="14"/>
      <c r="B258" s="6"/>
      <c r="C258" s="7">
        <f>IFERROR(VLOOKUP(B258,ชื่อสินค้า!A:C,2,FALSE),)</f>
        <v>0</v>
      </c>
      <c r="D258" s="8" t="str">
        <f>IFERROR(VLOOKUP(B258,ชื่อสินค้า!A:D,4,FALSE),"")</f>
        <v/>
      </c>
      <c r="E258" s="9"/>
      <c r="F258" s="9"/>
      <c r="G258" s="8" t="str">
        <f t="shared" si="10"/>
        <v/>
      </c>
      <c r="H258" s="10">
        <f t="shared" si="11"/>
        <v>0</v>
      </c>
      <c r="I258" s="8">
        <f>IF(G258&lt;&gt;"",E258-SUMIFS(ขายสินค้า!E:E,ขายสินค้า!G:G,H258),)</f>
        <v>0</v>
      </c>
      <c r="J258" s="11">
        <f t="shared" si="12"/>
        <v>0</v>
      </c>
      <c r="K258" s="11">
        <f>IF(B258&lt;&gt;"", IFERROR(SUMIF(ขายสินค้า!G:G,H258,ขายสินค้า!F:F)/(E258-I258),0),)</f>
        <v>0</v>
      </c>
      <c r="L258" s="12">
        <f t="shared" si="13"/>
        <v>0</v>
      </c>
      <c r="M258" s="13">
        <f t="shared" si="14"/>
        <v>0</v>
      </c>
    </row>
    <row r="259" spans="1:13">
      <c r="A259" s="14"/>
      <c r="B259" s="6"/>
      <c r="C259" s="7">
        <f>IFERROR(VLOOKUP(B259,ชื่อสินค้า!A:C,2,FALSE),)</f>
        <v>0</v>
      </c>
      <c r="D259" s="8" t="str">
        <f>IFERROR(VLOOKUP(B259,ชื่อสินค้า!A:D,4,FALSE),"")</f>
        <v/>
      </c>
      <c r="E259" s="9"/>
      <c r="F259" s="9"/>
      <c r="G259" s="8" t="str">
        <f t="shared" si="10"/>
        <v/>
      </c>
      <c r="H259" s="10">
        <f t="shared" si="11"/>
        <v>0</v>
      </c>
      <c r="I259" s="8">
        <f>IF(G259&lt;&gt;"",E259-SUMIFS(ขายสินค้า!E:E,ขายสินค้า!G:G,H259),)</f>
        <v>0</v>
      </c>
      <c r="J259" s="11">
        <f t="shared" si="12"/>
        <v>0</v>
      </c>
      <c r="K259" s="11">
        <f>IF(B259&lt;&gt;"", IFERROR(SUMIF(ขายสินค้า!G:G,H259,ขายสินค้า!F:F)/(E259-I259),0),)</f>
        <v>0</v>
      </c>
      <c r="L259" s="12">
        <f t="shared" si="13"/>
        <v>0</v>
      </c>
      <c r="M259" s="13">
        <f t="shared" si="14"/>
        <v>0</v>
      </c>
    </row>
    <row r="260" spans="1:13">
      <c r="A260" s="14"/>
      <c r="B260" s="6"/>
      <c r="C260" s="7">
        <f>IFERROR(VLOOKUP(B260,ชื่อสินค้า!A:C,2,FALSE),)</f>
        <v>0</v>
      </c>
      <c r="D260" s="8" t="str">
        <f>IFERROR(VLOOKUP(B260,ชื่อสินค้า!A:D,4,FALSE),"")</f>
        <v/>
      </c>
      <c r="E260" s="9"/>
      <c r="F260" s="9"/>
      <c r="G260" s="8" t="str">
        <f t="shared" si="10"/>
        <v/>
      </c>
      <c r="H260" s="10">
        <f t="shared" si="11"/>
        <v>0</v>
      </c>
      <c r="I260" s="8">
        <f>IF(G260&lt;&gt;"",E260-SUMIFS(ขายสินค้า!E:E,ขายสินค้า!G:G,H260),)</f>
        <v>0</v>
      </c>
      <c r="J260" s="11">
        <f t="shared" si="12"/>
        <v>0</v>
      </c>
      <c r="K260" s="11">
        <f>IF(B260&lt;&gt;"", IFERROR(SUMIF(ขายสินค้า!G:G,H260,ขายสินค้า!F:F)/(E260-I260),0),)</f>
        <v>0</v>
      </c>
      <c r="L260" s="12">
        <f t="shared" si="13"/>
        <v>0</v>
      </c>
      <c r="M260" s="13">
        <f t="shared" si="14"/>
        <v>0</v>
      </c>
    </row>
    <row r="261" spans="1:13">
      <c r="A261" s="14"/>
      <c r="B261" s="6"/>
      <c r="C261" s="7">
        <f>IFERROR(VLOOKUP(B261,ชื่อสินค้า!A:C,2,FALSE),)</f>
        <v>0</v>
      </c>
      <c r="D261" s="8" t="str">
        <f>IFERROR(VLOOKUP(B261,ชื่อสินค้า!A:D,4,FALSE),"")</f>
        <v/>
      </c>
      <c r="E261" s="9"/>
      <c r="F261" s="9"/>
      <c r="G261" s="8" t="str">
        <f t="shared" si="10"/>
        <v/>
      </c>
      <c r="H261" s="10">
        <f t="shared" si="11"/>
        <v>0</v>
      </c>
      <c r="I261" s="8">
        <f>IF(G261&lt;&gt;"",E261-SUMIFS(ขายสินค้า!E:E,ขายสินค้า!G:G,H261),)</f>
        <v>0</v>
      </c>
      <c r="J261" s="11">
        <f t="shared" si="12"/>
        <v>0</v>
      </c>
      <c r="K261" s="11">
        <f>IF(B261&lt;&gt;"", IFERROR(SUMIF(ขายสินค้า!G:G,H261,ขายสินค้า!F:F)/(E261-I261),0),)</f>
        <v>0</v>
      </c>
      <c r="L261" s="12">
        <f t="shared" si="13"/>
        <v>0</v>
      </c>
      <c r="M261" s="13">
        <f t="shared" si="14"/>
        <v>0</v>
      </c>
    </row>
    <row r="262" spans="1:13">
      <c r="A262" s="14"/>
      <c r="B262" s="6"/>
      <c r="C262" s="7">
        <f>IFERROR(VLOOKUP(B262,ชื่อสินค้า!A:C,2,FALSE),)</f>
        <v>0</v>
      </c>
      <c r="D262" s="8" t="str">
        <f>IFERROR(VLOOKUP(B262,ชื่อสินค้า!A:D,4,FALSE),"")</f>
        <v/>
      </c>
      <c r="E262" s="9"/>
      <c r="F262" s="9"/>
      <c r="G262" s="8" t="str">
        <f t="shared" si="10"/>
        <v/>
      </c>
      <c r="H262" s="10">
        <f t="shared" si="11"/>
        <v>0</v>
      </c>
      <c r="I262" s="8">
        <f>IF(G262&lt;&gt;"",E262-SUMIFS(ขายสินค้า!E:E,ขายสินค้า!G:G,H262),)</f>
        <v>0</v>
      </c>
      <c r="J262" s="11">
        <f t="shared" si="12"/>
        <v>0</v>
      </c>
      <c r="K262" s="11">
        <f>IF(B262&lt;&gt;"", IFERROR(SUMIF(ขายสินค้า!G:G,H262,ขายสินค้า!F:F)/(E262-I262),0),)</f>
        <v>0</v>
      </c>
      <c r="L262" s="12">
        <f t="shared" si="13"/>
        <v>0</v>
      </c>
      <c r="M262" s="13">
        <f t="shared" si="14"/>
        <v>0</v>
      </c>
    </row>
    <row r="263" spans="1:13">
      <c r="A263" s="14"/>
      <c r="B263" s="6"/>
      <c r="C263" s="7">
        <f>IFERROR(VLOOKUP(B263,ชื่อสินค้า!A:C,2,FALSE),)</f>
        <v>0</v>
      </c>
      <c r="D263" s="8" t="str">
        <f>IFERROR(VLOOKUP(B263,ชื่อสินค้า!A:D,4,FALSE),"")</f>
        <v/>
      </c>
      <c r="E263" s="9"/>
      <c r="F263" s="9"/>
      <c r="G263" s="8" t="str">
        <f t="shared" si="10"/>
        <v/>
      </c>
      <c r="H263" s="10">
        <f t="shared" si="11"/>
        <v>0</v>
      </c>
      <c r="I263" s="8">
        <f>IF(G263&lt;&gt;"",E263-SUMIFS(ขายสินค้า!E:E,ขายสินค้า!G:G,H263),)</f>
        <v>0</v>
      </c>
      <c r="J263" s="11">
        <f t="shared" si="12"/>
        <v>0</v>
      </c>
      <c r="K263" s="11">
        <f>IF(B263&lt;&gt;"", IFERROR(SUMIF(ขายสินค้า!G:G,H263,ขายสินค้า!F:F)/(E263-I263),0),)</f>
        <v>0</v>
      </c>
      <c r="L263" s="12">
        <f t="shared" si="13"/>
        <v>0</v>
      </c>
      <c r="M263" s="13">
        <f t="shared" si="14"/>
        <v>0</v>
      </c>
    </row>
    <row r="264" spans="1:13">
      <c r="A264" s="14"/>
      <c r="B264" s="6"/>
      <c r="C264" s="7">
        <f>IFERROR(VLOOKUP(B264,ชื่อสินค้า!A:C,2,FALSE),)</f>
        <v>0</v>
      </c>
      <c r="D264" s="8" t="str">
        <f>IFERROR(VLOOKUP(B264,ชื่อสินค้า!A:D,4,FALSE),"")</f>
        <v/>
      </c>
      <c r="E264" s="9"/>
      <c r="F264" s="9"/>
      <c r="G264" s="8" t="str">
        <f t="shared" si="10"/>
        <v/>
      </c>
      <c r="H264" s="10">
        <f t="shared" si="11"/>
        <v>0</v>
      </c>
      <c r="I264" s="8">
        <f>IF(G264&lt;&gt;"",E264-SUMIFS(ขายสินค้า!E:E,ขายสินค้า!G:G,H264),)</f>
        <v>0</v>
      </c>
      <c r="J264" s="11">
        <f t="shared" si="12"/>
        <v>0</v>
      </c>
      <c r="K264" s="11">
        <f>IF(B264&lt;&gt;"", IFERROR(SUMIF(ขายสินค้า!G:G,H264,ขายสินค้า!F:F)/(E264-I264),0),)</f>
        <v>0</v>
      </c>
      <c r="L264" s="12">
        <f t="shared" si="13"/>
        <v>0</v>
      </c>
      <c r="M264" s="13">
        <f t="shared" si="14"/>
        <v>0</v>
      </c>
    </row>
    <row r="265" spans="1:13">
      <c r="A265" s="14"/>
      <c r="B265" s="6"/>
      <c r="C265" s="7">
        <f>IFERROR(VLOOKUP(B265,ชื่อสินค้า!A:C,2,FALSE),)</f>
        <v>0</v>
      </c>
      <c r="D265" s="8" t="str">
        <f>IFERROR(VLOOKUP(B265,ชื่อสินค้า!A:D,4,FALSE),"")</f>
        <v/>
      </c>
      <c r="E265" s="9"/>
      <c r="F265" s="9"/>
      <c r="G265" s="8" t="str">
        <f t="shared" si="10"/>
        <v/>
      </c>
      <c r="H265" s="10">
        <f t="shared" si="11"/>
        <v>0</v>
      </c>
      <c r="I265" s="8">
        <f>IF(G265&lt;&gt;"",E265-SUMIFS(ขายสินค้า!E:E,ขายสินค้า!G:G,H265),)</f>
        <v>0</v>
      </c>
      <c r="J265" s="11">
        <f t="shared" si="12"/>
        <v>0</v>
      </c>
      <c r="K265" s="11">
        <f>IF(B265&lt;&gt;"", IFERROR(SUMIF(ขายสินค้า!G:G,H265,ขายสินค้า!F:F)/(E265-I265),0),)</f>
        <v>0</v>
      </c>
      <c r="L265" s="12">
        <f t="shared" si="13"/>
        <v>0</v>
      </c>
      <c r="M265" s="13">
        <f t="shared" si="14"/>
        <v>0</v>
      </c>
    </row>
    <row r="266" spans="1:13">
      <c r="A266" s="14"/>
      <c r="B266" s="6"/>
      <c r="C266" s="7">
        <f>IFERROR(VLOOKUP(B266,ชื่อสินค้า!A:C,2,FALSE),)</f>
        <v>0</v>
      </c>
      <c r="D266" s="8" t="str">
        <f>IFERROR(VLOOKUP(B266,ชื่อสินค้า!A:D,4,FALSE),"")</f>
        <v/>
      </c>
      <c r="E266" s="9"/>
      <c r="F266" s="9"/>
      <c r="G266" s="8" t="str">
        <f t="shared" si="10"/>
        <v/>
      </c>
      <c r="H266" s="10">
        <f t="shared" si="11"/>
        <v>0</v>
      </c>
      <c r="I266" s="8">
        <f>IF(G266&lt;&gt;"",E266-SUMIFS(ขายสินค้า!E:E,ขายสินค้า!G:G,H266),)</f>
        <v>0</v>
      </c>
      <c r="J266" s="11">
        <f t="shared" si="12"/>
        <v>0</v>
      </c>
      <c r="K266" s="11">
        <f>IF(B266&lt;&gt;"", IFERROR(SUMIF(ขายสินค้า!G:G,H266,ขายสินค้า!F:F)/(E266-I266),0),)</f>
        <v>0</v>
      </c>
      <c r="L266" s="12">
        <f t="shared" si="13"/>
        <v>0</v>
      </c>
      <c r="M266" s="13">
        <f t="shared" si="14"/>
        <v>0</v>
      </c>
    </row>
    <row r="267" spans="1:13">
      <c r="A267" s="14"/>
      <c r="B267" s="6"/>
      <c r="C267" s="7">
        <f>IFERROR(VLOOKUP(B267,ชื่อสินค้า!A:C,2,FALSE),)</f>
        <v>0</v>
      </c>
      <c r="D267" s="8" t="str">
        <f>IFERROR(VLOOKUP(B267,ชื่อสินค้า!A:D,4,FALSE),"")</f>
        <v/>
      </c>
      <c r="E267" s="9"/>
      <c r="F267" s="9"/>
      <c r="G267" s="8" t="str">
        <f t="shared" si="10"/>
        <v/>
      </c>
      <c r="H267" s="10">
        <f t="shared" si="11"/>
        <v>0</v>
      </c>
      <c r="I267" s="8">
        <f>IF(G267&lt;&gt;"",E267-SUMIFS(ขายสินค้า!E:E,ขายสินค้า!G:G,H267),)</f>
        <v>0</v>
      </c>
      <c r="J267" s="11">
        <f t="shared" si="12"/>
        <v>0</v>
      </c>
      <c r="K267" s="11">
        <f>IF(B267&lt;&gt;"", IFERROR(SUMIF(ขายสินค้า!G:G,H267,ขายสินค้า!F:F)/(E267-I267),0),)</f>
        <v>0</v>
      </c>
      <c r="L267" s="12">
        <f t="shared" si="13"/>
        <v>0</v>
      </c>
      <c r="M267" s="13">
        <f t="shared" si="14"/>
        <v>0</v>
      </c>
    </row>
    <row r="268" spans="1:13">
      <c r="A268" s="14"/>
      <c r="B268" s="6"/>
      <c r="C268" s="7">
        <f>IFERROR(VLOOKUP(B268,ชื่อสินค้า!A:C,2,FALSE),)</f>
        <v>0</v>
      </c>
      <c r="D268" s="8" t="str">
        <f>IFERROR(VLOOKUP(B268,ชื่อสินค้า!A:D,4,FALSE),"")</f>
        <v/>
      </c>
      <c r="E268" s="9"/>
      <c r="F268" s="9"/>
      <c r="G268" s="8" t="str">
        <f t="shared" si="10"/>
        <v/>
      </c>
      <c r="H268" s="10">
        <f t="shared" si="11"/>
        <v>0</v>
      </c>
      <c r="I268" s="8">
        <f>IF(G268&lt;&gt;"",E268-SUMIFS(ขายสินค้า!E:E,ขายสินค้า!G:G,H268),)</f>
        <v>0</v>
      </c>
      <c r="J268" s="11">
        <f t="shared" si="12"/>
        <v>0</v>
      </c>
      <c r="K268" s="11">
        <f>IF(B268&lt;&gt;"", IFERROR(SUMIF(ขายสินค้า!G:G,H268,ขายสินค้า!F:F)/(E268-I268),0),)</f>
        <v>0</v>
      </c>
      <c r="L268" s="12">
        <f t="shared" si="13"/>
        <v>0</v>
      </c>
      <c r="M268" s="13">
        <f t="shared" si="14"/>
        <v>0</v>
      </c>
    </row>
    <row r="269" spans="1:13">
      <c r="A269" s="14"/>
      <c r="B269" s="6"/>
      <c r="C269" s="7">
        <f>IFERROR(VLOOKUP(B269,ชื่อสินค้า!A:C,2,FALSE),)</f>
        <v>0</v>
      </c>
      <c r="D269" s="8" t="str">
        <f>IFERROR(VLOOKUP(B269,ชื่อสินค้า!A:D,4,FALSE),"")</f>
        <v/>
      </c>
      <c r="E269" s="9"/>
      <c r="F269" s="9"/>
      <c r="G269" s="8" t="str">
        <f t="shared" si="10"/>
        <v/>
      </c>
      <c r="H269" s="10">
        <f t="shared" si="11"/>
        <v>0</v>
      </c>
      <c r="I269" s="8">
        <f>IF(G269&lt;&gt;"",E269-SUMIFS(ขายสินค้า!E:E,ขายสินค้า!G:G,H269),)</f>
        <v>0</v>
      </c>
      <c r="J269" s="11">
        <f t="shared" si="12"/>
        <v>0</v>
      </c>
      <c r="K269" s="11">
        <f>IF(B269&lt;&gt;"", IFERROR(SUMIF(ขายสินค้า!G:G,H269,ขายสินค้า!F:F)/(E269-I269),0),)</f>
        <v>0</v>
      </c>
      <c r="L269" s="12">
        <f t="shared" si="13"/>
        <v>0</v>
      </c>
      <c r="M269" s="13">
        <f t="shared" si="14"/>
        <v>0</v>
      </c>
    </row>
    <row r="270" spans="1:13">
      <c r="A270" s="14"/>
      <c r="B270" s="6"/>
      <c r="C270" s="7">
        <f>IFERROR(VLOOKUP(B270,ชื่อสินค้า!A:C,2,FALSE),)</f>
        <v>0</v>
      </c>
      <c r="D270" s="8" t="str">
        <f>IFERROR(VLOOKUP(B270,ชื่อสินค้า!A:D,4,FALSE),"")</f>
        <v/>
      </c>
      <c r="E270" s="9"/>
      <c r="F270" s="9"/>
      <c r="G270" s="8" t="str">
        <f t="shared" si="10"/>
        <v/>
      </c>
      <c r="H270" s="10">
        <f t="shared" si="11"/>
        <v>0</v>
      </c>
      <c r="I270" s="8">
        <f>IF(G270&lt;&gt;"",E270-SUMIFS(ขายสินค้า!E:E,ขายสินค้า!G:G,H270),)</f>
        <v>0</v>
      </c>
      <c r="J270" s="11">
        <f t="shared" si="12"/>
        <v>0</v>
      </c>
      <c r="K270" s="11">
        <f>IF(B270&lt;&gt;"", IFERROR(SUMIF(ขายสินค้า!G:G,H270,ขายสินค้า!F:F)/(E270-I270),0),)</f>
        <v>0</v>
      </c>
      <c r="L270" s="12">
        <f t="shared" si="13"/>
        <v>0</v>
      </c>
      <c r="M270" s="13">
        <f t="shared" si="14"/>
        <v>0</v>
      </c>
    </row>
    <row r="271" spans="1:13">
      <c r="A271" s="14"/>
      <c r="B271" s="6"/>
      <c r="C271" s="7">
        <f>IFERROR(VLOOKUP(B271,ชื่อสินค้า!A:C,2,FALSE),)</f>
        <v>0</v>
      </c>
      <c r="D271" s="8" t="str">
        <f>IFERROR(VLOOKUP(B271,ชื่อสินค้า!A:D,4,FALSE),"")</f>
        <v/>
      </c>
      <c r="E271" s="9"/>
      <c r="F271" s="9"/>
      <c r="G271" s="8" t="str">
        <f t="shared" si="10"/>
        <v/>
      </c>
      <c r="H271" s="10">
        <f t="shared" si="11"/>
        <v>0</v>
      </c>
      <c r="I271" s="8">
        <f>IF(G271&lt;&gt;"",E271-SUMIFS(ขายสินค้า!E:E,ขายสินค้า!G:G,H271),)</f>
        <v>0</v>
      </c>
      <c r="J271" s="11">
        <f t="shared" si="12"/>
        <v>0</v>
      </c>
      <c r="K271" s="11">
        <f>IF(B271&lt;&gt;"", IFERROR(SUMIF(ขายสินค้า!G:G,H271,ขายสินค้า!F:F)/(E271-I271),0),)</f>
        <v>0</v>
      </c>
      <c r="L271" s="12">
        <f t="shared" si="13"/>
        <v>0</v>
      </c>
      <c r="M271" s="13">
        <f t="shared" si="14"/>
        <v>0</v>
      </c>
    </row>
    <row r="272" spans="1:13">
      <c r="A272" s="14"/>
      <c r="B272" s="6"/>
      <c r="C272" s="7">
        <f>IFERROR(VLOOKUP(B272,ชื่อสินค้า!A:C,2,FALSE),)</f>
        <v>0</v>
      </c>
      <c r="D272" s="8" t="str">
        <f>IFERROR(VLOOKUP(B272,ชื่อสินค้า!A:D,4,FALSE),"")</f>
        <v/>
      </c>
      <c r="E272" s="9"/>
      <c r="F272" s="9"/>
      <c r="G272" s="8" t="str">
        <f t="shared" si="10"/>
        <v/>
      </c>
      <c r="H272" s="10">
        <f t="shared" si="11"/>
        <v>0</v>
      </c>
      <c r="I272" s="8">
        <f>IF(G272&lt;&gt;"",E272-SUMIFS(ขายสินค้า!E:E,ขายสินค้า!G:G,H272),)</f>
        <v>0</v>
      </c>
      <c r="J272" s="11">
        <f t="shared" si="12"/>
        <v>0</v>
      </c>
      <c r="K272" s="11">
        <f>IF(B272&lt;&gt;"", IFERROR(SUMIF(ขายสินค้า!G:G,H272,ขายสินค้า!F:F)/(E272-I272),0),)</f>
        <v>0</v>
      </c>
      <c r="L272" s="12">
        <f t="shared" si="13"/>
        <v>0</v>
      </c>
      <c r="M272" s="13">
        <f t="shared" si="14"/>
        <v>0</v>
      </c>
    </row>
    <row r="273" spans="1:13">
      <c r="A273" s="14"/>
      <c r="B273" s="6"/>
      <c r="C273" s="7">
        <f>IFERROR(VLOOKUP(B273,ชื่อสินค้า!A:C,2,FALSE),)</f>
        <v>0</v>
      </c>
      <c r="D273" s="8" t="str">
        <f>IFERROR(VLOOKUP(B273,ชื่อสินค้า!A:D,4,FALSE),"")</f>
        <v/>
      </c>
      <c r="E273" s="9"/>
      <c r="F273" s="9"/>
      <c r="G273" s="8" t="str">
        <f t="shared" si="10"/>
        <v/>
      </c>
      <c r="H273" s="10">
        <f t="shared" si="11"/>
        <v>0</v>
      </c>
      <c r="I273" s="8">
        <f>IF(G273&lt;&gt;"",E273-SUMIFS(ขายสินค้า!E:E,ขายสินค้า!G:G,H273),)</f>
        <v>0</v>
      </c>
      <c r="J273" s="11">
        <f t="shared" si="12"/>
        <v>0</v>
      </c>
      <c r="K273" s="11">
        <f>IF(B273&lt;&gt;"", IFERROR(SUMIF(ขายสินค้า!G:G,H273,ขายสินค้า!F:F)/(E273-I273),0),)</f>
        <v>0</v>
      </c>
      <c r="L273" s="12">
        <f t="shared" si="13"/>
        <v>0</v>
      </c>
      <c r="M273" s="13">
        <f t="shared" si="14"/>
        <v>0</v>
      </c>
    </row>
    <row r="274" spans="1:13">
      <c r="A274" s="14"/>
      <c r="B274" s="6"/>
      <c r="C274" s="7">
        <f>IFERROR(VLOOKUP(B274,ชื่อสินค้า!A:C,2,FALSE),)</f>
        <v>0</v>
      </c>
      <c r="D274" s="8" t="str">
        <f>IFERROR(VLOOKUP(B274,ชื่อสินค้า!A:D,4,FALSE),"")</f>
        <v/>
      </c>
      <c r="E274" s="9"/>
      <c r="F274" s="9"/>
      <c r="G274" s="8" t="str">
        <f t="shared" si="10"/>
        <v/>
      </c>
      <c r="H274" s="10">
        <f t="shared" si="11"/>
        <v>0</v>
      </c>
      <c r="I274" s="8">
        <f>IF(G274&lt;&gt;"",E274-SUMIFS(ขายสินค้า!E:E,ขายสินค้า!G:G,H274),)</f>
        <v>0</v>
      </c>
      <c r="J274" s="11">
        <f t="shared" si="12"/>
        <v>0</v>
      </c>
      <c r="K274" s="11">
        <f>IF(B274&lt;&gt;"", IFERROR(SUMIF(ขายสินค้า!G:G,H274,ขายสินค้า!F:F)/(E274-I274),0),)</f>
        <v>0</v>
      </c>
      <c r="L274" s="12">
        <f t="shared" si="13"/>
        <v>0</v>
      </c>
      <c r="M274" s="13">
        <f t="shared" si="14"/>
        <v>0</v>
      </c>
    </row>
    <row r="275" spans="1:13">
      <c r="A275" s="14"/>
      <c r="B275" s="6"/>
      <c r="C275" s="7">
        <f>IFERROR(VLOOKUP(B275,ชื่อสินค้า!A:C,2,FALSE),)</f>
        <v>0</v>
      </c>
      <c r="D275" s="8" t="str">
        <f>IFERROR(VLOOKUP(B275,ชื่อสินค้า!A:D,4,FALSE),"")</f>
        <v/>
      </c>
      <c r="E275" s="9"/>
      <c r="F275" s="9"/>
      <c r="G275" s="8" t="str">
        <f t="shared" si="10"/>
        <v/>
      </c>
      <c r="H275" s="10">
        <f t="shared" si="11"/>
        <v>0</v>
      </c>
      <c r="I275" s="8">
        <f>IF(G275&lt;&gt;"",E275-SUMIFS(ขายสินค้า!E:E,ขายสินค้า!G:G,H275),)</f>
        <v>0</v>
      </c>
      <c r="J275" s="11">
        <f t="shared" si="12"/>
        <v>0</v>
      </c>
      <c r="K275" s="11">
        <f>IF(B275&lt;&gt;"", IFERROR(SUMIF(ขายสินค้า!G:G,H275,ขายสินค้า!F:F)/(E275-I275),0),)</f>
        <v>0</v>
      </c>
      <c r="L275" s="12">
        <f t="shared" si="13"/>
        <v>0</v>
      </c>
      <c r="M275" s="13">
        <f t="shared" si="14"/>
        <v>0</v>
      </c>
    </row>
    <row r="276" spans="1:13">
      <c r="A276" s="14"/>
      <c r="B276" s="6"/>
      <c r="C276" s="7">
        <f>IFERROR(VLOOKUP(B276,ชื่อสินค้า!A:C,2,FALSE),)</f>
        <v>0</v>
      </c>
      <c r="D276" s="8" t="str">
        <f>IFERROR(VLOOKUP(B276,ชื่อสินค้า!A:D,4,FALSE),"")</f>
        <v/>
      </c>
      <c r="E276" s="9"/>
      <c r="F276" s="9"/>
      <c r="G276" s="8" t="str">
        <f t="shared" si="10"/>
        <v/>
      </c>
      <c r="H276" s="10">
        <f t="shared" si="11"/>
        <v>0</v>
      </c>
      <c r="I276" s="8">
        <f>IF(G276&lt;&gt;"",E276-SUMIFS(ขายสินค้า!E:E,ขายสินค้า!G:G,H276),)</f>
        <v>0</v>
      </c>
      <c r="J276" s="11">
        <f t="shared" si="12"/>
        <v>0</v>
      </c>
      <c r="K276" s="11">
        <f>IF(B276&lt;&gt;"", IFERROR(SUMIF(ขายสินค้า!G:G,H276,ขายสินค้า!F:F)/(E276-I276),0),)</f>
        <v>0</v>
      </c>
      <c r="L276" s="12">
        <f t="shared" si="13"/>
        <v>0</v>
      </c>
      <c r="M276" s="13">
        <f t="shared" si="14"/>
        <v>0</v>
      </c>
    </row>
    <row r="277" spans="1:13">
      <c r="A277" s="14"/>
      <c r="B277" s="6"/>
      <c r="C277" s="7">
        <f>IFERROR(VLOOKUP(B277,ชื่อสินค้า!A:C,2,FALSE),)</f>
        <v>0</v>
      </c>
      <c r="D277" s="8" t="str">
        <f>IFERROR(VLOOKUP(B277,ชื่อสินค้า!A:D,4,FALSE),"")</f>
        <v/>
      </c>
      <c r="E277" s="9"/>
      <c r="F277" s="9"/>
      <c r="G277" s="8" t="str">
        <f t="shared" si="10"/>
        <v/>
      </c>
      <c r="H277" s="10">
        <f t="shared" si="11"/>
        <v>0</v>
      </c>
      <c r="I277" s="8">
        <f>IF(G277&lt;&gt;"",E277-SUMIFS(ขายสินค้า!E:E,ขายสินค้า!G:G,H277),)</f>
        <v>0</v>
      </c>
      <c r="J277" s="11">
        <f t="shared" si="12"/>
        <v>0</v>
      </c>
      <c r="K277" s="11">
        <f>IF(B277&lt;&gt;"", IFERROR(SUMIF(ขายสินค้า!G:G,H277,ขายสินค้า!F:F)/(E277-I277),0),)</f>
        <v>0</v>
      </c>
      <c r="L277" s="12">
        <f t="shared" si="13"/>
        <v>0</v>
      </c>
      <c r="M277" s="13">
        <f t="shared" si="14"/>
        <v>0</v>
      </c>
    </row>
    <row r="278" spans="1:13">
      <c r="A278" s="14"/>
      <c r="B278" s="6"/>
      <c r="C278" s="7">
        <f>IFERROR(VLOOKUP(B278,ชื่อสินค้า!A:C,2,FALSE),)</f>
        <v>0</v>
      </c>
      <c r="D278" s="8" t="str">
        <f>IFERROR(VLOOKUP(B278,ชื่อสินค้า!A:D,4,FALSE),"")</f>
        <v/>
      </c>
      <c r="E278" s="9"/>
      <c r="F278" s="9"/>
      <c r="G278" s="8" t="str">
        <f t="shared" si="10"/>
        <v/>
      </c>
      <c r="H278" s="10">
        <f t="shared" si="11"/>
        <v>0</v>
      </c>
      <c r="I278" s="8">
        <f>IF(G278&lt;&gt;"",E278-SUMIFS(ขายสินค้า!E:E,ขายสินค้า!G:G,H278),)</f>
        <v>0</v>
      </c>
      <c r="J278" s="11">
        <f t="shared" si="12"/>
        <v>0</v>
      </c>
      <c r="K278" s="11">
        <f>IF(B278&lt;&gt;"", IFERROR(SUMIF(ขายสินค้า!G:G,H278,ขายสินค้า!F:F)/(E278-I278),0),)</f>
        <v>0</v>
      </c>
      <c r="L278" s="12">
        <f t="shared" si="13"/>
        <v>0</v>
      </c>
      <c r="M278" s="13">
        <f t="shared" si="14"/>
        <v>0</v>
      </c>
    </row>
    <row r="279" spans="1:13">
      <c r="A279" s="14"/>
      <c r="B279" s="6"/>
      <c r="C279" s="7">
        <f>IFERROR(VLOOKUP(B279,ชื่อสินค้า!A:C,2,FALSE),)</f>
        <v>0</v>
      </c>
      <c r="D279" s="8" t="str">
        <f>IFERROR(VLOOKUP(B279,ชื่อสินค้า!A:D,4,FALSE),"")</f>
        <v/>
      </c>
      <c r="E279" s="9"/>
      <c r="F279" s="9"/>
      <c r="G279" s="8" t="str">
        <f t="shared" si="10"/>
        <v/>
      </c>
      <c r="H279" s="10">
        <f t="shared" si="11"/>
        <v>0</v>
      </c>
      <c r="I279" s="8">
        <f>IF(G279&lt;&gt;"",E279-SUMIFS(ขายสินค้า!E:E,ขายสินค้า!G:G,H279),)</f>
        <v>0</v>
      </c>
      <c r="J279" s="11">
        <f t="shared" si="12"/>
        <v>0</v>
      </c>
      <c r="K279" s="11">
        <f>IF(B279&lt;&gt;"", IFERROR(SUMIF(ขายสินค้า!G:G,H279,ขายสินค้า!F:F)/(E279-I279),0),)</f>
        <v>0</v>
      </c>
      <c r="L279" s="12">
        <f t="shared" si="13"/>
        <v>0</v>
      </c>
      <c r="M279" s="13">
        <f t="shared" si="14"/>
        <v>0</v>
      </c>
    </row>
    <row r="280" spans="1:13">
      <c r="A280" s="14"/>
      <c r="B280" s="6"/>
      <c r="C280" s="7">
        <f>IFERROR(VLOOKUP(B280,ชื่อสินค้า!A:C,2,FALSE),)</f>
        <v>0</v>
      </c>
      <c r="D280" s="8" t="str">
        <f>IFERROR(VLOOKUP(B280,ชื่อสินค้า!A:D,4,FALSE),"")</f>
        <v/>
      </c>
      <c r="E280" s="9"/>
      <c r="F280" s="9"/>
      <c r="G280" s="8" t="str">
        <f t="shared" si="10"/>
        <v/>
      </c>
      <c r="H280" s="10">
        <f t="shared" si="11"/>
        <v>0</v>
      </c>
      <c r="I280" s="8">
        <f>IF(G280&lt;&gt;"",E280-SUMIFS(ขายสินค้า!E:E,ขายสินค้า!G:G,H280),)</f>
        <v>0</v>
      </c>
      <c r="J280" s="11">
        <f t="shared" si="12"/>
        <v>0</v>
      </c>
      <c r="K280" s="11">
        <f>IF(B280&lt;&gt;"", IFERROR(SUMIF(ขายสินค้า!G:G,H280,ขายสินค้า!F:F)/(E280-I280),0),)</f>
        <v>0</v>
      </c>
      <c r="L280" s="12">
        <f t="shared" si="13"/>
        <v>0</v>
      </c>
      <c r="M280" s="13">
        <f t="shared" si="14"/>
        <v>0</v>
      </c>
    </row>
    <row r="281" spans="1:13">
      <c r="A281" s="14"/>
      <c r="B281" s="6"/>
      <c r="C281" s="7">
        <f>IFERROR(VLOOKUP(B281,ชื่อสินค้า!A:C,2,FALSE),)</f>
        <v>0</v>
      </c>
      <c r="D281" s="8" t="str">
        <f>IFERROR(VLOOKUP(B281,ชื่อสินค้า!A:D,4,FALSE),"")</f>
        <v/>
      </c>
      <c r="E281" s="9"/>
      <c r="F281" s="9"/>
      <c r="G281" s="8" t="str">
        <f t="shared" si="10"/>
        <v/>
      </c>
      <c r="H281" s="10">
        <f t="shared" si="11"/>
        <v>0</v>
      </c>
      <c r="I281" s="8">
        <f>IF(G281&lt;&gt;"",E281-SUMIFS(ขายสินค้า!E:E,ขายสินค้า!G:G,H281),)</f>
        <v>0</v>
      </c>
      <c r="J281" s="11">
        <f t="shared" si="12"/>
        <v>0</v>
      </c>
      <c r="K281" s="11">
        <f>IF(B281&lt;&gt;"", IFERROR(SUMIF(ขายสินค้า!G:G,H281,ขายสินค้า!F:F)/(E281-I281),0),)</f>
        <v>0</v>
      </c>
      <c r="L281" s="12">
        <f t="shared" si="13"/>
        <v>0</v>
      </c>
      <c r="M281" s="13">
        <f t="shared" si="14"/>
        <v>0</v>
      </c>
    </row>
    <row r="282" spans="1:13">
      <c r="A282" s="14"/>
      <c r="B282" s="6"/>
      <c r="C282" s="7">
        <f>IFERROR(VLOOKUP(B282,ชื่อสินค้า!A:C,2,FALSE),)</f>
        <v>0</v>
      </c>
      <c r="D282" s="8" t="str">
        <f>IFERROR(VLOOKUP(B282,ชื่อสินค้า!A:D,4,FALSE),"")</f>
        <v/>
      </c>
      <c r="E282" s="9"/>
      <c r="F282" s="9"/>
      <c r="G282" s="8" t="str">
        <f t="shared" si="10"/>
        <v/>
      </c>
      <c r="H282" s="10">
        <f t="shared" si="11"/>
        <v>0</v>
      </c>
      <c r="I282" s="8">
        <f>IF(G282&lt;&gt;"",E282-SUMIFS(ขายสินค้า!E:E,ขายสินค้า!G:G,H282),)</f>
        <v>0</v>
      </c>
      <c r="J282" s="11">
        <f t="shared" si="12"/>
        <v>0</v>
      </c>
      <c r="K282" s="11">
        <f>IF(B282&lt;&gt;"", IFERROR(SUMIF(ขายสินค้า!G:G,H282,ขายสินค้า!F:F)/(E282-I282),0),)</f>
        <v>0</v>
      </c>
      <c r="L282" s="12">
        <f t="shared" si="13"/>
        <v>0</v>
      </c>
      <c r="M282" s="13">
        <f t="shared" si="14"/>
        <v>0</v>
      </c>
    </row>
    <row r="283" spans="1:13">
      <c r="A283" s="14"/>
      <c r="B283" s="6"/>
      <c r="C283" s="7">
        <f>IFERROR(VLOOKUP(B283,ชื่อสินค้า!A:C,2,FALSE),)</f>
        <v>0</v>
      </c>
      <c r="D283" s="8" t="str">
        <f>IFERROR(VLOOKUP(B283,ชื่อสินค้า!A:D,4,FALSE),"")</f>
        <v/>
      </c>
      <c r="E283" s="9"/>
      <c r="F283" s="9"/>
      <c r="G283" s="8" t="str">
        <f t="shared" si="10"/>
        <v/>
      </c>
      <c r="H283" s="10">
        <f t="shared" si="11"/>
        <v>0</v>
      </c>
      <c r="I283" s="8">
        <f>IF(G283&lt;&gt;"",E283-SUMIFS(ขายสินค้า!E:E,ขายสินค้า!G:G,H283),)</f>
        <v>0</v>
      </c>
      <c r="J283" s="11">
        <f t="shared" si="12"/>
        <v>0</v>
      </c>
      <c r="K283" s="11">
        <f>IF(B283&lt;&gt;"", IFERROR(SUMIF(ขายสินค้า!G:G,H283,ขายสินค้า!F:F)/(E283-I283),0),)</f>
        <v>0</v>
      </c>
      <c r="L283" s="12">
        <f t="shared" si="13"/>
        <v>0</v>
      </c>
      <c r="M283" s="13">
        <f t="shared" si="14"/>
        <v>0</v>
      </c>
    </row>
    <row r="284" spans="1:13">
      <c r="A284" s="14"/>
      <c r="B284" s="6"/>
      <c r="C284" s="7">
        <f>IFERROR(VLOOKUP(B284,ชื่อสินค้า!A:C,2,FALSE),)</f>
        <v>0</v>
      </c>
      <c r="D284" s="8" t="str">
        <f>IFERROR(VLOOKUP(B284,ชื่อสินค้า!A:D,4,FALSE),"")</f>
        <v/>
      </c>
      <c r="E284" s="9"/>
      <c r="F284" s="9"/>
      <c r="G284" s="8" t="str">
        <f t="shared" si="10"/>
        <v/>
      </c>
      <c r="H284" s="10">
        <f t="shared" si="11"/>
        <v>0</v>
      </c>
      <c r="I284" s="8">
        <f>IF(G284&lt;&gt;"",E284-SUMIFS(ขายสินค้า!E:E,ขายสินค้า!G:G,H284),)</f>
        <v>0</v>
      </c>
      <c r="J284" s="11">
        <f t="shared" si="12"/>
        <v>0</v>
      </c>
      <c r="K284" s="11">
        <f>IF(B284&lt;&gt;"", IFERROR(SUMIF(ขายสินค้า!G:G,H284,ขายสินค้า!F:F)/(E284-I284),0),)</f>
        <v>0</v>
      </c>
      <c r="L284" s="12">
        <f t="shared" si="13"/>
        <v>0</v>
      </c>
      <c r="M284" s="13">
        <f t="shared" si="14"/>
        <v>0</v>
      </c>
    </row>
    <row r="285" spans="1:13">
      <c r="A285" s="14"/>
      <c r="B285" s="6"/>
      <c r="C285" s="7">
        <f>IFERROR(VLOOKUP(B285,ชื่อสินค้า!A:C,2,FALSE),)</f>
        <v>0</v>
      </c>
      <c r="D285" s="8" t="str">
        <f>IFERROR(VLOOKUP(B285,ชื่อสินค้า!A:D,4,FALSE),"")</f>
        <v/>
      </c>
      <c r="E285" s="9"/>
      <c r="F285" s="9"/>
      <c r="G285" s="8" t="str">
        <f t="shared" si="10"/>
        <v/>
      </c>
      <c r="H285" s="10">
        <f t="shared" si="11"/>
        <v>0</v>
      </c>
      <c r="I285" s="8">
        <f>IF(G285&lt;&gt;"",E285-SUMIFS(ขายสินค้า!E:E,ขายสินค้า!G:G,H285),)</f>
        <v>0</v>
      </c>
      <c r="J285" s="11">
        <f t="shared" si="12"/>
        <v>0</v>
      </c>
      <c r="K285" s="11">
        <f>IF(B285&lt;&gt;"", IFERROR(SUMIF(ขายสินค้า!G:G,H285,ขายสินค้า!F:F)/(E285-I285),0),)</f>
        <v>0</v>
      </c>
      <c r="L285" s="12">
        <f t="shared" si="13"/>
        <v>0</v>
      </c>
      <c r="M285" s="13">
        <f t="shared" si="14"/>
        <v>0</v>
      </c>
    </row>
    <row r="286" spans="1:13">
      <c r="A286" s="14"/>
      <c r="B286" s="6"/>
      <c r="C286" s="7">
        <f>IFERROR(VLOOKUP(B286,ชื่อสินค้า!A:C,2,FALSE),)</f>
        <v>0</v>
      </c>
      <c r="D286" s="8" t="str">
        <f>IFERROR(VLOOKUP(B286,ชื่อสินค้า!A:D,4,FALSE),"")</f>
        <v/>
      </c>
      <c r="E286" s="9"/>
      <c r="F286" s="9"/>
      <c r="G286" s="8" t="str">
        <f t="shared" si="10"/>
        <v/>
      </c>
      <c r="H286" s="10">
        <f t="shared" si="11"/>
        <v>0</v>
      </c>
      <c r="I286" s="8">
        <f>IF(G286&lt;&gt;"",E286-SUMIFS(ขายสินค้า!E:E,ขายสินค้า!G:G,H286),)</f>
        <v>0</v>
      </c>
      <c r="J286" s="11">
        <f t="shared" si="12"/>
        <v>0</v>
      </c>
      <c r="K286" s="11">
        <f>IF(B286&lt;&gt;"", IFERROR(SUMIF(ขายสินค้า!G:G,H286,ขายสินค้า!F:F)/(E286-I286),0),)</f>
        <v>0</v>
      </c>
      <c r="L286" s="12">
        <f t="shared" si="13"/>
        <v>0</v>
      </c>
      <c r="M286" s="13">
        <f t="shared" si="14"/>
        <v>0</v>
      </c>
    </row>
    <row r="287" spans="1:13">
      <c r="A287" s="14"/>
      <c r="B287" s="6"/>
      <c r="C287" s="7">
        <f>IFERROR(VLOOKUP(B287,ชื่อสินค้า!A:C,2,FALSE),)</f>
        <v>0</v>
      </c>
      <c r="D287" s="8" t="str">
        <f>IFERROR(VLOOKUP(B287,ชื่อสินค้า!A:D,4,FALSE),"")</f>
        <v/>
      </c>
      <c r="E287" s="9"/>
      <c r="F287" s="9"/>
      <c r="G287" s="8" t="str">
        <f t="shared" si="10"/>
        <v/>
      </c>
      <c r="H287" s="10">
        <f t="shared" si="11"/>
        <v>0</v>
      </c>
      <c r="I287" s="8">
        <f>IF(G287&lt;&gt;"",E287-SUMIFS(ขายสินค้า!E:E,ขายสินค้า!G:G,H287),)</f>
        <v>0</v>
      </c>
      <c r="J287" s="11">
        <f t="shared" si="12"/>
        <v>0</v>
      </c>
      <c r="K287" s="11">
        <f>IF(B287&lt;&gt;"", IFERROR(SUMIF(ขายสินค้า!G:G,H287,ขายสินค้า!F:F)/(E287-I287),0),)</f>
        <v>0</v>
      </c>
      <c r="L287" s="12">
        <f t="shared" si="13"/>
        <v>0</v>
      </c>
      <c r="M287" s="13">
        <f t="shared" si="14"/>
        <v>0</v>
      </c>
    </row>
    <row r="288" spans="1:13">
      <c r="A288" s="14"/>
      <c r="B288" s="6"/>
      <c r="C288" s="7">
        <f>IFERROR(VLOOKUP(B288,ชื่อสินค้า!A:C,2,FALSE),)</f>
        <v>0</v>
      </c>
      <c r="D288" s="8" t="str">
        <f>IFERROR(VLOOKUP(B288,ชื่อสินค้า!A:D,4,FALSE),"")</f>
        <v/>
      </c>
      <c r="E288" s="9"/>
      <c r="F288" s="9"/>
      <c r="G288" s="8" t="str">
        <f t="shared" si="10"/>
        <v/>
      </c>
      <c r="H288" s="10">
        <f t="shared" si="11"/>
        <v>0</v>
      </c>
      <c r="I288" s="8">
        <f>IF(G288&lt;&gt;"",E288-SUMIFS(ขายสินค้า!E:E,ขายสินค้า!G:G,H288),)</f>
        <v>0</v>
      </c>
      <c r="J288" s="11">
        <f t="shared" si="12"/>
        <v>0</v>
      </c>
      <c r="K288" s="11">
        <f>IF(B288&lt;&gt;"", IFERROR(SUMIF(ขายสินค้า!G:G,H288,ขายสินค้า!F:F)/(E288-I288),0),)</f>
        <v>0</v>
      </c>
      <c r="L288" s="12">
        <f t="shared" si="13"/>
        <v>0</v>
      </c>
      <c r="M288" s="13">
        <f t="shared" si="14"/>
        <v>0</v>
      </c>
    </row>
    <row r="289" spans="1:13">
      <c r="A289" s="14"/>
      <c r="B289" s="6"/>
      <c r="C289" s="7">
        <f>IFERROR(VLOOKUP(B289,ชื่อสินค้า!A:C,2,FALSE),)</f>
        <v>0</v>
      </c>
      <c r="D289" s="8" t="str">
        <f>IFERROR(VLOOKUP(B289,ชื่อสินค้า!A:D,4,FALSE),"")</f>
        <v/>
      </c>
      <c r="E289" s="9"/>
      <c r="F289" s="9"/>
      <c r="G289" s="8" t="str">
        <f t="shared" si="10"/>
        <v/>
      </c>
      <c r="H289" s="10">
        <f t="shared" si="11"/>
        <v>0</v>
      </c>
      <c r="I289" s="8">
        <f>IF(G289&lt;&gt;"",E289-SUMIFS(ขายสินค้า!E:E,ขายสินค้า!G:G,H289),)</f>
        <v>0</v>
      </c>
      <c r="J289" s="11">
        <f t="shared" si="12"/>
        <v>0</v>
      </c>
      <c r="K289" s="11">
        <f>IF(B289&lt;&gt;"", IFERROR(SUMIF(ขายสินค้า!G:G,H289,ขายสินค้า!F:F)/(E289-I289),0),)</f>
        <v>0</v>
      </c>
      <c r="L289" s="12">
        <f t="shared" si="13"/>
        <v>0</v>
      </c>
      <c r="M289" s="13">
        <f t="shared" si="14"/>
        <v>0</v>
      </c>
    </row>
    <row r="290" spans="1:13">
      <c r="A290" s="14"/>
      <c r="B290" s="6"/>
      <c r="C290" s="7">
        <f>IFERROR(VLOOKUP(B290,ชื่อสินค้า!A:C,2,FALSE),)</f>
        <v>0</v>
      </c>
      <c r="D290" s="8" t="str">
        <f>IFERROR(VLOOKUP(B290,ชื่อสินค้า!A:D,4,FALSE),"")</f>
        <v/>
      </c>
      <c r="E290" s="9"/>
      <c r="F290" s="9"/>
      <c r="G290" s="8" t="str">
        <f t="shared" si="10"/>
        <v/>
      </c>
      <c r="H290" s="10">
        <f t="shared" si="11"/>
        <v>0</v>
      </c>
      <c r="I290" s="8">
        <f>IF(G290&lt;&gt;"",E290-SUMIFS(ขายสินค้า!E:E,ขายสินค้า!G:G,H290),)</f>
        <v>0</v>
      </c>
      <c r="J290" s="11">
        <f t="shared" si="12"/>
        <v>0</v>
      </c>
      <c r="K290" s="11">
        <f>IF(B290&lt;&gt;"", IFERROR(SUMIF(ขายสินค้า!G:G,H290,ขายสินค้า!F:F)/(E290-I290),0),)</f>
        <v>0</v>
      </c>
      <c r="L290" s="12">
        <f t="shared" si="13"/>
        <v>0</v>
      </c>
      <c r="M290" s="13">
        <f t="shared" si="14"/>
        <v>0</v>
      </c>
    </row>
    <row r="291" spans="1:13">
      <c r="A291" s="14"/>
      <c r="B291" s="6"/>
      <c r="C291" s="7">
        <f>IFERROR(VLOOKUP(B291,ชื่อสินค้า!A:C,2,FALSE),)</f>
        <v>0</v>
      </c>
      <c r="D291" s="8" t="str">
        <f>IFERROR(VLOOKUP(B291,ชื่อสินค้า!A:D,4,FALSE),"")</f>
        <v/>
      </c>
      <c r="E291" s="9"/>
      <c r="F291" s="9"/>
      <c r="G291" s="8" t="str">
        <f t="shared" si="10"/>
        <v/>
      </c>
      <c r="H291" s="10">
        <f t="shared" si="11"/>
        <v>0</v>
      </c>
      <c r="I291" s="8">
        <f>IF(G291&lt;&gt;"",E291-SUMIFS(ขายสินค้า!E:E,ขายสินค้า!G:G,H291),)</f>
        <v>0</v>
      </c>
      <c r="J291" s="11">
        <f t="shared" si="12"/>
        <v>0</v>
      </c>
      <c r="K291" s="11">
        <f>IF(B291&lt;&gt;"", IFERROR(SUMIF(ขายสินค้า!G:G,H291,ขายสินค้า!F:F)/(E291-I291),0),)</f>
        <v>0</v>
      </c>
      <c r="L291" s="12">
        <f t="shared" si="13"/>
        <v>0</v>
      </c>
      <c r="M291" s="13">
        <f t="shared" si="14"/>
        <v>0</v>
      </c>
    </row>
    <row r="292" spans="1:13">
      <c r="A292" s="14"/>
      <c r="B292" s="6"/>
      <c r="C292" s="7">
        <f>IFERROR(VLOOKUP(B292,ชื่อสินค้า!A:C,2,FALSE),)</f>
        <v>0</v>
      </c>
      <c r="D292" s="8" t="str">
        <f>IFERROR(VLOOKUP(B292,ชื่อสินค้า!A:D,4,FALSE),"")</f>
        <v/>
      </c>
      <c r="E292" s="9"/>
      <c r="F292" s="9"/>
      <c r="G292" s="8" t="str">
        <f t="shared" si="10"/>
        <v/>
      </c>
      <c r="H292" s="10">
        <f t="shared" si="11"/>
        <v>0</v>
      </c>
      <c r="I292" s="8">
        <f>IF(G292&lt;&gt;"",E292-SUMIFS(ขายสินค้า!E:E,ขายสินค้า!G:G,H292),)</f>
        <v>0</v>
      </c>
      <c r="J292" s="11">
        <f t="shared" si="12"/>
        <v>0</v>
      </c>
      <c r="K292" s="11">
        <f>IF(B292&lt;&gt;"", IFERROR(SUMIF(ขายสินค้า!G:G,H292,ขายสินค้า!F:F)/(E292-I292),0),)</f>
        <v>0</v>
      </c>
      <c r="L292" s="12">
        <f t="shared" si="13"/>
        <v>0</v>
      </c>
      <c r="M292" s="13">
        <f t="shared" si="14"/>
        <v>0</v>
      </c>
    </row>
    <row r="293" spans="1:13">
      <c r="A293" s="14"/>
      <c r="B293" s="6"/>
      <c r="C293" s="7">
        <f>IFERROR(VLOOKUP(B293,ชื่อสินค้า!A:C,2,FALSE),)</f>
        <v>0</v>
      </c>
      <c r="D293" s="8" t="str">
        <f>IFERROR(VLOOKUP(B293,ชื่อสินค้า!A:D,4,FALSE),"")</f>
        <v/>
      </c>
      <c r="E293" s="9"/>
      <c r="F293" s="9"/>
      <c r="G293" s="8" t="str">
        <f t="shared" si="10"/>
        <v/>
      </c>
      <c r="H293" s="10">
        <f t="shared" si="11"/>
        <v>0</v>
      </c>
      <c r="I293" s="8">
        <f>IF(G293&lt;&gt;"",E293-SUMIFS(ขายสินค้า!E:E,ขายสินค้า!G:G,H293),)</f>
        <v>0</v>
      </c>
      <c r="J293" s="11">
        <f t="shared" si="12"/>
        <v>0</v>
      </c>
      <c r="K293" s="11">
        <f>IF(B293&lt;&gt;"", IFERROR(SUMIF(ขายสินค้า!G:G,H293,ขายสินค้า!F:F)/(E293-I293),0),)</f>
        <v>0</v>
      </c>
      <c r="L293" s="12">
        <f t="shared" si="13"/>
        <v>0</v>
      </c>
      <c r="M293" s="13">
        <f t="shared" si="14"/>
        <v>0</v>
      </c>
    </row>
    <row r="294" spans="1:13">
      <c r="A294" s="14"/>
      <c r="B294" s="6"/>
      <c r="C294" s="7">
        <f>IFERROR(VLOOKUP(B294,ชื่อสินค้า!A:C,2,FALSE),)</f>
        <v>0</v>
      </c>
      <c r="D294" s="8" t="str">
        <f>IFERROR(VLOOKUP(B294,ชื่อสินค้า!A:D,4,FALSE),"")</f>
        <v/>
      </c>
      <c r="E294" s="9"/>
      <c r="F294" s="9"/>
      <c r="G294" s="8" t="str">
        <f t="shared" si="10"/>
        <v/>
      </c>
      <c r="H294" s="10">
        <f t="shared" si="11"/>
        <v>0</v>
      </c>
      <c r="I294" s="8">
        <f>IF(G294&lt;&gt;"",E294-SUMIFS(ขายสินค้า!E:E,ขายสินค้า!G:G,H294),)</f>
        <v>0</v>
      </c>
      <c r="J294" s="11">
        <f t="shared" si="12"/>
        <v>0</v>
      </c>
      <c r="K294" s="11">
        <f>IF(B294&lt;&gt;"", IFERROR(SUMIF(ขายสินค้า!G:G,H294,ขายสินค้า!F:F)/(E294-I294),0),)</f>
        <v>0</v>
      </c>
      <c r="L294" s="12">
        <f t="shared" si="13"/>
        <v>0</v>
      </c>
      <c r="M294" s="13">
        <f t="shared" si="14"/>
        <v>0</v>
      </c>
    </row>
    <row r="295" spans="1:13">
      <c r="A295" s="14"/>
      <c r="B295" s="6"/>
      <c r="C295" s="7">
        <f>IFERROR(VLOOKUP(B295,ชื่อสินค้า!A:C,2,FALSE),)</f>
        <v>0</v>
      </c>
      <c r="D295" s="8" t="str">
        <f>IFERROR(VLOOKUP(B295,ชื่อสินค้า!A:D,4,FALSE),"")</f>
        <v/>
      </c>
      <c r="E295" s="9"/>
      <c r="F295" s="9"/>
      <c r="G295" s="8" t="str">
        <f t="shared" si="10"/>
        <v/>
      </c>
      <c r="H295" s="10">
        <f t="shared" si="11"/>
        <v>0</v>
      </c>
      <c r="I295" s="8">
        <f>IF(G295&lt;&gt;"",E295-SUMIFS(ขายสินค้า!E:E,ขายสินค้า!G:G,H295),)</f>
        <v>0</v>
      </c>
      <c r="J295" s="11">
        <f t="shared" si="12"/>
        <v>0</v>
      </c>
      <c r="K295" s="11">
        <f>IF(B295&lt;&gt;"", IFERROR(SUMIF(ขายสินค้า!G:G,H295,ขายสินค้า!F:F)/(E295-I295),0),)</f>
        <v>0</v>
      </c>
      <c r="L295" s="12">
        <f t="shared" si="13"/>
        <v>0</v>
      </c>
      <c r="M295" s="13">
        <f t="shared" si="14"/>
        <v>0</v>
      </c>
    </row>
    <row r="296" spans="1:13">
      <c r="A296" s="14"/>
      <c r="B296" s="6"/>
      <c r="C296" s="7">
        <f>IFERROR(VLOOKUP(B296,ชื่อสินค้า!A:C,2,FALSE),)</f>
        <v>0</v>
      </c>
      <c r="D296" s="8" t="str">
        <f>IFERROR(VLOOKUP(B296,ชื่อสินค้า!A:D,4,FALSE),"")</f>
        <v/>
      </c>
      <c r="E296" s="9"/>
      <c r="F296" s="9"/>
      <c r="G296" s="8" t="str">
        <f t="shared" si="10"/>
        <v/>
      </c>
      <c r="H296" s="10">
        <f t="shared" si="11"/>
        <v>0</v>
      </c>
      <c r="I296" s="8">
        <f>IF(G296&lt;&gt;"",E296-SUMIFS(ขายสินค้า!E:E,ขายสินค้า!G:G,H296),)</f>
        <v>0</v>
      </c>
      <c r="J296" s="11">
        <f t="shared" si="12"/>
        <v>0</v>
      </c>
      <c r="K296" s="11">
        <f>IF(B296&lt;&gt;"", IFERROR(SUMIF(ขายสินค้า!G:G,H296,ขายสินค้า!F:F)/(E296-I296),0),)</f>
        <v>0</v>
      </c>
      <c r="L296" s="12">
        <f t="shared" si="13"/>
        <v>0</v>
      </c>
      <c r="M296" s="13">
        <f t="shared" si="14"/>
        <v>0</v>
      </c>
    </row>
    <row r="297" spans="1:13">
      <c r="A297" s="14"/>
      <c r="B297" s="6"/>
      <c r="C297" s="7">
        <f>IFERROR(VLOOKUP(B297,ชื่อสินค้า!A:C,2,FALSE),)</f>
        <v>0</v>
      </c>
      <c r="D297" s="8" t="str">
        <f>IFERROR(VLOOKUP(B297,ชื่อสินค้า!A:D,4,FALSE),"")</f>
        <v/>
      </c>
      <c r="E297" s="9"/>
      <c r="F297" s="9"/>
      <c r="G297" s="8" t="str">
        <f t="shared" si="10"/>
        <v/>
      </c>
      <c r="H297" s="10">
        <f t="shared" si="11"/>
        <v>0</v>
      </c>
      <c r="I297" s="8">
        <f>IF(G297&lt;&gt;"",E297-SUMIFS(ขายสินค้า!E:E,ขายสินค้า!G:G,H297),)</f>
        <v>0</v>
      </c>
      <c r="J297" s="11">
        <f t="shared" si="12"/>
        <v>0</v>
      </c>
      <c r="K297" s="11">
        <f>IF(B297&lt;&gt;"", IFERROR(SUMIF(ขายสินค้า!G:G,H297,ขายสินค้า!F:F)/(E297-I297),0),)</f>
        <v>0</v>
      </c>
      <c r="L297" s="12">
        <f t="shared" si="13"/>
        <v>0</v>
      </c>
      <c r="M297" s="13">
        <f t="shared" si="14"/>
        <v>0</v>
      </c>
    </row>
    <row r="298" spans="1:13">
      <c r="A298" s="14"/>
      <c r="B298" s="6"/>
      <c r="C298" s="7">
        <f>IFERROR(VLOOKUP(B298,ชื่อสินค้า!A:C,2,FALSE),)</f>
        <v>0</v>
      </c>
      <c r="D298" s="8" t="str">
        <f>IFERROR(VLOOKUP(B298,ชื่อสินค้า!A:D,4,FALSE),"")</f>
        <v/>
      </c>
      <c r="E298" s="9"/>
      <c r="F298" s="9"/>
      <c r="G298" s="8" t="str">
        <f t="shared" si="10"/>
        <v/>
      </c>
      <c r="H298" s="10">
        <f t="shared" si="11"/>
        <v>0</v>
      </c>
      <c r="I298" s="8">
        <f>IF(G298&lt;&gt;"",E298-SUMIFS(ขายสินค้า!E:E,ขายสินค้า!G:G,H298),)</f>
        <v>0</v>
      </c>
      <c r="J298" s="11">
        <f t="shared" si="12"/>
        <v>0</v>
      </c>
      <c r="K298" s="11">
        <f>IF(B298&lt;&gt;"", IFERROR(SUMIF(ขายสินค้า!G:G,H298,ขายสินค้า!F:F)/(E298-I298),0),)</f>
        <v>0</v>
      </c>
      <c r="L298" s="12">
        <f t="shared" si="13"/>
        <v>0</v>
      </c>
      <c r="M298" s="13">
        <f t="shared" si="14"/>
        <v>0</v>
      </c>
    </row>
    <row r="299" spans="1:13">
      <c r="A299" s="14"/>
      <c r="B299" s="6"/>
      <c r="C299" s="7">
        <f>IFERROR(VLOOKUP(B299,ชื่อสินค้า!A:C,2,FALSE),)</f>
        <v>0</v>
      </c>
      <c r="D299" s="8" t="str">
        <f>IFERROR(VLOOKUP(B299,ชื่อสินค้า!A:D,4,FALSE),"")</f>
        <v/>
      </c>
      <c r="E299" s="9"/>
      <c r="F299" s="9"/>
      <c r="G299" s="8" t="str">
        <f t="shared" si="10"/>
        <v/>
      </c>
      <c r="H299" s="10">
        <f t="shared" si="11"/>
        <v>0</v>
      </c>
      <c r="I299" s="8">
        <f>IF(G299&lt;&gt;"",E299-SUMIFS(ขายสินค้า!E:E,ขายสินค้า!G:G,H299),)</f>
        <v>0</v>
      </c>
      <c r="J299" s="11">
        <f t="shared" si="12"/>
        <v>0</v>
      </c>
      <c r="K299" s="11">
        <f>IF(B299&lt;&gt;"", IFERROR(SUMIF(ขายสินค้า!G:G,H299,ขายสินค้า!F:F)/(E299-I299),0),)</f>
        <v>0</v>
      </c>
      <c r="L299" s="12">
        <f t="shared" si="13"/>
        <v>0</v>
      </c>
      <c r="M299" s="13">
        <f t="shared" si="14"/>
        <v>0</v>
      </c>
    </row>
    <row r="300" spans="1:13">
      <c r="A300" s="14"/>
      <c r="B300" s="6"/>
      <c r="C300" s="7">
        <f>IFERROR(VLOOKUP(B300,ชื่อสินค้า!A:C,2,FALSE),)</f>
        <v>0</v>
      </c>
      <c r="D300" s="8" t="str">
        <f>IFERROR(VLOOKUP(B300,ชื่อสินค้า!A:D,4,FALSE),"")</f>
        <v/>
      </c>
      <c r="E300" s="9"/>
      <c r="F300" s="9"/>
      <c r="G300" s="8" t="str">
        <f t="shared" si="10"/>
        <v/>
      </c>
      <c r="H300" s="10">
        <f t="shared" si="11"/>
        <v>0</v>
      </c>
      <c r="I300" s="8">
        <f>IF(G300&lt;&gt;"",E300-SUMIFS(ขายสินค้า!E:E,ขายสินค้า!G:G,H300),)</f>
        <v>0</v>
      </c>
      <c r="J300" s="11">
        <f t="shared" si="12"/>
        <v>0</v>
      </c>
      <c r="K300" s="11">
        <f>IF(B300&lt;&gt;"", IFERROR(SUMIF(ขายสินค้า!G:G,H300,ขายสินค้า!F:F)/(E300-I300),0),)</f>
        <v>0</v>
      </c>
      <c r="L300" s="12">
        <f t="shared" si="13"/>
        <v>0</v>
      </c>
      <c r="M300" s="13">
        <f t="shared" si="14"/>
        <v>0</v>
      </c>
    </row>
    <row r="301" spans="1:13">
      <c r="A301" s="14"/>
      <c r="B301" s="6"/>
      <c r="C301" s="7">
        <f>IFERROR(VLOOKUP(B301,ชื่อสินค้า!A:C,2,FALSE),)</f>
        <v>0</v>
      </c>
      <c r="D301" s="8" t="str">
        <f>IFERROR(VLOOKUP(B301,ชื่อสินค้า!A:D,4,FALSE),"")</f>
        <v/>
      </c>
      <c r="E301" s="9"/>
      <c r="F301" s="9"/>
      <c r="G301" s="8" t="str">
        <f t="shared" si="10"/>
        <v/>
      </c>
      <c r="H301" s="10">
        <f t="shared" si="11"/>
        <v>0</v>
      </c>
      <c r="I301" s="8">
        <f>IF(G301&lt;&gt;"",E301-SUMIFS(ขายสินค้า!E:E,ขายสินค้า!G:G,H301),)</f>
        <v>0</v>
      </c>
      <c r="J301" s="11">
        <f t="shared" si="12"/>
        <v>0</v>
      </c>
      <c r="K301" s="11">
        <f>IF(B301&lt;&gt;"", IFERROR(SUMIF(ขายสินค้า!G:G,H301,ขายสินค้า!F:F)/(E301-I301),0),)</f>
        <v>0</v>
      </c>
      <c r="L301" s="12">
        <f t="shared" si="13"/>
        <v>0</v>
      </c>
      <c r="M301" s="13">
        <f t="shared" si="14"/>
        <v>0</v>
      </c>
    </row>
    <row r="302" spans="1:13">
      <c r="A302" s="14"/>
      <c r="B302" s="6"/>
      <c r="C302" s="7">
        <f>IFERROR(VLOOKUP(B302,ชื่อสินค้า!A:C,2,FALSE),)</f>
        <v>0</v>
      </c>
      <c r="D302" s="8" t="str">
        <f>IFERROR(VLOOKUP(B302,ชื่อสินค้า!A:D,4,FALSE),"")</f>
        <v/>
      </c>
      <c r="E302" s="9"/>
      <c r="F302" s="9"/>
      <c r="G302" s="8" t="str">
        <f t="shared" si="10"/>
        <v/>
      </c>
      <c r="H302" s="10">
        <f t="shared" si="11"/>
        <v>0</v>
      </c>
      <c r="I302" s="8">
        <f>IF(G302&lt;&gt;"",E302-SUMIFS(ขายสินค้า!E:E,ขายสินค้า!G:G,H302),)</f>
        <v>0</v>
      </c>
      <c r="J302" s="11">
        <f t="shared" si="12"/>
        <v>0</v>
      </c>
      <c r="K302" s="11">
        <f>IF(B302&lt;&gt;"", IFERROR(SUMIF(ขายสินค้า!G:G,H302,ขายสินค้า!F:F)/(E302-I302),0),)</f>
        <v>0</v>
      </c>
      <c r="L302" s="12">
        <f t="shared" si="13"/>
        <v>0</v>
      </c>
      <c r="M302" s="13">
        <f t="shared" si="14"/>
        <v>0</v>
      </c>
    </row>
    <row r="303" spans="1:13">
      <c r="A303" s="14"/>
      <c r="B303" s="6"/>
      <c r="C303" s="7">
        <f>IFERROR(VLOOKUP(B303,ชื่อสินค้า!A:C,2,FALSE),)</f>
        <v>0</v>
      </c>
      <c r="D303" s="8" t="str">
        <f>IFERROR(VLOOKUP(B303,ชื่อสินค้า!A:D,4,FALSE),"")</f>
        <v/>
      </c>
      <c r="E303" s="9"/>
      <c r="F303" s="9"/>
      <c r="G303" s="8" t="str">
        <f t="shared" si="10"/>
        <v/>
      </c>
      <c r="H303" s="10">
        <f t="shared" si="11"/>
        <v>0</v>
      </c>
      <c r="I303" s="8">
        <f>IF(G303&lt;&gt;"",E303-SUMIFS(ขายสินค้า!E:E,ขายสินค้า!G:G,H303),)</f>
        <v>0</v>
      </c>
      <c r="J303" s="11">
        <f t="shared" si="12"/>
        <v>0</v>
      </c>
      <c r="K303" s="11">
        <f>IF(B303&lt;&gt;"", IFERROR(SUMIF(ขายสินค้า!G:G,H303,ขายสินค้า!F:F)/(E303-I303),0),)</f>
        <v>0</v>
      </c>
      <c r="L303" s="12">
        <f t="shared" si="13"/>
        <v>0</v>
      </c>
      <c r="M303" s="13">
        <f t="shared" si="14"/>
        <v>0</v>
      </c>
    </row>
    <row r="304" spans="1:13">
      <c r="A304" s="14"/>
      <c r="B304" s="6"/>
      <c r="C304" s="7">
        <f>IFERROR(VLOOKUP(B304,ชื่อสินค้า!A:C,2,FALSE),)</f>
        <v>0</v>
      </c>
      <c r="D304" s="8" t="str">
        <f>IFERROR(VLOOKUP(B304,ชื่อสินค้า!A:D,4,FALSE),"")</f>
        <v/>
      </c>
      <c r="E304" s="9"/>
      <c r="F304" s="9"/>
      <c r="G304" s="8" t="str">
        <f t="shared" si="10"/>
        <v/>
      </c>
      <c r="H304" s="10">
        <f t="shared" si="11"/>
        <v>0</v>
      </c>
      <c r="I304" s="8">
        <f>IF(G304&lt;&gt;"",E304-SUMIFS(ขายสินค้า!E:E,ขายสินค้า!G:G,H304),)</f>
        <v>0</v>
      </c>
      <c r="J304" s="11">
        <f t="shared" si="12"/>
        <v>0</v>
      </c>
      <c r="K304" s="11">
        <f>IF(B304&lt;&gt;"", IFERROR(SUMIF(ขายสินค้า!G:G,H304,ขายสินค้า!F:F)/(E304-I304),0),)</f>
        <v>0</v>
      </c>
      <c r="L304" s="12">
        <f t="shared" si="13"/>
        <v>0</v>
      </c>
      <c r="M304" s="13">
        <f t="shared" si="14"/>
        <v>0</v>
      </c>
    </row>
    <row r="305" spans="1:13">
      <c r="A305" s="14"/>
      <c r="B305" s="6"/>
      <c r="C305" s="7">
        <f>IFERROR(VLOOKUP(B305,ชื่อสินค้า!A:C,2,FALSE),)</f>
        <v>0</v>
      </c>
      <c r="D305" s="8" t="str">
        <f>IFERROR(VLOOKUP(B305,ชื่อสินค้า!A:D,4,FALSE),"")</f>
        <v/>
      </c>
      <c r="E305" s="9"/>
      <c r="F305" s="9"/>
      <c r="G305" s="8" t="str">
        <f t="shared" si="10"/>
        <v/>
      </c>
      <c r="H305" s="10">
        <f t="shared" si="11"/>
        <v>0</v>
      </c>
      <c r="I305" s="8">
        <f>IF(G305&lt;&gt;"",E305-SUMIFS(ขายสินค้า!E:E,ขายสินค้า!G:G,H305),)</f>
        <v>0</v>
      </c>
      <c r="J305" s="11">
        <f t="shared" si="12"/>
        <v>0</v>
      </c>
      <c r="K305" s="11">
        <f>IF(B305&lt;&gt;"", IFERROR(SUMIF(ขายสินค้า!G:G,H305,ขายสินค้า!F:F)/(E305-I305),0),)</f>
        <v>0</v>
      </c>
      <c r="L305" s="12">
        <f t="shared" si="13"/>
        <v>0</v>
      </c>
      <c r="M305" s="13">
        <f t="shared" si="14"/>
        <v>0</v>
      </c>
    </row>
    <row r="306" spans="1:13">
      <c r="A306" s="14"/>
      <c r="B306" s="6"/>
      <c r="C306" s="7">
        <f>IFERROR(VLOOKUP(B306,ชื่อสินค้า!A:C,2,FALSE),)</f>
        <v>0</v>
      </c>
      <c r="D306" s="8" t="str">
        <f>IFERROR(VLOOKUP(B306,ชื่อสินค้า!A:D,4,FALSE),"")</f>
        <v/>
      </c>
      <c r="E306" s="9"/>
      <c r="F306" s="9"/>
      <c r="G306" s="8" t="str">
        <f t="shared" si="10"/>
        <v/>
      </c>
      <c r="H306" s="10">
        <f t="shared" si="11"/>
        <v>0</v>
      </c>
      <c r="I306" s="8">
        <f>IF(G306&lt;&gt;"",E306-SUMIFS(ขายสินค้า!E:E,ขายสินค้า!G:G,H306),)</f>
        <v>0</v>
      </c>
      <c r="J306" s="11">
        <f t="shared" si="12"/>
        <v>0</v>
      </c>
      <c r="K306" s="11">
        <f>IF(B306&lt;&gt;"", IFERROR(SUMIF(ขายสินค้า!G:G,H306,ขายสินค้า!F:F)/(E306-I306),0),)</f>
        <v>0</v>
      </c>
      <c r="L306" s="12">
        <f t="shared" si="13"/>
        <v>0</v>
      </c>
      <c r="M306" s="13">
        <f t="shared" si="14"/>
        <v>0</v>
      </c>
    </row>
    <row r="307" spans="1:13">
      <c r="A307" s="14"/>
      <c r="B307" s="6"/>
      <c r="C307" s="7">
        <f>IFERROR(VLOOKUP(B307,ชื่อสินค้า!A:C,2,FALSE),)</f>
        <v>0</v>
      </c>
      <c r="D307" s="8" t="str">
        <f>IFERROR(VLOOKUP(B307,ชื่อสินค้า!A:D,4,FALSE),"")</f>
        <v/>
      </c>
      <c r="E307" s="9"/>
      <c r="F307" s="9"/>
      <c r="G307" s="8" t="str">
        <f t="shared" si="10"/>
        <v/>
      </c>
      <c r="H307" s="10">
        <f t="shared" si="11"/>
        <v>0</v>
      </c>
      <c r="I307" s="8">
        <f>IF(G307&lt;&gt;"",E307-SUMIFS(ขายสินค้า!E:E,ขายสินค้า!G:G,H307),)</f>
        <v>0</v>
      </c>
      <c r="J307" s="11">
        <f t="shared" si="12"/>
        <v>0</v>
      </c>
      <c r="K307" s="11">
        <f>IF(B307&lt;&gt;"", IFERROR(SUMIF(ขายสินค้า!G:G,H307,ขายสินค้า!F:F)/(E307-I307),0),)</f>
        <v>0</v>
      </c>
      <c r="L307" s="12">
        <f t="shared" si="13"/>
        <v>0</v>
      </c>
      <c r="M307" s="13">
        <f t="shared" si="14"/>
        <v>0</v>
      </c>
    </row>
    <row r="308" spans="1:13">
      <c r="A308" s="14"/>
      <c r="B308" s="6"/>
      <c r="C308" s="7">
        <f>IFERROR(VLOOKUP(B308,ชื่อสินค้า!A:C,2,FALSE),)</f>
        <v>0</v>
      </c>
      <c r="D308" s="8" t="str">
        <f>IFERROR(VLOOKUP(B308,ชื่อสินค้า!A:D,4,FALSE),"")</f>
        <v/>
      </c>
      <c r="E308" s="9"/>
      <c r="F308" s="9"/>
      <c r="G308" s="8" t="str">
        <f t="shared" si="10"/>
        <v/>
      </c>
      <c r="H308" s="10">
        <f t="shared" si="11"/>
        <v>0</v>
      </c>
      <c r="I308" s="8">
        <f>IF(G308&lt;&gt;"",E308-SUMIFS(ขายสินค้า!E:E,ขายสินค้า!G:G,H308),)</f>
        <v>0</v>
      </c>
      <c r="J308" s="11">
        <f t="shared" si="12"/>
        <v>0</v>
      </c>
      <c r="K308" s="11">
        <f>IF(B308&lt;&gt;"", IFERROR(SUMIF(ขายสินค้า!G:G,H308,ขายสินค้า!F:F)/(E308-I308),0),)</f>
        <v>0</v>
      </c>
      <c r="L308" s="12">
        <f t="shared" si="13"/>
        <v>0</v>
      </c>
      <c r="M308" s="13">
        <f t="shared" si="14"/>
        <v>0</v>
      </c>
    </row>
    <row r="309" spans="1:13">
      <c r="A309" s="14"/>
      <c r="B309" s="6"/>
      <c r="C309" s="7">
        <f>IFERROR(VLOOKUP(B309,ชื่อสินค้า!A:C,2,FALSE),)</f>
        <v>0</v>
      </c>
      <c r="D309" s="8" t="str">
        <f>IFERROR(VLOOKUP(B309,ชื่อสินค้า!A:D,4,FALSE),"")</f>
        <v/>
      </c>
      <c r="E309" s="9"/>
      <c r="F309" s="9"/>
      <c r="G309" s="8" t="str">
        <f t="shared" si="10"/>
        <v/>
      </c>
      <c r="H309" s="10">
        <f t="shared" si="11"/>
        <v>0</v>
      </c>
      <c r="I309" s="8">
        <f>IF(G309&lt;&gt;"",E309-SUMIFS(ขายสินค้า!E:E,ขายสินค้า!G:G,H309),)</f>
        <v>0</v>
      </c>
      <c r="J309" s="11">
        <f t="shared" si="12"/>
        <v>0</v>
      </c>
      <c r="K309" s="11">
        <f>IF(B309&lt;&gt;"", IFERROR(SUMIF(ขายสินค้า!G:G,H309,ขายสินค้า!F:F)/(E309-I309),0),)</f>
        <v>0</v>
      </c>
      <c r="L309" s="12">
        <f t="shared" si="13"/>
        <v>0</v>
      </c>
      <c r="M309" s="13">
        <f t="shared" si="14"/>
        <v>0</v>
      </c>
    </row>
    <row r="310" spans="1:13">
      <c r="A310" s="14"/>
      <c r="B310" s="6"/>
      <c r="C310" s="7">
        <f>IFERROR(VLOOKUP(B310,ชื่อสินค้า!A:C,2,FALSE),)</f>
        <v>0</v>
      </c>
      <c r="D310" s="8" t="str">
        <f>IFERROR(VLOOKUP(B310,ชื่อสินค้า!A:D,4,FALSE),"")</f>
        <v/>
      </c>
      <c r="E310" s="9"/>
      <c r="F310" s="9"/>
      <c r="G310" s="8" t="str">
        <f t="shared" si="10"/>
        <v/>
      </c>
      <c r="H310" s="10">
        <f t="shared" si="11"/>
        <v>0</v>
      </c>
      <c r="I310" s="8">
        <f>IF(G310&lt;&gt;"",E310-SUMIFS(ขายสินค้า!E:E,ขายสินค้า!G:G,H310),)</f>
        <v>0</v>
      </c>
      <c r="J310" s="11">
        <f t="shared" si="12"/>
        <v>0</v>
      </c>
      <c r="K310" s="11">
        <f>IF(B310&lt;&gt;"", IFERROR(SUMIF(ขายสินค้า!G:G,H310,ขายสินค้า!F:F)/(E310-I310),0),)</f>
        <v>0</v>
      </c>
      <c r="L310" s="12">
        <f t="shared" si="13"/>
        <v>0</v>
      </c>
      <c r="M310" s="13">
        <f t="shared" si="14"/>
        <v>0</v>
      </c>
    </row>
    <row r="311" spans="1:13">
      <c r="A311" s="14"/>
      <c r="B311" s="6"/>
      <c r="C311" s="7">
        <f>IFERROR(VLOOKUP(B311,ชื่อสินค้า!A:C,2,FALSE),)</f>
        <v>0</v>
      </c>
      <c r="D311" s="8" t="str">
        <f>IFERROR(VLOOKUP(B311,ชื่อสินค้า!A:D,4,FALSE),"")</f>
        <v/>
      </c>
      <c r="E311" s="9"/>
      <c r="F311" s="9"/>
      <c r="G311" s="8" t="str">
        <f t="shared" si="10"/>
        <v/>
      </c>
      <c r="H311" s="10">
        <f t="shared" si="11"/>
        <v>0</v>
      </c>
      <c r="I311" s="8">
        <f>IF(G311&lt;&gt;"",E311-SUMIFS(ขายสินค้า!E:E,ขายสินค้า!G:G,H311),)</f>
        <v>0</v>
      </c>
      <c r="J311" s="11">
        <f t="shared" si="12"/>
        <v>0</v>
      </c>
      <c r="K311" s="11">
        <f>IF(B311&lt;&gt;"", IFERROR(SUMIF(ขายสินค้า!G:G,H311,ขายสินค้า!F:F)/(E311-I311),0),)</f>
        <v>0</v>
      </c>
      <c r="L311" s="12">
        <f t="shared" si="13"/>
        <v>0</v>
      </c>
      <c r="M311" s="13">
        <f t="shared" si="14"/>
        <v>0</v>
      </c>
    </row>
    <row r="312" spans="1:13">
      <c r="A312" s="14"/>
      <c r="B312" s="6"/>
      <c r="C312" s="7">
        <f>IFERROR(VLOOKUP(B312,ชื่อสินค้า!A:C,2,FALSE),)</f>
        <v>0</v>
      </c>
      <c r="D312" s="8" t="str">
        <f>IFERROR(VLOOKUP(B312,ชื่อสินค้า!A:D,4,FALSE),"")</f>
        <v/>
      </c>
      <c r="E312" s="9"/>
      <c r="F312" s="9"/>
      <c r="G312" s="8" t="str">
        <f t="shared" si="10"/>
        <v/>
      </c>
      <c r="H312" s="10">
        <f t="shared" si="11"/>
        <v>0</v>
      </c>
      <c r="I312" s="8">
        <f>IF(G312&lt;&gt;"",E312-SUMIFS(ขายสินค้า!E:E,ขายสินค้า!G:G,H312),)</f>
        <v>0</v>
      </c>
      <c r="J312" s="11">
        <f t="shared" si="12"/>
        <v>0</v>
      </c>
      <c r="K312" s="11">
        <f>IF(B312&lt;&gt;"", IFERROR(SUMIF(ขายสินค้า!G:G,H312,ขายสินค้า!F:F)/(E312-I312),0),)</f>
        <v>0</v>
      </c>
      <c r="L312" s="12">
        <f t="shared" si="13"/>
        <v>0</v>
      </c>
      <c r="M312" s="13">
        <f t="shared" si="14"/>
        <v>0</v>
      </c>
    </row>
    <row r="313" spans="1:13">
      <c r="A313" s="14"/>
      <c r="B313" s="6"/>
      <c r="C313" s="7">
        <f>IFERROR(VLOOKUP(B313,ชื่อสินค้า!A:C,2,FALSE),)</f>
        <v>0</v>
      </c>
      <c r="D313" s="8" t="str">
        <f>IFERROR(VLOOKUP(B313,ชื่อสินค้า!A:D,4,FALSE),"")</f>
        <v/>
      </c>
      <c r="E313" s="9"/>
      <c r="F313" s="9"/>
      <c r="G313" s="8" t="str">
        <f t="shared" si="10"/>
        <v/>
      </c>
      <c r="H313" s="10">
        <f t="shared" si="11"/>
        <v>0</v>
      </c>
      <c r="I313" s="8">
        <f>IF(G313&lt;&gt;"",E313-SUMIFS(ขายสินค้า!E:E,ขายสินค้า!G:G,H313),)</f>
        <v>0</v>
      </c>
      <c r="J313" s="11">
        <f t="shared" si="12"/>
        <v>0</v>
      </c>
      <c r="K313" s="11">
        <f>IF(B313&lt;&gt;"", IFERROR(SUMIF(ขายสินค้า!G:G,H313,ขายสินค้า!F:F)/(E313-I313),0),)</f>
        <v>0</v>
      </c>
      <c r="L313" s="12">
        <f t="shared" si="13"/>
        <v>0</v>
      </c>
      <c r="M313" s="13">
        <f t="shared" si="14"/>
        <v>0</v>
      </c>
    </row>
    <row r="314" spans="1:13">
      <c r="A314" s="14"/>
      <c r="B314" s="6"/>
      <c r="C314" s="7">
        <f>IFERROR(VLOOKUP(B314,ชื่อสินค้า!A:C,2,FALSE),)</f>
        <v>0</v>
      </c>
      <c r="D314" s="8" t="str">
        <f>IFERROR(VLOOKUP(B314,ชื่อสินค้า!A:D,4,FALSE),"")</f>
        <v/>
      </c>
      <c r="E314" s="9"/>
      <c r="F314" s="9"/>
      <c r="G314" s="8" t="str">
        <f t="shared" si="10"/>
        <v/>
      </c>
      <c r="H314" s="10">
        <f t="shared" si="11"/>
        <v>0</v>
      </c>
      <c r="I314" s="8">
        <f>IF(G314&lt;&gt;"",E314-SUMIFS(ขายสินค้า!E:E,ขายสินค้า!G:G,H314),)</f>
        <v>0</v>
      </c>
      <c r="J314" s="11">
        <f t="shared" si="12"/>
        <v>0</v>
      </c>
      <c r="K314" s="11">
        <f>IF(B314&lt;&gt;"", IFERROR(SUMIF(ขายสินค้า!G:G,H314,ขายสินค้า!F:F)/(E314-I314),0),)</f>
        <v>0</v>
      </c>
      <c r="L314" s="12">
        <f t="shared" si="13"/>
        <v>0</v>
      </c>
      <c r="M314" s="13">
        <f t="shared" si="14"/>
        <v>0</v>
      </c>
    </row>
    <row r="315" spans="1:13">
      <c r="A315" s="14"/>
      <c r="B315" s="6"/>
      <c r="C315" s="7">
        <f>IFERROR(VLOOKUP(B315,ชื่อสินค้า!A:C,2,FALSE),)</f>
        <v>0</v>
      </c>
      <c r="D315" s="8" t="str">
        <f>IFERROR(VLOOKUP(B315,ชื่อสินค้า!A:D,4,FALSE),"")</f>
        <v/>
      </c>
      <c r="E315" s="9"/>
      <c r="F315" s="9"/>
      <c r="G315" s="8" t="str">
        <f t="shared" si="10"/>
        <v/>
      </c>
      <c r="H315" s="10">
        <f t="shared" si="11"/>
        <v>0</v>
      </c>
      <c r="I315" s="8">
        <f>IF(G315&lt;&gt;"",E315-SUMIFS(ขายสินค้า!E:E,ขายสินค้า!G:G,H315),)</f>
        <v>0</v>
      </c>
      <c r="J315" s="11">
        <f t="shared" si="12"/>
        <v>0</v>
      </c>
      <c r="K315" s="11">
        <f>IF(B315&lt;&gt;"", IFERROR(SUMIF(ขายสินค้า!G:G,H315,ขายสินค้า!F:F)/(E315-I315),0),)</f>
        <v>0</v>
      </c>
      <c r="L315" s="12">
        <f t="shared" si="13"/>
        <v>0</v>
      </c>
      <c r="M315" s="13">
        <f t="shared" si="14"/>
        <v>0</v>
      </c>
    </row>
    <row r="316" spans="1:13">
      <c r="A316" s="14"/>
      <c r="B316" s="6"/>
      <c r="C316" s="7">
        <f>IFERROR(VLOOKUP(B316,ชื่อสินค้า!A:C,2,FALSE),)</f>
        <v>0</v>
      </c>
      <c r="D316" s="8" t="str">
        <f>IFERROR(VLOOKUP(B316,ชื่อสินค้า!A:D,4,FALSE),"")</f>
        <v/>
      </c>
      <c r="E316" s="9"/>
      <c r="F316" s="9"/>
      <c r="G316" s="8" t="str">
        <f t="shared" si="10"/>
        <v/>
      </c>
      <c r="H316" s="10">
        <f t="shared" si="11"/>
        <v>0</v>
      </c>
      <c r="I316" s="8">
        <f>IF(G316&lt;&gt;"",E316-SUMIFS(ขายสินค้า!E:E,ขายสินค้า!G:G,H316),)</f>
        <v>0</v>
      </c>
      <c r="J316" s="11">
        <f t="shared" si="12"/>
        <v>0</v>
      </c>
      <c r="K316" s="11">
        <f>IF(B316&lt;&gt;"", IFERROR(SUMIF(ขายสินค้า!G:G,H316,ขายสินค้า!F:F)/(E316-I316),0),)</f>
        <v>0</v>
      </c>
      <c r="L316" s="12">
        <f t="shared" si="13"/>
        <v>0</v>
      </c>
      <c r="M316" s="13">
        <f t="shared" si="14"/>
        <v>0</v>
      </c>
    </row>
    <row r="317" spans="1:13">
      <c r="A317" s="14"/>
      <c r="B317" s="6"/>
      <c r="C317" s="7">
        <f>IFERROR(VLOOKUP(B317,ชื่อสินค้า!A:C,2,FALSE),)</f>
        <v>0</v>
      </c>
      <c r="D317" s="8" t="str">
        <f>IFERROR(VLOOKUP(B317,ชื่อสินค้า!A:D,4,FALSE),"")</f>
        <v/>
      </c>
      <c r="E317" s="9"/>
      <c r="F317" s="9"/>
      <c r="G317" s="8" t="str">
        <f t="shared" si="10"/>
        <v/>
      </c>
      <c r="H317" s="10">
        <f t="shared" si="11"/>
        <v>0</v>
      </c>
      <c r="I317" s="8">
        <f>IF(G317&lt;&gt;"",E317-SUMIFS(ขายสินค้า!E:E,ขายสินค้า!G:G,H317),)</f>
        <v>0</v>
      </c>
      <c r="J317" s="11">
        <f t="shared" si="12"/>
        <v>0</v>
      </c>
      <c r="K317" s="11">
        <f>IF(B317&lt;&gt;"", IFERROR(SUMIF(ขายสินค้า!G:G,H317,ขายสินค้า!F:F)/(E317-I317),0),)</f>
        <v>0</v>
      </c>
      <c r="L317" s="12">
        <f t="shared" si="13"/>
        <v>0</v>
      </c>
      <c r="M317" s="13">
        <f t="shared" si="14"/>
        <v>0</v>
      </c>
    </row>
    <row r="318" spans="1:13">
      <c r="A318" s="14"/>
      <c r="B318" s="6"/>
      <c r="C318" s="7">
        <f>IFERROR(VLOOKUP(B318,ชื่อสินค้า!A:C,2,FALSE),)</f>
        <v>0</v>
      </c>
      <c r="D318" s="8" t="str">
        <f>IFERROR(VLOOKUP(B318,ชื่อสินค้า!A:D,4,FALSE),"")</f>
        <v/>
      </c>
      <c r="E318" s="9"/>
      <c r="F318" s="9"/>
      <c r="G318" s="8" t="str">
        <f t="shared" si="10"/>
        <v/>
      </c>
      <c r="H318" s="10">
        <f t="shared" si="11"/>
        <v>0</v>
      </c>
      <c r="I318" s="8">
        <f>IF(G318&lt;&gt;"",E318-SUMIFS(ขายสินค้า!E:E,ขายสินค้า!G:G,H318),)</f>
        <v>0</v>
      </c>
      <c r="J318" s="11">
        <f t="shared" si="12"/>
        <v>0</v>
      </c>
      <c r="K318" s="11">
        <f>IF(B318&lt;&gt;"", IFERROR(SUMIF(ขายสินค้า!G:G,H318,ขายสินค้า!F:F)/(E318-I318),0),)</f>
        <v>0</v>
      </c>
      <c r="L318" s="12">
        <f t="shared" si="13"/>
        <v>0</v>
      </c>
      <c r="M318" s="13">
        <f t="shared" si="14"/>
        <v>0</v>
      </c>
    </row>
    <row r="319" spans="1:13">
      <c r="A319" s="14"/>
      <c r="B319" s="6"/>
      <c r="C319" s="7">
        <f>IFERROR(VLOOKUP(B319,ชื่อสินค้า!A:C,2,FALSE),)</f>
        <v>0</v>
      </c>
      <c r="D319" s="8" t="str">
        <f>IFERROR(VLOOKUP(B319,ชื่อสินค้า!A:D,4,FALSE),"")</f>
        <v/>
      </c>
      <c r="E319" s="9"/>
      <c r="F319" s="9"/>
      <c r="G319" s="8" t="str">
        <f t="shared" si="10"/>
        <v/>
      </c>
      <c r="H319" s="10">
        <f t="shared" si="11"/>
        <v>0</v>
      </c>
      <c r="I319" s="8">
        <f>IF(G319&lt;&gt;"",E319-SUMIFS(ขายสินค้า!E:E,ขายสินค้า!G:G,H319),)</f>
        <v>0</v>
      </c>
      <c r="J319" s="11">
        <f t="shared" si="12"/>
        <v>0</v>
      </c>
      <c r="K319" s="11">
        <f>IF(B319&lt;&gt;"", IFERROR(SUMIF(ขายสินค้า!G:G,H319,ขายสินค้า!F:F)/(E319-I319),0),)</f>
        <v>0</v>
      </c>
      <c r="L319" s="12">
        <f t="shared" si="13"/>
        <v>0</v>
      </c>
      <c r="M319" s="13">
        <f t="shared" si="14"/>
        <v>0</v>
      </c>
    </row>
    <row r="320" spans="1:13">
      <c r="A320" s="14"/>
      <c r="B320" s="6"/>
      <c r="C320" s="7">
        <f>IFERROR(VLOOKUP(B320,ชื่อสินค้า!A:C,2,FALSE),)</f>
        <v>0</v>
      </c>
      <c r="D320" s="8" t="str">
        <f>IFERROR(VLOOKUP(B320,ชื่อสินค้า!A:D,4,FALSE),"")</f>
        <v/>
      </c>
      <c r="E320" s="9"/>
      <c r="F320" s="9"/>
      <c r="G320" s="8" t="str">
        <f t="shared" si="10"/>
        <v/>
      </c>
      <c r="H320" s="10">
        <f t="shared" si="11"/>
        <v>0</v>
      </c>
      <c r="I320" s="8">
        <f>IF(G320&lt;&gt;"",E320-SUMIFS(ขายสินค้า!E:E,ขายสินค้า!G:G,H320),)</f>
        <v>0</v>
      </c>
      <c r="J320" s="11">
        <f t="shared" si="12"/>
        <v>0</v>
      </c>
      <c r="K320" s="11">
        <f>IF(B320&lt;&gt;"", IFERROR(SUMIF(ขายสินค้า!G:G,H320,ขายสินค้า!F:F)/(E320-I320),0),)</f>
        <v>0</v>
      </c>
      <c r="L320" s="12">
        <f t="shared" si="13"/>
        <v>0</v>
      </c>
      <c r="M320" s="13">
        <f t="shared" si="14"/>
        <v>0</v>
      </c>
    </row>
    <row r="321" spans="1:13">
      <c r="A321" s="14"/>
      <c r="B321" s="6"/>
      <c r="C321" s="7">
        <f>IFERROR(VLOOKUP(B321,ชื่อสินค้า!A:C,2,FALSE),)</f>
        <v>0</v>
      </c>
      <c r="D321" s="8" t="str">
        <f>IFERROR(VLOOKUP(B321,ชื่อสินค้า!A:D,4,FALSE),"")</f>
        <v/>
      </c>
      <c r="E321" s="9"/>
      <c r="F321" s="9"/>
      <c r="G321" s="8" t="str">
        <f t="shared" si="10"/>
        <v/>
      </c>
      <c r="H321" s="10">
        <f t="shared" si="11"/>
        <v>0</v>
      </c>
      <c r="I321" s="8">
        <f>IF(G321&lt;&gt;"",E321-SUMIFS(ขายสินค้า!E:E,ขายสินค้า!G:G,H321),)</f>
        <v>0</v>
      </c>
      <c r="J321" s="11">
        <f t="shared" si="12"/>
        <v>0</v>
      </c>
      <c r="K321" s="11">
        <f>IF(B321&lt;&gt;"", IFERROR(SUMIF(ขายสินค้า!G:G,H321,ขายสินค้า!F:F)/(E321-I321),0),)</f>
        <v>0</v>
      </c>
      <c r="L321" s="12">
        <f t="shared" si="13"/>
        <v>0</v>
      </c>
      <c r="M321" s="13">
        <f t="shared" si="14"/>
        <v>0</v>
      </c>
    </row>
    <row r="322" spans="1:13">
      <c r="A322" s="14"/>
      <c r="B322" s="6"/>
      <c r="C322" s="7">
        <f>IFERROR(VLOOKUP(B322,ชื่อสินค้า!A:C,2,FALSE),)</f>
        <v>0</v>
      </c>
      <c r="D322" s="8" t="str">
        <f>IFERROR(VLOOKUP(B322,ชื่อสินค้า!A:D,4,FALSE),"")</f>
        <v/>
      </c>
      <c r="E322" s="9"/>
      <c r="F322" s="9"/>
      <c r="G322" s="8" t="str">
        <f t="shared" si="10"/>
        <v/>
      </c>
      <c r="H322" s="10">
        <f t="shared" si="11"/>
        <v>0</v>
      </c>
      <c r="I322" s="8">
        <f>IF(G322&lt;&gt;"",E322-SUMIFS(ขายสินค้า!E:E,ขายสินค้า!G:G,H322),)</f>
        <v>0</v>
      </c>
      <c r="J322" s="11">
        <f t="shared" si="12"/>
        <v>0</v>
      </c>
      <c r="K322" s="11">
        <f>IF(B322&lt;&gt;"", IFERROR(SUMIF(ขายสินค้า!G:G,H322,ขายสินค้า!F:F)/(E322-I322),0),)</f>
        <v>0</v>
      </c>
      <c r="L322" s="12">
        <f t="shared" si="13"/>
        <v>0</v>
      </c>
      <c r="M322" s="13">
        <f t="shared" si="14"/>
        <v>0</v>
      </c>
    </row>
    <row r="323" spans="1:13">
      <c r="A323" s="14"/>
      <c r="B323" s="6"/>
      <c r="C323" s="7">
        <f>IFERROR(VLOOKUP(B323,ชื่อสินค้า!A:C,2,FALSE),)</f>
        <v>0</v>
      </c>
      <c r="D323" s="8" t="str">
        <f>IFERROR(VLOOKUP(B323,ชื่อสินค้า!A:D,4,FALSE),"")</f>
        <v/>
      </c>
      <c r="E323" s="9"/>
      <c r="F323" s="9"/>
      <c r="G323" s="8" t="str">
        <f t="shared" si="10"/>
        <v/>
      </c>
      <c r="H323" s="10">
        <f t="shared" si="11"/>
        <v>0</v>
      </c>
      <c r="I323" s="8">
        <f>IF(G323&lt;&gt;"",E323-SUMIFS(ขายสินค้า!E:E,ขายสินค้า!G:G,H323),)</f>
        <v>0</v>
      </c>
      <c r="J323" s="11">
        <f t="shared" si="12"/>
        <v>0</v>
      </c>
      <c r="K323" s="11">
        <f>IF(B323&lt;&gt;"", IFERROR(SUMIF(ขายสินค้า!G:G,H323,ขายสินค้า!F:F)/(E323-I323),0),)</f>
        <v>0</v>
      </c>
      <c r="L323" s="12">
        <f t="shared" si="13"/>
        <v>0</v>
      </c>
      <c r="M323" s="13">
        <f t="shared" si="14"/>
        <v>0</v>
      </c>
    </row>
    <row r="324" spans="1:13">
      <c r="A324" s="14"/>
      <c r="B324" s="6"/>
      <c r="C324" s="7">
        <f>IFERROR(VLOOKUP(B324,ชื่อสินค้า!A:C,2,FALSE),)</f>
        <v>0</v>
      </c>
      <c r="D324" s="8" t="str">
        <f>IFERROR(VLOOKUP(B324,ชื่อสินค้า!A:D,4,FALSE),"")</f>
        <v/>
      </c>
      <c r="E324" s="9"/>
      <c r="F324" s="9"/>
      <c r="G324" s="8" t="str">
        <f t="shared" si="10"/>
        <v/>
      </c>
      <c r="H324" s="10">
        <f t="shared" si="11"/>
        <v>0</v>
      </c>
      <c r="I324" s="8">
        <f>IF(G324&lt;&gt;"",E324-SUMIFS(ขายสินค้า!E:E,ขายสินค้า!G:G,H324),)</f>
        <v>0</v>
      </c>
      <c r="J324" s="11">
        <f t="shared" si="12"/>
        <v>0</v>
      </c>
      <c r="K324" s="11">
        <f>IF(B324&lt;&gt;"", IFERROR(SUMIF(ขายสินค้า!G:G,H324,ขายสินค้า!F:F)/(E324-I324),0),)</f>
        <v>0</v>
      </c>
      <c r="L324" s="12">
        <f t="shared" si="13"/>
        <v>0</v>
      </c>
      <c r="M324" s="13">
        <f t="shared" si="14"/>
        <v>0</v>
      </c>
    </row>
    <row r="325" spans="1:13">
      <c r="A325" s="14"/>
      <c r="B325" s="6"/>
      <c r="C325" s="7">
        <f>IFERROR(VLOOKUP(B325,ชื่อสินค้า!A:C,2,FALSE),)</f>
        <v>0</v>
      </c>
      <c r="D325" s="8" t="str">
        <f>IFERROR(VLOOKUP(B325,ชื่อสินค้า!A:D,4,FALSE),"")</f>
        <v/>
      </c>
      <c r="E325" s="9"/>
      <c r="F325" s="9"/>
      <c r="G325" s="8" t="str">
        <f t="shared" si="10"/>
        <v/>
      </c>
      <c r="H325" s="10">
        <f t="shared" si="11"/>
        <v>0</v>
      </c>
      <c r="I325" s="8">
        <f>IF(G325&lt;&gt;"",E325-SUMIFS(ขายสินค้า!E:E,ขายสินค้า!G:G,H325),)</f>
        <v>0</v>
      </c>
      <c r="J325" s="11">
        <f t="shared" si="12"/>
        <v>0</v>
      </c>
      <c r="K325" s="11">
        <f>IF(B325&lt;&gt;"", IFERROR(SUMIF(ขายสินค้า!G:G,H325,ขายสินค้า!F:F)/(E325-I325),0),)</f>
        <v>0</v>
      </c>
      <c r="L325" s="12">
        <f t="shared" si="13"/>
        <v>0</v>
      </c>
      <c r="M325" s="13">
        <f t="shared" si="14"/>
        <v>0</v>
      </c>
    </row>
    <row r="326" spans="1:13">
      <c r="A326" s="14"/>
      <c r="B326" s="6"/>
      <c r="C326" s="7">
        <f>IFERROR(VLOOKUP(B326,ชื่อสินค้า!A:C,2,FALSE),)</f>
        <v>0</v>
      </c>
      <c r="D326" s="8" t="str">
        <f>IFERROR(VLOOKUP(B326,ชื่อสินค้า!A:D,4,FALSE),"")</f>
        <v/>
      </c>
      <c r="E326" s="9"/>
      <c r="F326" s="9"/>
      <c r="G326" s="8" t="str">
        <f t="shared" si="10"/>
        <v/>
      </c>
      <c r="H326" s="10">
        <f t="shared" si="11"/>
        <v>0</v>
      </c>
      <c r="I326" s="8">
        <f>IF(G326&lt;&gt;"",E326-SUMIFS(ขายสินค้า!E:E,ขายสินค้า!G:G,H326),)</f>
        <v>0</v>
      </c>
      <c r="J326" s="11">
        <f t="shared" si="12"/>
        <v>0</v>
      </c>
      <c r="K326" s="11">
        <f>IF(B326&lt;&gt;"", IFERROR(SUMIF(ขายสินค้า!G:G,H326,ขายสินค้า!F:F)/(E326-I326),0),)</f>
        <v>0</v>
      </c>
      <c r="L326" s="12">
        <f t="shared" si="13"/>
        <v>0</v>
      </c>
      <c r="M326" s="13">
        <f t="shared" si="14"/>
        <v>0</v>
      </c>
    </row>
    <row r="327" spans="1:13">
      <c r="A327" s="14"/>
      <c r="B327" s="6"/>
      <c r="C327" s="7">
        <f>IFERROR(VLOOKUP(B327,ชื่อสินค้า!A:C,2,FALSE),)</f>
        <v>0</v>
      </c>
      <c r="D327" s="8" t="str">
        <f>IFERROR(VLOOKUP(B327,ชื่อสินค้า!A:D,4,FALSE),"")</f>
        <v/>
      </c>
      <c r="E327" s="9"/>
      <c r="F327" s="9"/>
      <c r="G327" s="8" t="str">
        <f t="shared" si="10"/>
        <v/>
      </c>
      <c r="H327" s="10">
        <f t="shared" si="11"/>
        <v>0</v>
      </c>
      <c r="I327" s="8">
        <f>IF(G327&lt;&gt;"",E327-SUMIFS(ขายสินค้า!E:E,ขายสินค้า!G:G,H327),)</f>
        <v>0</v>
      </c>
      <c r="J327" s="11">
        <f t="shared" si="12"/>
        <v>0</v>
      </c>
      <c r="K327" s="11">
        <f>IF(B327&lt;&gt;"", IFERROR(SUMIF(ขายสินค้า!G:G,H327,ขายสินค้า!F:F)/(E327-I327),0),)</f>
        <v>0</v>
      </c>
      <c r="L327" s="12">
        <f t="shared" si="13"/>
        <v>0</v>
      </c>
      <c r="M327" s="13">
        <f t="shared" si="14"/>
        <v>0</v>
      </c>
    </row>
    <row r="328" spans="1:13">
      <c r="A328" s="14"/>
      <c r="B328" s="6"/>
      <c r="C328" s="7">
        <f>IFERROR(VLOOKUP(B328,ชื่อสินค้า!A:C,2,FALSE),)</f>
        <v>0</v>
      </c>
      <c r="D328" s="8" t="str">
        <f>IFERROR(VLOOKUP(B328,ชื่อสินค้า!A:D,4,FALSE),"")</f>
        <v/>
      </c>
      <c r="E328" s="9"/>
      <c r="F328" s="9"/>
      <c r="G328" s="8" t="str">
        <f t="shared" si="10"/>
        <v/>
      </c>
      <c r="H328" s="10">
        <f t="shared" si="11"/>
        <v>0</v>
      </c>
      <c r="I328" s="8">
        <f>IF(G328&lt;&gt;"",E328-SUMIFS(ขายสินค้า!E:E,ขายสินค้า!G:G,H328),)</f>
        <v>0</v>
      </c>
      <c r="J328" s="11">
        <f t="shared" si="12"/>
        <v>0</v>
      </c>
      <c r="K328" s="11">
        <f>IF(B328&lt;&gt;"", IFERROR(SUMIF(ขายสินค้า!G:G,H328,ขายสินค้า!F:F)/(E328-I328),0),)</f>
        <v>0</v>
      </c>
      <c r="L328" s="12">
        <f t="shared" si="13"/>
        <v>0</v>
      </c>
      <c r="M328" s="13">
        <f t="shared" si="14"/>
        <v>0</v>
      </c>
    </row>
    <row r="329" spans="1:13">
      <c r="A329" s="14"/>
      <c r="B329" s="6"/>
      <c r="C329" s="7">
        <f>IFERROR(VLOOKUP(B329,ชื่อสินค้า!A:C,2,FALSE),)</f>
        <v>0</v>
      </c>
      <c r="D329" s="8" t="str">
        <f>IFERROR(VLOOKUP(B329,ชื่อสินค้า!A:D,4,FALSE),"")</f>
        <v/>
      </c>
      <c r="E329" s="9"/>
      <c r="F329" s="9"/>
      <c r="G329" s="8" t="str">
        <f t="shared" si="10"/>
        <v/>
      </c>
      <c r="H329" s="10">
        <f t="shared" si="11"/>
        <v>0</v>
      </c>
      <c r="I329" s="8">
        <f>IF(G329&lt;&gt;"",E329-SUMIFS(ขายสินค้า!E:E,ขายสินค้า!G:G,H329),)</f>
        <v>0</v>
      </c>
      <c r="J329" s="11">
        <f t="shared" si="12"/>
        <v>0</v>
      </c>
      <c r="K329" s="11">
        <f>IF(B329&lt;&gt;"", IFERROR(SUMIF(ขายสินค้า!G:G,H329,ขายสินค้า!F:F)/(E329-I329),0),)</f>
        <v>0</v>
      </c>
      <c r="L329" s="12">
        <f t="shared" si="13"/>
        <v>0</v>
      </c>
      <c r="M329" s="13">
        <f t="shared" si="14"/>
        <v>0</v>
      </c>
    </row>
    <row r="330" spans="1:13">
      <c r="A330" s="14"/>
      <c r="B330" s="6"/>
      <c r="C330" s="7">
        <f>IFERROR(VLOOKUP(B330,ชื่อสินค้า!A:C,2,FALSE),)</f>
        <v>0</v>
      </c>
      <c r="D330" s="8" t="str">
        <f>IFERROR(VLOOKUP(B330,ชื่อสินค้า!A:D,4,FALSE),"")</f>
        <v/>
      </c>
      <c r="E330" s="9"/>
      <c r="F330" s="9"/>
      <c r="G330" s="8" t="str">
        <f t="shared" si="10"/>
        <v/>
      </c>
      <c r="H330" s="10">
        <f t="shared" si="11"/>
        <v>0</v>
      </c>
      <c r="I330" s="8">
        <f>IF(G330&lt;&gt;"",E330-SUMIFS(ขายสินค้า!E:E,ขายสินค้า!G:G,H330),)</f>
        <v>0</v>
      </c>
      <c r="J330" s="11">
        <f t="shared" si="12"/>
        <v>0</v>
      </c>
      <c r="K330" s="11">
        <f>IF(B330&lt;&gt;"", IFERROR(SUMIF(ขายสินค้า!G:G,H330,ขายสินค้า!F:F)/(E330-I330),0),)</f>
        <v>0</v>
      </c>
      <c r="L330" s="12">
        <f t="shared" si="13"/>
        <v>0</v>
      </c>
      <c r="M330" s="13">
        <f t="shared" si="14"/>
        <v>0</v>
      </c>
    </row>
    <row r="331" spans="1:13">
      <c r="A331" s="14"/>
      <c r="B331" s="6"/>
      <c r="C331" s="7">
        <f>IFERROR(VLOOKUP(B331,ชื่อสินค้า!A:C,2,FALSE),)</f>
        <v>0</v>
      </c>
      <c r="D331" s="8" t="str">
        <f>IFERROR(VLOOKUP(B331,ชื่อสินค้า!A:D,4,FALSE),"")</f>
        <v/>
      </c>
      <c r="E331" s="9"/>
      <c r="F331" s="9"/>
      <c r="G331" s="8" t="str">
        <f t="shared" si="10"/>
        <v/>
      </c>
      <c r="H331" s="10">
        <f t="shared" si="11"/>
        <v>0</v>
      </c>
      <c r="I331" s="8">
        <f>IF(G331&lt;&gt;"",E331-SUMIFS(ขายสินค้า!E:E,ขายสินค้า!G:G,H331),)</f>
        <v>0</v>
      </c>
      <c r="J331" s="11">
        <f t="shared" si="12"/>
        <v>0</v>
      </c>
      <c r="K331" s="11">
        <f>IF(B331&lt;&gt;"", IFERROR(SUMIF(ขายสินค้า!G:G,H331,ขายสินค้า!F:F)/(E331-I331),0),)</f>
        <v>0</v>
      </c>
      <c r="L331" s="12">
        <f t="shared" si="13"/>
        <v>0</v>
      </c>
      <c r="M331" s="13">
        <f t="shared" si="14"/>
        <v>0</v>
      </c>
    </row>
    <row r="332" spans="1:13">
      <c r="A332" s="14"/>
      <c r="B332" s="6"/>
      <c r="C332" s="7">
        <f>IFERROR(VLOOKUP(B332,ชื่อสินค้า!A:C,2,FALSE),)</f>
        <v>0</v>
      </c>
      <c r="D332" s="8" t="str">
        <f>IFERROR(VLOOKUP(B332,ชื่อสินค้า!A:D,4,FALSE),"")</f>
        <v/>
      </c>
      <c r="E332" s="9"/>
      <c r="F332" s="9"/>
      <c r="G332" s="8" t="str">
        <f t="shared" si="10"/>
        <v/>
      </c>
      <c r="H332" s="10">
        <f t="shared" si="11"/>
        <v>0</v>
      </c>
      <c r="I332" s="8">
        <f>IF(G332&lt;&gt;"",E332-SUMIFS(ขายสินค้า!E:E,ขายสินค้า!G:G,H332),)</f>
        <v>0</v>
      </c>
      <c r="J332" s="11">
        <f t="shared" si="12"/>
        <v>0</v>
      </c>
      <c r="K332" s="11">
        <f>IF(B332&lt;&gt;"", IFERROR(SUMIF(ขายสินค้า!G:G,H332,ขายสินค้า!F:F)/(E332-I332),0),)</f>
        <v>0</v>
      </c>
      <c r="L332" s="12">
        <f t="shared" si="13"/>
        <v>0</v>
      </c>
      <c r="M332" s="13">
        <f t="shared" si="14"/>
        <v>0</v>
      </c>
    </row>
    <row r="333" spans="1:13">
      <c r="A333" s="14"/>
      <c r="B333" s="6"/>
      <c r="C333" s="7">
        <f>IFERROR(VLOOKUP(B333,ชื่อสินค้า!A:C,2,FALSE),)</f>
        <v>0</v>
      </c>
      <c r="D333" s="8" t="str">
        <f>IFERROR(VLOOKUP(B333,ชื่อสินค้า!A:D,4,FALSE),"")</f>
        <v/>
      </c>
      <c r="E333" s="9"/>
      <c r="F333" s="9"/>
      <c r="G333" s="8" t="str">
        <f t="shared" si="10"/>
        <v/>
      </c>
      <c r="H333" s="10">
        <f t="shared" si="11"/>
        <v>0</v>
      </c>
      <c r="I333" s="8">
        <f>IF(G333&lt;&gt;"",E333-SUMIFS(ขายสินค้า!E:E,ขายสินค้า!G:G,H333),)</f>
        <v>0</v>
      </c>
      <c r="J333" s="11">
        <f t="shared" si="12"/>
        <v>0</v>
      </c>
      <c r="K333" s="11">
        <f>IF(B333&lt;&gt;"", IFERROR(SUMIF(ขายสินค้า!G:G,H333,ขายสินค้า!F:F)/(E333-I333),0),)</f>
        <v>0</v>
      </c>
      <c r="L333" s="12">
        <f t="shared" si="13"/>
        <v>0</v>
      </c>
      <c r="M333" s="13">
        <f t="shared" si="14"/>
        <v>0</v>
      </c>
    </row>
    <row r="334" spans="1:13">
      <c r="A334" s="14"/>
      <c r="B334" s="6"/>
      <c r="C334" s="7">
        <f>IFERROR(VLOOKUP(B334,ชื่อสินค้า!A:C,2,FALSE),)</f>
        <v>0</v>
      </c>
      <c r="D334" s="8" t="str">
        <f>IFERROR(VLOOKUP(B334,ชื่อสินค้า!A:D,4,FALSE),"")</f>
        <v/>
      </c>
      <c r="E334" s="9"/>
      <c r="F334" s="9"/>
      <c r="G334" s="8" t="str">
        <f t="shared" si="10"/>
        <v/>
      </c>
      <c r="H334" s="10">
        <f t="shared" si="11"/>
        <v>0</v>
      </c>
      <c r="I334" s="8">
        <f>IF(G334&lt;&gt;"",E334-SUMIFS(ขายสินค้า!E:E,ขายสินค้า!G:G,H334),)</f>
        <v>0</v>
      </c>
      <c r="J334" s="11">
        <f t="shared" si="12"/>
        <v>0</v>
      </c>
      <c r="K334" s="11">
        <f>IF(B334&lt;&gt;"", IFERROR(SUMIF(ขายสินค้า!G:G,H334,ขายสินค้า!F:F)/(E334-I334),0),)</f>
        <v>0</v>
      </c>
      <c r="L334" s="12">
        <f t="shared" si="13"/>
        <v>0</v>
      </c>
      <c r="M334" s="13">
        <f t="shared" si="14"/>
        <v>0</v>
      </c>
    </row>
    <row r="335" spans="1:13">
      <c r="A335" s="14"/>
      <c r="B335" s="6"/>
      <c r="C335" s="7">
        <f>IFERROR(VLOOKUP(B335,ชื่อสินค้า!A:C,2,FALSE),)</f>
        <v>0</v>
      </c>
      <c r="D335" s="8" t="str">
        <f>IFERROR(VLOOKUP(B335,ชื่อสินค้า!A:D,4,FALSE),"")</f>
        <v/>
      </c>
      <c r="E335" s="9"/>
      <c r="F335" s="9"/>
      <c r="G335" s="8" t="str">
        <f t="shared" si="10"/>
        <v/>
      </c>
      <c r="H335" s="10">
        <f t="shared" si="11"/>
        <v>0</v>
      </c>
      <c r="I335" s="8">
        <f>IF(G335&lt;&gt;"",E335-SUMIFS(ขายสินค้า!E:E,ขายสินค้า!G:G,H335),)</f>
        <v>0</v>
      </c>
      <c r="J335" s="11">
        <f t="shared" si="12"/>
        <v>0</v>
      </c>
      <c r="K335" s="11">
        <f>IF(B335&lt;&gt;"", IFERROR(SUMIF(ขายสินค้า!G:G,H335,ขายสินค้า!F:F)/(E335-I335),0),)</f>
        <v>0</v>
      </c>
      <c r="L335" s="12">
        <f t="shared" si="13"/>
        <v>0</v>
      </c>
      <c r="M335" s="13">
        <f t="shared" si="14"/>
        <v>0</v>
      </c>
    </row>
    <row r="336" spans="1:13">
      <c r="A336" s="14"/>
      <c r="B336" s="6"/>
      <c r="C336" s="7">
        <f>IFERROR(VLOOKUP(B336,ชื่อสินค้า!A:C,2,FALSE),)</f>
        <v>0</v>
      </c>
      <c r="D336" s="8" t="str">
        <f>IFERROR(VLOOKUP(B336,ชื่อสินค้า!A:D,4,FALSE),"")</f>
        <v/>
      </c>
      <c r="E336" s="9"/>
      <c r="F336" s="9"/>
      <c r="G336" s="8" t="str">
        <f t="shared" si="10"/>
        <v/>
      </c>
      <c r="H336" s="10">
        <f t="shared" si="11"/>
        <v>0</v>
      </c>
      <c r="I336" s="8">
        <f>IF(G336&lt;&gt;"",E336-SUMIFS(ขายสินค้า!E:E,ขายสินค้า!G:G,H336),)</f>
        <v>0</v>
      </c>
      <c r="J336" s="11">
        <f t="shared" si="12"/>
        <v>0</v>
      </c>
      <c r="K336" s="11">
        <f>IF(B336&lt;&gt;"", IFERROR(SUMIF(ขายสินค้า!G:G,H336,ขายสินค้า!F:F)/(E336-I336),0),)</f>
        <v>0</v>
      </c>
      <c r="L336" s="12">
        <f t="shared" si="13"/>
        <v>0</v>
      </c>
      <c r="M336" s="13">
        <f t="shared" si="14"/>
        <v>0</v>
      </c>
    </row>
    <row r="337" spans="1:13">
      <c r="A337" s="14"/>
      <c r="B337" s="6"/>
      <c r="C337" s="7">
        <f>IFERROR(VLOOKUP(B337,ชื่อสินค้า!A:C,2,FALSE),)</f>
        <v>0</v>
      </c>
      <c r="D337" s="8" t="str">
        <f>IFERROR(VLOOKUP(B337,ชื่อสินค้า!A:D,4,FALSE),"")</f>
        <v/>
      </c>
      <c r="E337" s="9"/>
      <c r="F337" s="9"/>
      <c r="G337" s="8" t="str">
        <f t="shared" si="10"/>
        <v/>
      </c>
      <c r="H337" s="10">
        <f t="shared" si="11"/>
        <v>0</v>
      </c>
      <c r="I337" s="8">
        <f>IF(G337&lt;&gt;"",E337-SUMIFS(ขายสินค้า!E:E,ขายสินค้า!G:G,H337),)</f>
        <v>0</v>
      </c>
      <c r="J337" s="11">
        <f t="shared" si="12"/>
        <v>0</v>
      </c>
      <c r="K337" s="11">
        <f>IF(B337&lt;&gt;"", IFERROR(SUMIF(ขายสินค้า!G:G,H337,ขายสินค้า!F:F)/(E337-I337),0),)</f>
        <v>0</v>
      </c>
      <c r="L337" s="12">
        <f t="shared" si="13"/>
        <v>0</v>
      </c>
      <c r="M337" s="13">
        <f t="shared" si="14"/>
        <v>0</v>
      </c>
    </row>
    <row r="338" spans="1:13">
      <c r="A338" s="14"/>
      <c r="B338" s="6"/>
      <c r="C338" s="7">
        <f>IFERROR(VLOOKUP(B338,ชื่อสินค้า!A:C,2,FALSE),)</f>
        <v>0</v>
      </c>
      <c r="D338" s="8" t="str">
        <f>IFERROR(VLOOKUP(B338,ชื่อสินค้า!A:D,4,FALSE),"")</f>
        <v/>
      </c>
      <c r="E338" s="9"/>
      <c r="F338" s="9"/>
      <c r="G338" s="8" t="str">
        <f t="shared" si="10"/>
        <v/>
      </c>
      <c r="H338" s="10">
        <f t="shared" si="11"/>
        <v>0</v>
      </c>
      <c r="I338" s="8">
        <f>IF(G338&lt;&gt;"",E338-SUMIFS(ขายสินค้า!E:E,ขายสินค้า!G:G,H338),)</f>
        <v>0</v>
      </c>
      <c r="J338" s="11">
        <f t="shared" si="12"/>
        <v>0</v>
      </c>
      <c r="K338" s="11">
        <f>IF(B338&lt;&gt;"", IFERROR(SUMIF(ขายสินค้า!G:G,H338,ขายสินค้า!F:F)/(E338-I338),0),)</f>
        <v>0</v>
      </c>
      <c r="L338" s="12">
        <f t="shared" si="13"/>
        <v>0</v>
      </c>
      <c r="M338" s="13">
        <f t="shared" si="14"/>
        <v>0</v>
      </c>
    </row>
    <row r="339" spans="1:13">
      <c r="A339" s="14"/>
      <c r="B339" s="6"/>
      <c r="C339" s="7">
        <f>IFERROR(VLOOKUP(B339,ชื่อสินค้า!A:C,2,FALSE),)</f>
        <v>0</v>
      </c>
      <c r="D339" s="8" t="str">
        <f>IFERROR(VLOOKUP(B339,ชื่อสินค้า!A:D,4,FALSE),"")</f>
        <v/>
      </c>
      <c r="E339" s="9"/>
      <c r="F339" s="9"/>
      <c r="G339" s="8" t="str">
        <f t="shared" si="10"/>
        <v/>
      </c>
      <c r="H339" s="10">
        <f t="shared" si="11"/>
        <v>0</v>
      </c>
      <c r="I339" s="8">
        <f>IF(G339&lt;&gt;"",E339-SUMIFS(ขายสินค้า!E:E,ขายสินค้า!G:G,H339),)</f>
        <v>0</v>
      </c>
      <c r="J339" s="11">
        <f t="shared" si="12"/>
        <v>0</v>
      </c>
      <c r="K339" s="11">
        <f>IF(B339&lt;&gt;"", IFERROR(SUMIF(ขายสินค้า!G:G,H339,ขายสินค้า!F:F)/(E339-I339),0),)</f>
        <v>0</v>
      </c>
      <c r="L339" s="12">
        <f t="shared" si="13"/>
        <v>0</v>
      </c>
      <c r="M339" s="13">
        <f t="shared" si="14"/>
        <v>0</v>
      </c>
    </row>
    <row r="340" spans="1:13">
      <c r="A340" s="14"/>
      <c r="B340" s="6"/>
      <c r="C340" s="7">
        <f>IFERROR(VLOOKUP(B340,ชื่อสินค้า!A:C,2,FALSE),)</f>
        <v>0</v>
      </c>
      <c r="D340" s="8" t="str">
        <f>IFERROR(VLOOKUP(B340,ชื่อสินค้า!A:D,4,FALSE),"")</f>
        <v/>
      </c>
      <c r="E340" s="9"/>
      <c r="F340" s="9"/>
      <c r="G340" s="8" t="str">
        <f t="shared" si="10"/>
        <v/>
      </c>
      <c r="H340" s="10">
        <f t="shared" si="11"/>
        <v>0</v>
      </c>
      <c r="I340" s="8">
        <f>IF(G340&lt;&gt;"",E340-SUMIFS(ขายสินค้า!E:E,ขายสินค้า!G:G,H340),)</f>
        <v>0</v>
      </c>
      <c r="J340" s="11">
        <f t="shared" si="12"/>
        <v>0</v>
      </c>
      <c r="K340" s="11">
        <f>IF(B340&lt;&gt;"", IFERROR(SUMIF(ขายสินค้า!G:G,H340,ขายสินค้า!F:F)/(E340-I340),0),)</f>
        <v>0</v>
      </c>
      <c r="L340" s="12">
        <f t="shared" si="13"/>
        <v>0</v>
      </c>
      <c r="M340" s="13">
        <f t="shared" si="14"/>
        <v>0</v>
      </c>
    </row>
    <row r="341" spans="1:13">
      <c r="A341" s="14"/>
      <c r="B341" s="6"/>
      <c r="C341" s="7">
        <f>IFERROR(VLOOKUP(B341,ชื่อสินค้า!A:C,2,FALSE),)</f>
        <v>0</v>
      </c>
      <c r="D341" s="8" t="str">
        <f>IFERROR(VLOOKUP(B341,ชื่อสินค้า!A:D,4,FALSE),"")</f>
        <v/>
      </c>
      <c r="E341" s="9"/>
      <c r="F341" s="9"/>
      <c r="G341" s="8" t="str">
        <f t="shared" si="10"/>
        <v/>
      </c>
      <c r="H341" s="10">
        <f t="shared" si="11"/>
        <v>0</v>
      </c>
      <c r="I341" s="8">
        <f>IF(G341&lt;&gt;"",E341-SUMIFS(ขายสินค้า!E:E,ขายสินค้า!G:G,H341),)</f>
        <v>0</v>
      </c>
      <c r="J341" s="11">
        <f t="shared" si="12"/>
        <v>0</v>
      </c>
      <c r="K341" s="11">
        <f>IF(B341&lt;&gt;"", IFERROR(SUMIF(ขายสินค้า!G:G,H341,ขายสินค้า!F:F)/(E341-I341),0),)</f>
        <v>0</v>
      </c>
      <c r="L341" s="12">
        <f t="shared" si="13"/>
        <v>0</v>
      </c>
      <c r="M341" s="13">
        <f t="shared" si="14"/>
        <v>0</v>
      </c>
    </row>
    <row r="342" spans="1:13">
      <c r="A342" s="14"/>
      <c r="B342" s="6"/>
      <c r="C342" s="7">
        <f>IFERROR(VLOOKUP(B342,ชื่อสินค้า!A:C,2,FALSE),)</f>
        <v>0</v>
      </c>
      <c r="D342" s="8" t="str">
        <f>IFERROR(VLOOKUP(B342,ชื่อสินค้า!A:D,4,FALSE),"")</f>
        <v/>
      </c>
      <c r="E342" s="9"/>
      <c r="F342" s="9"/>
      <c r="G342" s="8" t="str">
        <f t="shared" si="10"/>
        <v/>
      </c>
      <c r="H342" s="10">
        <f t="shared" si="11"/>
        <v>0</v>
      </c>
      <c r="I342" s="8">
        <f>IF(G342&lt;&gt;"",E342-SUMIFS(ขายสินค้า!E:E,ขายสินค้า!G:G,H342),)</f>
        <v>0</v>
      </c>
      <c r="J342" s="11">
        <f t="shared" si="12"/>
        <v>0</v>
      </c>
      <c r="K342" s="11">
        <f>IF(B342&lt;&gt;"", IFERROR(SUMIF(ขายสินค้า!G:G,H342,ขายสินค้า!F:F)/(E342-I342),0),)</f>
        <v>0</v>
      </c>
      <c r="L342" s="12">
        <f t="shared" si="13"/>
        <v>0</v>
      </c>
      <c r="M342" s="13">
        <f t="shared" si="14"/>
        <v>0</v>
      </c>
    </row>
    <row r="343" spans="1:13">
      <c r="A343" s="14"/>
      <c r="B343" s="6"/>
      <c r="C343" s="7">
        <f>IFERROR(VLOOKUP(B343,ชื่อสินค้า!A:C,2,FALSE),)</f>
        <v>0</v>
      </c>
      <c r="D343" s="8" t="str">
        <f>IFERROR(VLOOKUP(B343,ชื่อสินค้า!A:D,4,FALSE),"")</f>
        <v/>
      </c>
      <c r="E343" s="9"/>
      <c r="F343" s="9"/>
      <c r="G343" s="8" t="str">
        <f t="shared" si="10"/>
        <v/>
      </c>
      <c r="H343" s="10">
        <f t="shared" si="11"/>
        <v>0</v>
      </c>
      <c r="I343" s="8">
        <f>IF(G343&lt;&gt;"",E343-SUMIFS(ขายสินค้า!E:E,ขายสินค้า!G:G,H343),)</f>
        <v>0</v>
      </c>
      <c r="J343" s="11">
        <f t="shared" si="12"/>
        <v>0</v>
      </c>
      <c r="K343" s="11">
        <f>IF(B343&lt;&gt;"", IFERROR(SUMIF(ขายสินค้า!G:G,H343,ขายสินค้า!F:F)/(E343-I343),0),)</f>
        <v>0</v>
      </c>
      <c r="L343" s="12">
        <f t="shared" si="13"/>
        <v>0</v>
      </c>
      <c r="M343" s="13">
        <f t="shared" si="14"/>
        <v>0</v>
      </c>
    </row>
    <row r="344" spans="1:13">
      <c r="A344" s="14"/>
      <c r="B344" s="6"/>
      <c r="C344" s="7">
        <f>IFERROR(VLOOKUP(B344,ชื่อสินค้า!A:C,2,FALSE),)</f>
        <v>0</v>
      </c>
      <c r="D344" s="8" t="str">
        <f>IFERROR(VLOOKUP(B344,ชื่อสินค้า!A:D,4,FALSE),"")</f>
        <v/>
      </c>
      <c r="E344" s="9"/>
      <c r="F344" s="9"/>
      <c r="G344" s="8" t="str">
        <f t="shared" si="10"/>
        <v/>
      </c>
      <c r="H344" s="10">
        <f t="shared" si="11"/>
        <v>0</v>
      </c>
      <c r="I344" s="8">
        <f>IF(G344&lt;&gt;"",E344-SUMIFS(ขายสินค้า!E:E,ขายสินค้า!G:G,H344),)</f>
        <v>0</v>
      </c>
      <c r="J344" s="11">
        <f t="shared" si="12"/>
        <v>0</v>
      </c>
      <c r="K344" s="11">
        <f>IF(B344&lt;&gt;"", IFERROR(SUMIF(ขายสินค้า!G:G,H344,ขายสินค้า!F:F)/(E344-I344),0),)</f>
        <v>0</v>
      </c>
      <c r="L344" s="12">
        <f t="shared" si="13"/>
        <v>0</v>
      </c>
      <c r="M344" s="13">
        <f t="shared" si="14"/>
        <v>0</v>
      </c>
    </row>
    <row r="345" spans="1:13">
      <c r="A345" s="14"/>
      <c r="B345" s="6"/>
      <c r="C345" s="7">
        <f>IFERROR(VLOOKUP(B345,ชื่อสินค้า!A:C,2,FALSE),)</f>
        <v>0</v>
      </c>
      <c r="D345" s="8" t="str">
        <f>IFERROR(VLOOKUP(B345,ชื่อสินค้า!A:D,4,FALSE),"")</f>
        <v/>
      </c>
      <c r="E345" s="9"/>
      <c r="F345" s="9"/>
      <c r="G345" s="8" t="str">
        <f t="shared" si="10"/>
        <v/>
      </c>
      <c r="H345" s="10">
        <f t="shared" si="11"/>
        <v>0</v>
      </c>
      <c r="I345" s="8">
        <f>IF(G345&lt;&gt;"",E345-SUMIFS(ขายสินค้า!E:E,ขายสินค้า!G:G,H345),)</f>
        <v>0</v>
      </c>
      <c r="J345" s="11">
        <f t="shared" si="12"/>
        <v>0</v>
      </c>
      <c r="K345" s="11">
        <f>IF(B345&lt;&gt;"", IFERROR(SUMIF(ขายสินค้า!G:G,H345,ขายสินค้า!F:F)/(E345-I345),0),)</f>
        <v>0</v>
      </c>
      <c r="L345" s="12">
        <f t="shared" si="13"/>
        <v>0</v>
      </c>
      <c r="M345" s="13">
        <f t="shared" si="14"/>
        <v>0</v>
      </c>
    </row>
    <row r="346" spans="1:13">
      <c r="A346" s="14"/>
      <c r="B346" s="6"/>
      <c r="C346" s="7">
        <f>IFERROR(VLOOKUP(B346,ชื่อสินค้า!A:C,2,FALSE),)</f>
        <v>0</v>
      </c>
      <c r="D346" s="8" t="str">
        <f>IFERROR(VLOOKUP(B346,ชื่อสินค้า!A:D,4,FALSE),"")</f>
        <v/>
      </c>
      <c r="E346" s="9"/>
      <c r="F346" s="9"/>
      <c r="G346" s="8" t="str">
        <f t="shared" si="10"/>
        <v/>
      </c>
      <c r="H346" s="10">
        <f t="shared" si="11"/>
        <v>0</v>
      </c>
      <c r="I346" s="8">
        <f>IF(G346&lt;&gt;"",E346-SUMIFS(ขายสินค้า!E:E,ขายสินค้า!G:G,H346),)</f>
        <v>0</v>
      </c>
      <c r="J346" s="11">
        <f t="shared" si="12"/>
        <v>0</v>
      </c>
      <c r="K346" s="11">
        <f>IF(B346&lt;&gt;"", IFERROR(SUMIF(ขายสินค้า!G:G,H346,ขายสินค้า!F:F)/(E346-I346),0),)</f>
        <v>0</v>
      </c>
      <c r="L346" s="12">
        <f t="shared" si="13"/>
        <v>0</v>
      </c>
      <c r="M346" s="13">
        <f t="shared" si="14"/>
        <v>0</v>
      </c>
    </row>
    <row r="347" spans="1:13">
      <c r="A347" s="14"/>
      <c r="B347" s="6"/>
      <c r="C347" s="7">
        <f>IFERROR(VLOOKUP(B347,ชื่อสินค้า!A:C,2,FALSE),)</f>
        <v>0</v>
      </c>
      <c r="D347" s="8" t="str">
        <f>IFERROR(VLOOKUP(B347,ชื่อสินค้า!A:D,4,FALSE),"")</f>
        <v/>
      </c>
      <c r="E347" s="9"/>
      <c r="F347" s="9"/>
      <c r="G347" s="8" t="str">
        <f t="shared" si="10"/>
        <v/>
      </c>
      <c r="H347" s="10">
        <f t="shared" si="11"/>
        <v>0</v>
      </c>
      <c r="I347" s="8">
        <f>IF(G347&lt;&gt;"",E347-SUMIFS(ขายสินค้า!E:E,ขายสินค้า!G:G,H347),)</f>
        <v>0</v>
      </c>
      <c r="J347" s="11">
        <f t="shared" si="12"/>
        <v>0</v>
      </c>
      <c r="K347" s="11">
        <f>IF(B347&lt;&gt;"", IFERROR(SUMIF(ขายสินค้า!G:G,H347,ขายสินค้า!F:F)/(E347-I347),0),)</f>
        <v>0</v>
      </c>
      <c r="L347" s="12">
        <f t="shared" si="13"/>
        <v>0</v>
      </c>
      <c r="M347" s="13">
        <f t="shared" si="14"/>
        <v>0</v>
      </c>
    </row>
    <row r="348" spans="1:13">
      <c r="A348" s="14"/>
      <c r="B348" s="6"/>
      <c r="C348" s="7">
        <f>IFERROR(VLOOKUP(B348,ชื่อสินค้า!A:C,2,FALSE),)</f>
        <v>0</v>
      </c>
      <c r="D348" s="8" t="str">
        <f>IFERROR(VLOOKUP(B348,ชื่อสินค้า!A:D,4,FALSE),"")</f>
        <v/>
      </c>
      <c r="E348" s="9"/>
      <c r="F348" s="9"/>
      <c r="G348" s="8" t="str">
        <f t="shared" si="10"/>
        <v/>
      </c>
      <c r="H348" s="10">
        <f t="shared" si="11"/>
        <v>0</v>
      </c>
      <c r="I348" s="8">
        <f>IF(G348&lt;&gt;"",E348-SUMIFS(ขายสินค้า!E:E,ขายสินค้า!G:G,H348),)</f>
        <v>0</v>
      </c>
      <c r="J348" s="11">
        <f t="shared" si="12"/>
        <v>0</v>
      </c>
      <c r="K348" s="11">
        <f>IF(B348&lt;&gt;"", IFERROR(SUMIF(ขายสินค้า!G:G,H348,ขายสินค้า!F:F)/(E348-I348),0),)</f>
        <v>0</v>
      </c>
      <c r="L348" s="12">
        <f t="shared" si="13"/>
        <v>0</v>
      </c>
      <c r="M348" s="13">
        <f t="shared" si="14"/>
        <v>0</v>
      </c>
    </row>
    <row r="349" spans="1:13">
      <c r="A349" s="14"/>
      <c r="B349" s="6"/>
      <c r="C349" s="7">
        <f>IFERROR(VLOOKUP(B349,ชื่อสินค้า!A:C,2,FALSE),)</f>
        <v>0</v>
      </c>
      <c r="D349" s="8" t="str">
        <f>IFERROR(VLOOKUP(B349,ชื่อสินค้า!A:D,4,FALSE),"")</f>
        <v/>
      </c>
      <c r="E349" s="9"/>
      <c r="F349" s="9"/>
      <c r="G349" s="8" t="str">
        <f t="shared" si="10"/>
        <v/>
      </c>
      <c r="H349" s="10">
        <f t="shared" si="11"/>
        <v>0</v>
      </c>
      <c r="I349" s="8">
        <f>IF(G349&lt;&gt;"",E349-SUMIFS(ขายสินค้า!E:E,ขายสินค้า!G:G,H349),)</f>
        <v>0</v>
      </c>
      <c r="J349" s="11">
        <f t="shared" si="12"/>
        <v>0</v>
      </c>
      <c r="K349" s="11">
        <f>IF(B349&lt;&gt;"", IFERROR(SUMIF(ขายสินค้า!G:G,H349,ขายสินค้า!F:F)/(E349-I349),0),)</f>
        <v>0</v>
      </c>
      <c r="L349" s="12">
        <f t="shared" si="13"/>
        <v>0</v>
      </c>
      <c r="M349" s="13">
        <f t="shared" si="14"/>
        <v>0</v>
      </c>
    </row>
    <row r="350" spans="1:13">
      <c r="A350" s="14"/>
      <c r="B350" s="6"/>
      <c r="C350" s="7">
        <f>IFERROR(VLOOKUP(B350,ชื่อสินค้า!A:C,2,FALSE),)</f>
        <v>0</v>
      </c>
      <c r="D350" s="8" t="str">
        <f>IFERROR(VLOOKUP(B350,ชื่อสินค้า!A:D,4,FALSE),"")</f>
        <v/>
      </c>
      <c r="E350" s="9"/>
      <c r="F350" s="9"/>
      <c r="G350" s="8" t="str">
        <f t="shared" si="10"/>
        <v/>
      </c>
      <c r="H350" s="10">
        <f t="shared" si="11"/>
        <v>0</v>
      </c>
      <c r="I350" s="8">
        <f>IF(G350&lt;&gt;"",E350-SUMIFS(ขายสินค้า!E:E,ขายสินค้า!G:G,H350),)</f>
        <v>0</v>
      </c>
      <c r="J350" s="11">
        <f t="shared" si="12"/>
        <v>0</v>
      </c>
      <c r="K350" s="11">
        <f>IF(B350&lt;&gt;"", IFERROR(SUMIF(ขายสินค้า!G:G,H350,ขายสินค้า!F:F)/(E350-I350),0),)</f>
        <v>0</v>
      </c>
      <c r="L350" s="12">
        <f t="shared" si="13"/>
        <v>0</v>
      </c>
      <c r="M350" s="13">
        <f t="shared" si="14"/>
        <v>0</v>
      </c>
    </row>
    <row r="351" spans="1:13">
      <c r="A351" s="14"/>
      <c r="B351" s="6"/>
      <c r="C351" s="7">
        <f>IFERROR(VLOOKUP(B351,ชื่อสินค้า!A:C,2,FALSE),)</f>
        <v>0</v>
      </c>
      <c r="D351" s="8" t="str">
        <f>IFERROR(VLOOKUP(B351,ชื่อสินค้า!A:D,4,FALSE),"")</f>
        <v/>
      </c>
      <c r="E351" s="9"/>
      <c r="F351" s="9"/>
      <c r="G351" s="8" t="str">
        <f t="shared" si="10"/>
        <v/>
      </c>
      <c r="H351" s="10">
        <f t="shared" si="11"/>
        <v>0</v>
      </c>
      <c r="I351" s="8">
        <f>IF(G351&lt;&gt;"",E351-SUMIFS(ขายสินค้า!E:E,ขายสินค้า!G:G,H351),)</f>
        <v>0</v>
      </c>
      <c r="J351" s="11">
        <f t="shared" si="12"/>
        <v>0</v>
      </c>
      <c r="K351" s="11">
        <f>IF(B351&lt;&gt;"", IFERROR(SUMIF(ขายสินค้า!G:G,H351,ขายสินค้า!F:F)/(E351-I351),0),)</f>
        <v>0</v>
      </c>
      <c r="L351" s="12">
        <f t="shared" si="13"/>
        <v>0</v>
      </c>
      <c r="M351" s="13">
        <f t="shared" si="14"/>
        <v>0</v>
      </c>
    </row>
    <row r="352" spans="1:13">
      <c r="A352" s="14"/>
      <c r="B352" s="6"/>
      <c r="C352" s="7">
        <f>IFERROR(VLOOKUP(B352,ชื่อสินค้า!A:C,2,FALSE),)</f>
        <v>0</v>
      </c>
      <c r="D352" s="8" t="str">
        <f>IFERROR(VLOOKUP(B352,ชื่อสินค้า!A:D,4,FALSE),"")</f>
        <v/>
      </c>
      <c r="E352" s="9"/>
      <c r="F352" s="9"/>
      <c r="G352" s="8" t="str">
        <f t="shared" si="10"/>
        <v/>
      </c>
      <c r="H352" s="10">
        <f t="shared" si="11"/>
        <v>0</v>
      </c>
      <c r="I352" s="8">
        <f>IF(G352&lt;&gt;"",E352-SUMIFS(ขายสินค้า!E:E,ขายสินค้า!G:G,H352),)</f>
        <v>0</v>
      </c>
      <c r="J352" s="11">
        <f t="shared" si="12"/>
        <v>0</v>
      </c>
      <c r="K352" s="11">
        <f>IF(B352&lt;&gt;"", IFERROR(SUMIF(ขายสินค้า!G:G,H352,ขายสินค้า!F:F)/(E352-I352),0),)</f>
        <v>0</v>
      </c>
      <c r="L352" s="12">
        <f t="shared" si="13"/>
        <v>0</v>
      </c>
      <c r="M352" s="13">
        <f t="shared" si="14"/>
        <v>0</v>
      </c>
    </row>
    <row r="353" spans="1:13">
      <c r="A353" s="14"/>
      <c r="B353" s="6"/>
      <c r="C353" s="7">
        <f>IFERROR(VLOOKUP(B353,ชื่อสินค้า!A:C,2,FALSE),)</f>
        <v>0</v>
      </c>
      <c r="D353" s="8" t="str">
        <f>IFERROR(VLOOKUP(B353,ชื่อสินค้า!A:D,4,FALSE),"")</f>
        <v/>
      </c>
      <c r="E353" s="9"/>
      <c r="F353" s="9"/>
      <c r="G353" s="8" t="str">
        <f t="shared" si="10"/>
        <v/>
      </c>
      <c r="H353" s="10">
        <f t="shared" si="11"/>
        <v>0</v>
      </c>
      <c r="I353" s="8">
        <f>IF(G353&lt;&gt;"",E353-SUMIFS(ขายสินค้า!E:E,ขายสินค้า!G:G,H353),)</f>
        <v>0</v>
      </c>
      <c r="J353" s="11">
        <f t="shared" si="12"/>
        <v>0</v>
      </c>
      <c r="K353" s="11">
        <f>IF(B353&lt;&gt;"", IFERROR(SUMIF(ขายสินค้า!G:G,H353,ขายสินค้า!F:F)/(E353-I353),0),)</f>
        <v>0</v>
      </c>
      <c r="L353" s="12">
        <f t="shared" si="13"/>
        <v>0</v>
      </c>
      <c r="M353" s="13">
        <f t="shared" si="14"/>
        <v>0</v>
      </c>
    </row>
    <row r="354" spans="1:13">
      <c r="A354" s="14"/>
      <c r="B354" s="6"/>
      <c r="C354" s="7">
        <f>IFERROR(VLOOKUP(B354,ชื่อสินค้า!A:C,2,FALSE),)</f>
        <v>0</v>
      </c>
      <c r="D354" s="8" t="str">
        <f>IFERROR(VLOOKUP(B354,ชื่อสินค้า!A:D,4,FALSE),"")</f>
        <v/>
      </c>
      <c r="E354" s="9"/>
      <c r="F354" s="9"/>
      <c r="G354" s="8" t="str">
        <f t="shared" si="10"/>
        <v/>
      </c>
      <c r="H354" s="10">
        <f t="shared" si="11"/>
        <v>0</v>
      </c>
      <c r="I354" s="8">
        <f>IF(G354&lt;&gt;"",E354-SUMIFS(ขายสินค้า!E:E,ขายสินค้า!G:G,H354),)</f>
        <v>0</v>
      </c>
      <c r="J354" s="11">
        <f t="shared" si="12"/>
        <v>0</v>
      </c>
      <c r="K354" s="11">
        <f>IF(B354&lt;&gt;"", IFERROR(SUMIF(ขายสินค้า!G:G,H354,ขายสินค้า!F:F)/(E354-I354),0),)</f>
        <v>0</v>
      </c>
      <c r="L354" s="12">
        <f t="shared" si="13"/>
        <v>0</v>
      </c>
      <c r="M354" s="13">
        <f t="shared" si="14"/>
        <v>0</v>
      </c>
    </row>
    <row r="355" spans="1:13">
      <c r="A355" s="14"/>
      <c r="B355" s="6"/>
      <c r="C355" s="7">
        <f>IFERROR(VLOOKUP(B355,ชื่อสินค้า!A:C,2,FALSE),)</f>
        <v>0</v>
      </c>
      <c r="D355" s="8" t="str">
        <f>IFERROR(VLOOKUP(B355,ชื่อสินค้า!A:D,4,FALSE),"")</f>
        <v/>
      </c>
      <c r="E355" s="9"/>
      <c r="F355" s="9"/>
      <c r="G355" s="8" t="str">
        <f t="shared" si="10"/>
        <v/>
      </c>
      <c r="H355" s="10">
        <f t="shared" si="11"/>
        <v>0</v>
      </c>
      <c r="I355" s="8">
        <f>IF(G355&lt;&gt;"",E355-SUMIFS(ขายสินค้า!E:E,ขายสินค้า!G:G,H355),)</f>
        <v>0</v>
      </c>
      <c r="J355" s="11">
        <f t="shared" si="12"/>
        <v>0</v>
      </c>
      <c r="K355" s="11">
        <f>IF(B355&lt;&gt;"", IFERROR(SUMIF(ขายสินค้า!G:G,H355,ขายสินค้า!F:F)/(E355-I355),0),)</f>
        <v>0</v>
      </c>
      <c r="L355" s="12">
        <f t="shared" si="13"/>
        <v>0</v>
      </c>
      <c r="M355" s="13">
        <f t="shared" si="14"/>
        <v>0</v>
      </c>
    </row>
    <row r="356" spans="1:13">
      <c r="A356" s="14"/>
      <c r="B356" s="6"/>
      <c r="C356" s="7">
        <f>IFERROR(VLOOKUP(B356,ชื่อสินค้า!A:C,2,FALSE),)</f>
        <v>0</v>
      </c>
      <c r="D356" s="8" t="str">
        <f>IFERROR(VLOOKUP(B356,ชื่อสินค้า!A:D,4,FALSE),"")</f>
        <v/>
      </c>
      <c r="E356" s="9"/>
      <c r="F356" s="9"/>
      <c r="G356" s="8" t="str">
        <f t="shared" si="10"/>
        <v/>
      </c>
      <c r="H356" s="10">
        <f t="shared" si="11"/>
        <v>0</v>
      </c>
      <c r="I356" s="8">
        <f>IF(G356&lt;&gt;"",E356-SUMIFS(ขายสินค้า!E:E,ขายสินค้า!G:G,H356),)</f>
        <v>0</v>
      </c>
      <c r="J356" s="11">
        <f t="shared" si="12"/>
        <v>0</v>
      </c>
      <c r="K356" s="11">
        <f>IF(B356&lt;&gt;"", IFERROR(SUMIF(ขายสินค้า!G:G,H356,ขายสินค้า!F:F)/(E356-I356),0),)</f>
        <v>0</v>
      </c>
      <c r="L356" s="12">
        <f t="shared" si="13"/>
        <v>0</v>
      </c>
      <c r="M356" s="13">
        <f t="shared" si="14"/>
        <v>0</v>
      </c>
    </row>
    <row r="357" spans="1:13">
      <c r="A357" s="14"/>
      <c r="B357" s="6"/>
      <c r="C357" s="7">
        <f>IFERROR(VLOOKUP(B357,ชื่อสินค้า!A:C,2,FALSE),)</f>
        <v>0</v>
      </c>
      <c r="D357" s="8" t="str">
        <f>IFERROR(VLOOKUP(B357,ชื่อสินค้า!A:D,4,FALSE),"")</f>
        <v/>
      </c>
      <c r="E357" s="9"/>
      <c r="F357" s="9"/>
      <c r="G357" s="8" t="str">
        <f t="shared" si="10"/>
        <v/>
      </c>
      <c r="H357" s="10">
        <f t="shared" si="11"/>
        <v>0</v>
      </c>
      <c r="I357" s="8">
        <f>IF(G357&lt;&gt;"",E357-SUMIFS(ขายสินค้า!E:E,ขายสินค้า!G:G,H357),)</f>
        <v>0</v>
      </c>
      <c r="J357" s="11">
        <f t="shared" si="12"/>
        <v>0</v>
      </c>
      <c r="K357" s="11">
        <f>IF(B357&lt;&gt;"", IFERROR(SUMIF(ขายสินค้า!G:G,H357,ขายสินค้า!F:F)/(E357-I357),0),)</f>
        <v>0</v>
      </c>
      <c r="L357" s="12">
        <f t="shared" si="13"/>
        <v>0</v>
      </c>
      <c r="M357" s="13">
        <f t="shared" si="14"/>
        <v>0</v>
      </c>
    </row>
    <row r="358" spans="1:13">
      <c r="A358" s="14"/>
      <c r="B358" s="6"/>
      <c r="C358" s="7">
        <f>IFERROR(VLOOKUP(B358,ชื่อสินค้า!A:C,2,FALSE),)</f>
        <v>0</v>
      </c>
      <c r="D358" s="8" t="str">
        <f>IFERROR(VLOOKUP(B358,ชื่อสินค้า!A:D,4,FALSE),"")</f>
        <v/>
      </c>
      <c r="E358" s="9"/>
      <c r="F358" s="9"/>
      <c r="G358" s="8" t="str">
        <f t="shared" si="10"/>
        <v/>
      </c>
      <c r="H358" s="10">
        <f t="shared" si="11"/>
        <v>0</v>
      </c>
      <c r="I358" s="8">
        <f>IF(G358&lt;&gt;"",E358-SUMIFS(ขายสินค้า!E:E,ขายสินค้า!G:G,H358),)</f>
        <v>0</v>
      </c>
      <c r="J358" s="11">
        <f t="shared" si="12"/>
        <v>0</v>
      </c>
      <c r="K358" s="11">
        <f>IF(B358&lt;&gt;"", IFERROR(SUMIF(ขายสินค้า!G:G,H358,ขายสินค้า!F:F)/(E358-I358),0),)</f>
        <v>0</v>
      </c>
      <c r="L358" s="12">
        <f t="shared" si="13"/>
        <v>0</v>
      </c>
      <c r="M358" s="13">
        <f t="shared" si="14"/>
        <v>0</v>
      </c>
    </row>
    <row r="359" spans="1:13">
      <c r="A359" s="14"/>
      <c r="B359" s="6"/>
      <c r="C359" s="7">
        <f>IFERROR(VLOOKUP(B359,ชื่อสินค้า!A:C,2,FALSE),)</f>
        <v>0</v>
      </c>
      <c r="D359" s="8" t="str">
        <f>IFERROR(VLOOKUP(B359,ชื่อสินค้า!A:D,4,FALSE),"")</f>
        <v/>
      </c>
      <c r="E359" s="9"/>
      <c r="F359" s="9"/>
      <c r="G359" s="8" t="str">
        <f t="shared" si="10"/>
        <v/>
      </c>
      <c r="H359" s="10">
        <f t="shared" si="11"/>
        <v>0</v>
      </c>
      <c r="I359" s="8">
        <f>IF(G359&lt;&gt;"",E359-SUMIFS(ขายสินค้า!E:E,ขายสินค้า!G:G,H359),)</f>
        <v>0</v>
      </c>
      <c r="J359" s="11">
        <f t="shared" si="12"/>
        <v>0</v>
      </c>
      <c r="K359" s="11">
        <f>IF(B359&lt;&gt;"", IFERROR(SUMIF(ขายสินค้า!G:G,H359,ขายสินค้า!F:F)/(E359-I359),0),)</f>
        <v>0</v>
      </c>
      <c r="L359" s="12">
        <f t="shared" si="13"/>
        <v>0</v>
      </c>
      <c r="M359" s="13">
        <f t="shared" si="14"/>
        <v>0</v>
      </c>
    </row>
    <row r="360" spans="1:13">
      <c r="A360" s="14"/>
      <c r="B360" s="6"/>
      <c r="C360" s="7">
        <f>IFERROR(VLOOKUP(B360,ชื่อสินค้า!A:C,2,FALSE),)</f>
        <v>0</v>
      </c>
      <c r="D360" s="8" t="str">
        <f>IFERROR(VLOOKUP(B360,ชื่อสินค้า!A:D,4,FALSE),"")</f>
        <v/>
      </c>
      <c r="E360" s="9"/>
      <c r="F360" s="9"/>
      <c r="G360" s="8" t="str">
        <f t="shared" si="10"/>
        <v/>
      </c>
      <c r="H360" s="10">
        <f t="shared" si="11"/>
        <v>0</v>
      </c>
      <c r="I360" s="8">
        <f>IF(G360&lt;&gt;"",E360-SUMIFS(ขายสินค้า!E:E,ขายสินค้า!G:G,H360),)</f>
        <v>0</v>
      </c>
      <c r="J360" s="11">
        <f t="shared" si="12"/>
        <v>0</v>
      </c>
      <c r="K360" s="11">
        <f>IF(B360&lt;&gt;"", IFERROR(SUMIF(ขายสินค้า!G:G,H360,ขายสินค้า!F:F)/(E360-I360),0),)</f>
        <v>0</v>
      </c>
      <c r="L360" s="12">
        <f t="shared" si="13"/>
        <v>0</v>
      </c>
      <c r="M360" s="13">
        <f t="shared" si="14"/>
        <v>0</v>
      </c>
    </row>
    <row r="361" spans="1:13">
      <c r="A361" s="14"/>
      <c r="B361" s="6"/>
      <c r="C361" s="7">
        <f>IFERROR(VLOOKUP(B361,ชื่อสินค้า!A:C,2,FALSE),)</f>
        <v>0</v>
      </c>
      <c r="D361" s="8" t="str">
        <f>IFERROR(VLOOKUP(B361,ชื่อสินค้า!A:D,4,FALSE),"")</f>
        <v/>
      </c>
      <c r="E361" s="9"/>
      <c r="F361" s="9"/>
      <c r="G361" s="8" t="str">
        <f t="shared" si="10"/>
        <v/>
      </c>
      <c r="H361" s="10">
        <f t="shared" si="11"/>
        <v>0</v>
      </c>
      <c r="I361" s="8">
        <f>IF(G361&lt;&gt;"",E361-SUMIFS(ขายสินค้า!E:E,ขายสินค้า!G:G,H361),)</f>
        <v>0</v>
      </c>
      <c r="J361" s="11">
        <f t="shared" si="12"/>
        <v>0</v>
      </c>
      <c r="K361" s="11">
        <f>IF(B361&lt;&gt;"", IFERROR(SUMIF(ขายสินค้า!G:G,H361,ขายสินค้า!F:F)/(E361-I361),0),)</f>
        <v>0</v>
      </c>
      <c r="L361" s="12">
        <f t="shared" si="13"/>
        <v>0</v>
      </c>
      <c r="M361" s="13">
        <f t="shared" si="14"/>
        <v>0</v>
      </c>
    </row>
    <row r="362" spans="1:13">
      <c r="A362" s="14"/>
      <c r="B362" s="6"/>
      <c r="C362" s="7">
        <f>IFERROR(VLOOKUP(B362,ชื่อสินค้า!A:C,2,FALSE),)</f>
        <v>0</v>
      </c>
      <c r="D362" s="8" t="str">
        <f>IFERROR(VLOOKUP(B362,ชื่อสินค้า!A:D,4,FALSE),"")</f>
        <v/>
      </c>
      <c r="E362" s="9"/>
      <c r="F362" s="9"/>
      <c r="G362" s="8" t="str">
        <f t="shared" si="10"/>
        <v/>
      </c>
      <c r="H362" s="10">
        <f t="shared" si="11"/>
        <v>0</v>
      </c>
      <c r="I362" s="8">
        <f>IF(G362&lt;&gt;"",E362-SUMIFS(ขายสินค้า!E:E,ขายสินค้า!G:G,H362),)</f>
        <v>0</v>
      </c>
      <c r="J362" s="11">
        <f t="shared" si="12"/>
        <v>0</v>
      </c>
      <c r="K362" s="11">
        <f>IF(B362&lt;&gt;"", IFERROR(SUMIF(ขายสินค้า!G:G,H362,ขายสินค้า!F:F)/(E362-I362),0),)</f>
        <v>0</v>
      </c>
      <c r="L362" s="12">
        <f t="shared" si="13"/>
        <v>0</v>
      </c>
      <c r="M362" s="13">
        <f t="shared" si="14"/>
        <v>0</v>
      </c>
    </row>
    <row r="363" spans="1:13">
      <c r="A363" s="14"/>
      <c r="B363" s="6"/>
      <c r="C363" s="7">
        <f>IFERROR(VLOOKUP(B363,ชื่อสินค้า!A:C,2,FALSE),)</f>
        <v>0</v>
      </c>
      <c r="D363" s="8" t="str">
        <f>IFERROR(VLOOKUP(B363,ชื่อสินค้า!A:D,4,FALSE),"")</f>
        <v/>
      </c>
      <c r="E363" s="9"/>
      <c r="F363" s="9"/>
      <c r="G363" s="8" t="str">
        <f t="shared" si="10"/>
        <v/>
      </c>
      <c r="H363" s="10">
        <f t="shared" si="11"/>
        <v>0</v>
      </c>
      <c r="I363" s="8">
        <f>IF(G363&lt;&gt;"",E363-SUMIFS(ขายสินค้า!E:E,ขายสินค้า!G:G,H363),)</f>
        <v>0</v>
      </c>
      <c r="J363" s="11">
        <f t="shared" si="12"/>
        <v>0</v>
      </c>
      <c r="K363" s="11">
        <f>IF(B363&lt;&gt;"", IFERROR(SUMIF(ขายสินค้า!G:G,H363,ขายสินค้า!F:F)/(E363-I363),0),)</f>
        <v>0</v>
      </c>
      <c r="L363" s="12">
        <f t="shared" si="13"/>
        <v>0</v>
      </c>
      <c r="M363" s="13">
        <f t="shared" si="14"/>
        <v>0</v>
      </c>
    </row>
    <row r="364" spans="1:13">
      <c r="A364" s="14"/>
      <c r="B364" s="6"/>
      <c r="C364" s="7">
        <f>IFERROR(VLOOKUP(B364,ชื่อสินค้า!A:C,2,FALSE),)</f>
        <v>0</v>
      </c>
      <c r="D364" s="8" t="str">
        <f>IFERROR(VLOOKUP(B364,ชื่อสินค้า!A:D,4,FALSE),"")</f>
        <v/>
      </c>
      <c r="E364" s="9"/>
      <c r="F364" s="9"/>
      <c r="G364" s="8" t="str">
        <f t="shared" si="10"/>
        <v/>
      </c>
      <c r="H364" s="10">
        <f t="shared" si="11"/>
        <v>0</v>
      </c>
      <c r="I364" s="8">
        <f>IF(G364&lt;&gt;"",E364-SUMIFS(ขายสินค้า!E:E,ขายสินค้า!G:G,H364),)</f>
        <v>0</v>
      </c>
      <c r="J364" s="11">
        <f t="shared" si="12"/>
        <v>0</v>
      </c>
      <c r="K364" s="11">
        <f>IF(B364&lt;&gt;"", IFERROR(SUMIF(ขายสินค้า!G:G,H364,ขายสินค้า!F:F)/(E364-I364),0),)</f>
        <v>0</v>
      </c>
      <c r="L364" s="12">
        <f t="shared" si="13"/>
        <v>0</v>
      </c>
      <c r="M364" s="13">
        <f t="shared" si="14"/>
        <v>0</v>
      </c>
    </row>
    <row r="365" spans="1:13">
      <c r="A365" s="14"/>
      <c r="B365" s="6"/>
      <c r="C365" s="7">
        <f>IFERROR(VLOOKUP(B365,ชื่อสินค้า!A:C,2,FALSE),)</f>
        <v>0</v>
      </c>
      <c r="D365" s="8" t="str">
        <f>IFERROR(VLOOKUP(B365,ชื่อสินค้า!A:D,4,FALSE),"")</f>
        <v/>
      </c>
      <c r="E365" s="9"/>
      <c r="F365" s="9"/>
      <c r="G365" s="8" t="str">
        <f t="shared" si="10"/>
        <v/>
      </c>
      <c r="H365" s="10">
        <f t="shared" si="11"/>
        <v>0</v>
      </c>
      <c r="I365" s="8">
        <f>IF(G365&lt;&gt;"",E365-SUMIFS(ขายสินค้า!E:E,ขายสินค้า!G:G,H365),)</f>
        <v>0</v>
      </c>
      <c r="J365" s="11">
        <f t="shared" si="12"/>
        <v>0</v>
      </c>
      <c r="K365" s="11">
        <f>IF(B365&lt;&gt;"", IFERROR(SUMIF(ขายสินค้า!G:G,H365,ขายสินค้า!F:F)/(E365-I365),0),)</f>
        <v>0</v>
      </c>
      <c r="L365" s="12">
        <f t="shared" si="13"/>
        <v>0</v>
      </c>
      <c r="M365" s="13">
        <f t="shared" si="14"/>
        <v>0</v>
      </c>
    </row>
    <row r="366" spans="1:13">
      <c r="A366" s="14"/>
      <c r="B366" s="6"/>
      <c r="C366" s="7">
        <f>IFERROR(VLOOKUP(B366,ชื่อสินค้า!A:C,2,FALSE),)</f>
        <v>0</v>
      </c>
      <c r="D366" s="8" t="str">
        <f>IFERROR(VLOOKUP(B366,ชื่อสินค้า!A:D,4,FALSE),"")</f>
        <v/>
      </c>
      <c r="E366" s="9"/>
      <c r="F366" s="9"/>
      <c r="G366" s="8" t="str">
        <f t="shared" si="10"/>
        <v/>
      </c>
      <c r="H366" s="10">
        <f t="shared" si="11"/>
        <v>0</v>
      </c>
      <c r="I366" s="8">
        <f>IF(G366&lt;&gt;"",E366-SUMIFS(ขายสินค้า!E:E,ขายสินค้า!G:G,H366),)</f>
        <v>0</v>
      </c>
      <c r="J366" s="11">
        <f t="shared" si="12"/>
        <v>0</v>
      </c>
      <c r="K366" s="11">
        <f>IF(B366&lt;&gt;"", IFERROR(SUMIF(ขายสินค้า!G:G,H366,ขายสินค้า!F:F)/(E366-I366),0),)</f>
        <v>0</v>
      </c>
      <c r="L366" s="12">
        <f t="shared" si="13"/>
        <v>0</v>
      </c>
      <c r="M366" s="13">
        <f t="shared" si="14"/>
        <v>0</v>
      </c>
    </row>
    <row r="367" spans="1:13">
      <c r="A367" s="14"/>
      <c r="B367" s="6"/>
      <c r="C367" s="7">
        <f>IFERROR(VLOOKUP(B367,ชื่อสินค้า!A:C,2,FALSE),)</f>
        <v>0</v>
      </c>
      <c r="D367" s="8" t="str">
        <f>IFERROR(VLOOKUP(B367,ชื่อสินค้า!A:D,4,FALSE),"")</f>
        <v/>
      </c>
      <c r="E367" s="9"/>
      <c r="F367" s="9"/>
      <c r="G367" s="8" t="str">
        <f t="shared" si="10"/>
        <v/>
      </c>
      <c r="H367" s="10">
        <f t="shared" si="11"/>
        <v>0</v>
      </c>
      <c r="I367" s="8">
        <f>IF(G367&lt;&gt;"",E367-SUMIFS(ขายสินค้า!E:E,ขายสินค้า!G:G,H367),)</f>
        <v>0</v>
      </c>
      <c r="J367" s="11">
        <f t="shared" si="12"/>
        <v>0</v>
      </c>
      <c r="K367" s="11">
        <f>IF(B367&lt;&gt;"", IFERROR(SUMIF(ขายสินค้า!G:G,H367,ขายสินค้า!F:F)/(E367-I367),0),)</f>
        <v>0</v>
      </c>
      <c r="L367" s="12">
        <f t="shared" si="13"/>
        <v>0</v>
      </c>
      <c r="M367" s="13">
        <f t="shared" si="14"/>
        <v>0</v>
      </c>
    </row>
    <row r="368" spans="1:13">
      <c r="A368" s="14"/>
      <c r="B368" s="6"/>
      <c r="C368" s="7">
        <f>IFERROR(VLOOKUP(B368,ชื่อสินค้า!A:C,2,FALSE),)</f>
        <v>0</v>
      </c>
      <c r="D368" s="8" t="str">
        <f>IFERROR(VLOOKUP(B368,ชื่อสินค้า!A:D,4,FALSE),"")</f>
        <v/>
      </c>
      <c r="E368" s="9"/>
      <c r="F368" s="9"/>
      <c r="G368" s="8" t="str">
        <f t="shared" si="10"/>
        <v/>
      </c>
      <c r="H368" s="10">
        <f t="shared" si="11"/>
        <v>0</v>
      </c>
      <c r="I368" s="8">
        <f>IF(G368&lt;&gt;"",E368-SUMIFS(ขายสินค้า!E:E,ขายสินค้า!G:G,H368),)</f>
        <v>0</v>
      </c>
      <c r="J368" s="11">
        <f t="shared" si="12"/>
        <v>0</v>
      </c>
      <c r="K368" s="11">
        <f>IF(B368&lt;&gt;"", IFERROR(SUMIF(ขายสินค้า!G:G,H368,ขายสินค้า!F:F)/(E368-I368),0),)</f>
        <v>0</v>
      </c>
      <c r="L368" s="12">
        <f t="shared" si="13"/>
        <v>0</v>
      </c>
      <c r="M368" s="13">
        <f t="shared" si="14"/>
        <v>0</v>
      </c>
    </row>
    <row r="369" spans="1:13">
      <c r="A369" s="14"/>
      <c r="B369" s="6"/>
      <c r="C369" s="7">
        <f>IFERROR(VLOOKUP(B369,ชื่อสินค้า!A:C,2,FALSE),)</f>
        <v>0</v>
      </c>
      <c r="D369" s="8" t="str">
        <f>IFERROR(VLOOKUP(B369,ชื่อสินค้า!A:D,4,FALSE),"")</f>
        <v/>
      </c>
      <c r="E369" s="9"/>
      <c r="F369" s="9"/>
      <c r="G369" s="8" t="str">
        <f t="shared" si="10"/>
        <v/>
      </c>
      <c r="H369" s="10">
        <f t="shared" si="11"/>
        <v>0</v>
      </c>
      <c r="I369" s="8">
        <f>IF(G369&lt;&gt;"",E369-SUMIFS(ขายสินค้า!E:E,ขายสินค้า!G:G,H369),)</f>
        <v>0</v>
      </c>
      <c r="J369" s="11">
        <f t="shared" si="12"/>
        <v>0</v>
      </c>
      <c r="K369" s="11">
        <f>IF(B369&lt;&gt;"", IFERROR(SUMIF(ขายสินค้า!G:G,H369,ขายสินค้า!F:F)/(E369-I369),0),)</f>
        <v>0</v>
      </c>
      <c r="L369" s="12">
        <f t="shared" si="13"/>
        <v>0</v>
      </c>
      <c r="M369" s="13">
        <f t="shared" si="14"/>
        <v>0</v>
      </c>
    </row>
    <row r="370" spans="1:13">
      <c r="A370" s="14"/>
      <c r="B370" s="6"/>
      <c r="C370" s="7">
        <f>IFERROR(VLOOKUP(B370,ชื่อสินค้า!A:C,2,FALSE),)</f>
        <v>0</v>
      </c>
      <c r="D370" s="8" t="str">
        <f>IFERROR(VLOOKUP(B370,ชื่อสินค้า!A:D,4,FALSE),"")</f>
        <v/>
      </c>
      <c r="E370" s="9"/>
      <c r="F370" s="9"/>
      <c r="G370" s="8" t="str">
        <f t="shared" si="10"/>
        <v/>
      </c>
      <c r="H370" s="10">
        <f t="shared" si="11"/>
        <v>0</v>
      </c>
      <c r="I370" s="8">
        <f>IF(G370&lt;&gt;"",E370-SUMIFS(ขายสินค้า!E:E,ขายสินค้า!G:G,H370),)</f>
        <v>0</v>
      </c>
      <c r="J370" s="11">
        <f t="shared" si="12"/>
        <v>0</v>
      </c>
      <c r="K370" s="11">
        <f>IF(B370&lt;&gt;"", IFERROR(SUMIF(ขายสินค้า!G:G,H370,ขายสินค้า!F:F)/(E370-I370),0),)</f>
        <v>0</v>
      </c>
      <c r="L370" s="12">
        <f t="shared" si="13"/>
        <v>0</v>
      </c>
      <c r="M370" s="13">
        <f t="shared" si="14"/>
        <v>0</v>
      </c>
    </row>
    <row r="371" spans="1:13">
      <c r="A371" s="14"/>
      <c r="B371" s="6"/>
      <c r="C371" s="7">
        <f>IFERROR(VLOOKUP(B371,ชื่อสินค้า!A:C,2,FALSE),)</f>
        <v>0</v>
      </c>
      <c r="D371" s="8" t="str">
        <f>IFERROR(VLOOKUP(B371,ชื่อสินค้า!A:D,4,FALSE),"")</f>
        <v/>
      </c>
      <c r="E371" s="9"/>
      <c r="F371" s="9"/>
      <c r="G371" s="8" t="str">
        <f t="shared" si="10"/>
        <v/>
      </c>
      <c r="H371" s="10">
        <f t="shared" si="11"/>
        <v>0</v>
      </c>
      <c r="I371" s="8">
        <f>IF(G371&lt;&gt;"",E371-SUMIFS(ขายสินค้า!E:E,ขายสินค้า!G:G,H371),)</f>
        <v>0</v>
      </c>
      <c r="J371" s="11">
        <f t="shared" si="12"/>
        <v>0</v>
      </c>
      <c r="K371" s="11">
        <f>IF(B371&lt;&gt;"", IFERROR(SUMIF(ขายสินค้า!G:G,H371,ขายสินค้า!F:F)/(E371-I371),0),)</f>
        <v>0</v>
      </c>
      <c r="L371" s="12">
        <f t="shared" si="13"/>
        <v>0</v>
      </c>
      <c r="M371" s="13">
        <f t="shared" si="14"/>
        <v>0</v>
      </c>
    </row>
    <row r="372" spans="1:13">
      <c r="A372" s="14"/>
      <c r="B372" s="6"/>
      <c r="C372" s="7">
        <f>IFERROR(VLOOKUP(B372,ชื่อสินค้า!A:C,2,FALSE),)</f>
        <v>0</v>
      </c>
      <c r="D372" s="8" t="str">
        <f>IFERROR(VLOOKUP(B372,ชื่อสินค้า!A:D,4,FALSE),"")</f>
        <v/>
      </c>
      <c r="E372" s="9"/>
      <c r="F372" s="9"/>
      <c r="G372" s="8" t="str">
        <f t="shared" si="10"/>
        <v/>
      </c>
      <c r="H372" s="10">
        <f t="shared" si="11"/>
        <v>0</v>
      </c>
      <c r="I372" s="8">
        <f>IF(G372&lt;&gt;"",E372-SUMIFS(ขายสินค้า!E:E,ขายสินค้า!G:G,H372),)</f>
        <v>0</v>
      </c>
      <c r="J372" s="11">
        <f t="shared" si="12"/>
        <v>0</v>
      </c>
      <c r="K372" s="11">
        <f>IF(B372&lt;&gt;"", IFERROR(SUMIF(ขายสินค้า!G:G,H372,ขายสินค้า!F:F)/(E372-I372),0),)</f>
        <v>0</v>
      </c>
      <c r="L372" s="12">
        <f t="shared" si="13"/>
        <v>0</v>
      </c>
      <c r="M372" s="13">
        <f t="shared" si="14"/>
        <v>0</v>
      </c>
    </row>
    <row r="373" spans="1:13">
      <c r="A373" s="14"/>
      <c r="B373" s="6"/>
      <c r="C373" s="7">
        <f>IFERROR(VLOOKUP(B373,ชื่อสินค้า!A:C,2,FALSE),)</f>
        <v>0</v>
      </c>
      <c r="D373" s="8" t="str">
        <f>IFERROR(VLOOKUP(B373,ชื่อสินค้า!A:D,4,FALSE),"")</f>
        <v/>
      </c>
      <c r="E373" s="9"/>
      <c r="F373" s="9"/>
      <c r="G373" s="8" t="str">
        <f t="shared" si="10"/>
        <v/>
      </c>
      <c r="H373" s="10">
        <f t="shared" si="11"/>
        <v>0</v>
      </c>
      <c r="I373" s="8">
        <f>IF(G373&lt;&gt;"",E373-SUMIFS(ขายสินค้า!E:E,ขายสินค้า!G:G,H373),)</f>
        <v>0</v>
      </c>
      <c r="J373" s="11">
        <f t="shared" si="12"/>
        <v>0</v>
      </c>
      <c r="K373" s="11">
        <f>IF(B373&lt;&gt;"", IFERROR(SUMIF(ขายสินค้า!G:G,H373,ขายสินค้า!F:F)/(E373-I373),0),)</f>
        <v>0</v>
      </c>
      <c r="L373" s="12">
        <f t="shared" si="13"/>
        <v>0</v>
      </c>
      <c r="M373" s="13">
        <f t="shared" si="14"/>
        <v>0</v>
      </c>
    </row>
    <row r="374" spans="1:13">
      <c r="A374" s="14"/>
      <c r="B374" s="6"/>
      <c r="C374" s="7">
        <f>IFERROR(VLOOKUP(B374,ชื่อสินค้า!A:C,2,FALSE),)</f>
        <v>0</v>
      </c>
      <c r="D374" s="8" t="str">
        <f>IFERROR(VLOOKUP(B374,ชื่อสินค้า!A:D,4,FALSE),"")</f>
        <v/>
      </c>
      <c r="E374" s="9"/>
      <c r="F374" s="9"/>
      <c r="G374" s="8" t="str">
        <f t="shared" si="10"/>
        <v/>
      </c>
      <c r="H374" s="10">
        <f t="shared" si="11"/>
        <v>0</v>
      </c>
      <c r="I374" s="8">
        <f>IF(G374&lt;&gt;"",E374-SUMIFS(ขายสินค้า!E:E,ขายสินค้า!G:G,H374),)</f>
        <v>0</v>
      </c>
      <c r="J374" s="11">
        <f t="shared" si="12"/>
        <v>0</v>
      </c>
      <c r="K374" s="11">
        <f>IF(B374&lt;&gt;"", IFERROR(SUMIF(ขายสินค้า!G:G,H374,ขายสินค้า!F:F)/(E374-I374),0),)</f>
        <v>0</v>
      </c>
      <c r="L374" s="12">
        <f t="shared" si="13"/>
        <v>0</v>
      </c>
      <c r="M374" s="13">
        <f t="shared" si="14"/>
        <v>0</v>
      </c>
    </row>
    <row r="375" spans="1:13">
      <c r="A375" s="14"/>
      <c r="B375" s="6"/>
      <c r="C375" s="7">
        <f>IFERROR(VLOOKUP(B375,ชื่อสินค้า!A:C,2,FALSE),)</f>
        <v>0</v>
      </c>
      <c r="D375" s="8" t="str">
        <f>IFERROR(VLOOKUP(B375,ชื่อสินค้า!A:D,4,FALSE),"")</f>
        <v/>
      </c>
      <c r="E375" s="9"/>
      <c r="F375" s="9"/>
      <c r="G375" s="8" t="str">
        <f t="shared" si="10"/>
        <v/>
      </c>
      <c r="H375" s="10">
        <f t="shared" si="11"/>
        <v>0</v>
      </c>
      <c r="I375" s="8">
        <f>IF(G375&lt;&gt;"",E375-SUMIFS(ขายสินค้า!E:E,ขายสินค้า!G:G,H375),)</f>
        <v>0</v>
      </c>
      <c r="J375" s="11">
        <f t="shared" si="12"/>
        <v>0</v>
      </c>
      <c r="K375" s="11">
        <f>IF(B375&lt;&gt;"", IFERROR(SUMIF(ขายสินค้า!G:G,H375,ขายสินค้า!F:F)/(E375-I375),0),)</f>
        <v>0</v>
      </c>
      <c r="L375" s="12">
        <f t="shared" si="13"/>
        <v>0</v>
      </c>
      <c r="M375" s="13">
        <f t="shared" si="14"/>
        <v>0</v>
      </c>
    </row>
    <row r="376" spans="1:13">
      <c r="A376" s="14"/>
      <c r="B376" s="6"/>
      <c r="C376" s="7">
        <f>IFERROR(VLOOKUP(B376,ชื่อสินค้า!A:C,2,FALSE),)</f>
        <v>0</v>
      </c>
      <c r="D376" s="8" t="str">
        <f>IFERROR(VLOOKUP(B376,ชื่อสินค้า!A:D,4,FALSE),"")</f>
        <v/>
      </c>
      <c r="E376" s="9"/>
      <c r="F376" s="9"/>
      <c r="G376" s="8" t="str">
        <f t="shared" si="10"/>
        <v/>
      </c>
      <c r="H376" s="10">
        <f t="shared" si="11"/>
        <v>0</v>
      </c>
      <c r="I376" s="8">
        <f>IF(G376&lt;&gt;"",E376-SUMIFS(ขายสินค้า!E:E,ขายสินค้า!G:G,H376),)</f>
        <v>0</v>
      </c>
      <c r="J376" s="11">
        <f t="shared" si="12"/>
        <v>0</v>
      </c>
      <c r="K376" s="11">
        <f>IF(B376&lt;&gt;"", IFERROR(SUMIF(ขายสินค้า!G:G,H376,ขายสินค้า!F:F)/(E376-I376),0),)</f>
        <v>0</v>
      </c>
      <c r="L376" s="12">
        <f t="shared" si="13"/>
        <v>0</v>
      </c>
      <c r="M376" s="13">
        <f t="shared" si="14"/>
        <v>0</v>
      </c>
    </row>
    <row r="377" spans="1:13">
      <c r="A377" s="14"/>
      <c r="B377" s="6"/>
      <c r="C377" s="7">
        <f>IFERROR(VLOOKUP(B377,ชื่อสินค้า!A:C,2,FALSE),)</f>
        <v>0</v>
      </c>
      <c r="D377" s="8" t="str">
        <f>IFERROR(VLOOKUP(B377,ชื่อสินค้า!A:D,4,FALSE),"")</f>
        <v/>
      </c>
      <c r="E377" s="9"/>
      <c r="F377" s="9"/>
      <c r="G377" s="8" t="str">
        <f t="shared" si="10"/>
        <v/>
      </c>
      <c r="H377" s="10">
        <f t="shared" si="11"/>
        <v>0</v>
      </c>
      <c r="I377" s="8">
        <f>IF(G377&lt;&gt;"",E377-SUMIFS(ขายสินค้า!E:E,ขายสินค้า!G:G,H377),)</f>
        <v>0</v>
      </c>
      <c r="J377" s="11">
        <f t="shared" si="12"/>
        <v>0</v>
      </c>
      <c r="K377" s="11">
        <f>IF(B377&lt;&gt;"", IFERROR(SUMIF(ขายสินค้า!G:G,H377,ขายสินค้า!F:F)/(E377-I377),0),)</f>
        <v>0</v>
      </c>
      <c r="L377" s="12">
        <f t="shared" si="13"/>
        <v>0</v>
      </c>
      <c r="M377" s="13">
        <f t="shared" si="14"/>
        <v>0</v>
      </c>
    </row>
    <row r="378" spans="1:13">
      <c r="A378" s="14"/>
      <c r="B378" s="6"/>
      <c r="C378" s="7">
        <f>IFERROR(VLOOKUP(B378,ชื่อสินค้า!A:C,2,FALSE),)</f>
        <v>0</v>
      </c>
      <c r="D378" s="8" t="str">
        <f>IFERROR(VLOOKUP(B378,ชื่อสินค้า!A:D,4,FALSE),"")</f>
        <v/>
      </c>
      <c r="E378" s="9"/>
      <c r="F378" s="9"/>
      <c r="G378" s="8" t="str">
        <f t="shared" si="10"/>
        <v/>
      </c>
      <c r="H378" s="10">
        <f t="shared" si="11"/>
        <v>0</v>
      </c>
      <c r="I378" s="8">
        <f>IF(G378&lt;&gt;"",E378-SUMIFS(ขายสินค้า!E:E,ขายสินค้า!G:G,H378),)</f>
        <v>0</v>
      </c>
      <c r="J378" s="11">
        <f t="shared" si="12"/>
        <v>0</v>
      </c>
      <c r="K378" s="11">
        <f>IF(B378&lt;&gt;"", IFERROR(SUMIF(ขายสินค้า!G:G,H378,ขายสินค้า!F:F)/(E378-I378),0),)</f>
        <v>0</v>
      </c>
      <c r="L378" s="12">
        <f t="shared" si="13"/>
        <v>0</v>
      </c>
      <c r="M378" s="13">
        <f t="shared" si="14"/>
        <v>0</v>
      </c>
    </row>
    <row r="379" spans="1:13">
      <c r="A379" s="14"/>
      <c r="B379" s="6"/>
      <c r="C379" s="7">
        <f>IFERROR(VLOOKUP(B379,ชื่อสินค้า!A:C,2,FALSE),)</f>
        <v>0</v>
      </c>
      <c r="D379" s="8" t="str">
        <f>IFERROR(VLOOKUP(B379,ชื่อสินค้า!A:D,4,FALSE),"")</f>
        <v/>
      </c>
      <c r="E379" s="9"/>
      <c r="F379" s="9"/>
      <c r="G379" s="8" t="str">
        <f t="shared" si="10"/>
        <v/>
      </c>
      <c r="H379" s="10">
        <f t="shared" si="11"/>
        <v>0</v>
      </c>
      <c r="I379" s="8">
        <f>IF(G379&lt;&gt;"",E379-SUMIFS(ขายสินค้า!E:E,ขายสินค้า!G:G,H379),)</f>
        <v>0</v>
      </c>
      <c r="J379" s="11">
        <f t="shared" si="12"/>
        <v>0</v>
      </c>
      <c r="K379" s="11">
        <f>IF(B379&lt;&gt;"", IFERROR(SUMIF(ขายสินค้า!G:G,H379,ขายสินค้า!F:F)/(E379-I379),0),)</f>
        <v>0</v>
      </c>
      <c r="L379" s="12">
        <f t="shared" si="13"/>
        <v>0</v>
      </c>
      <c r="M379" s="13">
        <f t="shared" si="14"/>
        <v>0</v>
      </c>
    </row>
    <row r="380" spans="1:13">
      <c r="A380" s="14"/>
      <c r="B380" s="6"/>
      <c r="C380" s="7">
        <f>IFERROR(VLOOKUP(B380,ชื่อสินค้า!A:C,2,FALSE),)</f>
        <v>0</v>
      </c>
      <c r="D380" s="8" t="str">
        <f>IFERROR(VLOOKUP(B380,ชื่อสินค้า!A:D,4,FALSE),"")</f>
        <v/>
      </c>
      <c r="E380" s="9"/>
      <c r="F380" s="9"/>
      <c r="G380" s="8" t="str">
        <f t="shared" si="10"/>
        <v/>
      </c>
      <c r="H380" s="10">
        <f t="shared" si="11"/>
        <v>0</v>
      </c>
      <c r="I380" s="8">
        <f>IF(G380&lt;&gt;"",E380-SUMIFS(ขายสินค้า!E:E,ขายสินค้า!G:G,H380),)</f>
        <v>0</v>
      </c>
      <c r="J380" s="11">
        <f t="shared" si="12"/>
        <v>0</v>
      </c>
      <c r="K380" s="11">
        <f>IF(B380&lt;&gt;"", IFERROR(SUMIF(ขายสินค้า!G:G,H380,ขายสินค้า!F:F)/(E380-I380),0),)</f>
        <v>0</v>
      </c>
      <c r="L380" s="12">
        <f t="shared" si="13"/>
        <v>0</v>
      </c>
      <c r="M380" s="13">
        <f t="shared" si="14"/>
        <v>0</v>
      </c>
    </row>
    <row r="381" spans="1:13">
      <c r="A381" s="14"/>
      <c r="B381" s="6"/>
      <c r="C381" s="7">
        <f>IFERROR(VLOOKUP(B381,ชื่อสินค้า!A:C,2,FALSE),)</f>
        <v>0</v>
      </c>
      <c r="D381" s="8" t="str">
        <f>IFERROR(VLOOKUP(B381,ชื่อสินค้า!A:D,4,FALSE),"")</f>
        <v/>
      </c>
      <c r="E381" s="9"/>
      <c r="F381" s="9"/>
      <c r="G381" s="8" t="str">
        <f t="shared" si="10"/>
        <v/>
      </c>
      <c r="H381" s="10">
        <f t="shared" si="11"/>
        <v>0</v>
      </c>
      <c r="I381" s="8">
        <f>IF(G381&lt;&gt;"",E381-SUMIFS(ขายสินค้า!E:E,ขายสินค้า!G:G,H381),)</f>
        <v>0</v>
      </c>
      <c r="J381" s="11">
        <f t="shared" si="12"/>
        <v>0</v>
      </c>
      <c r="K381" s="11">
        <f>IF(B381&lt;&gt;"", IFERROR(SUMIF(ขายสินค้า!G:G,H381,ขายสินค้า!F:F)/(E381-I381),0),)</f>
        <v>0</v>
      </c>
      <c r="L381" s="12">
        <f t="shared" si="13"/>
        <v>0</v>
      </c>
      <c r="M381" s="13">
        <f t="shared" si="14"/>
        <v>0</v>
      </c>
    </row>
    <row r="382" spans="1:13">
      <c r="A382" s="14"/>
      <c r="B382" s="6"/>
      <c r="C382" s="7">
        <f>IFERROR(VLOOKUP(B382,ชื่อสินค้า!A:C,2,FALSE),)</f>
        <v>0</v>
      </c>
      <c r="D382" s="8" t="str">
        <f>IFERROR(VLOOKUP(B382,ชื่อสินค้า!A:D,4,FALSE),"")</f>
        <v/>
      </c>
      <c r="E382" s="9"/>
      <c r="F382" s="9"/>
      <c r="G382" s="8" t="str">
        <f t="shared" si="10"/>
        <v/>
      </c>
      <c r="H382" s="10">
        <f t="shared" si="11"/>
        <v>0</v>
      </c>
      <c r="I382" s="8">
        <f>IF(G382&lt;&gt;"",E382-SUMIFS(ขายสินค้า!E:E,ขายสินค้า!G:G,H382),)</f>
        <v>0</v>
      </c>
      <c r="J382" s="11">
        <f t="shared" si="12"/>
        <v>0</v>
      </c>
      <c r="K382" s="11">
        <f>IF(B382&lt;&gt;"", IFERROR(SUMIF(ขายสินค้า!G:G,H382,ขายสินค้า!F:F)/(E382-I382),0),)</f>
        <v>0</v>
      </c>
      <c r="L382" s="12">
        <f t="shared" si="13"/>
        <v>0</v>
      </c>
      <c r="M382" s="13">
        <f t="shared" si="14"/>
        <v>0</v>
      </c>
    </row>
    <row r="383" spans="1:13">
      <c r="A383" s="14"/>
      <c r="B383" s="6"/>
      <c r="C383" s="7">
        <f>IFERROR(VLOOKUP(B383,ชื่อสินค้า!A:C,2,FALSE),)</f>
        <v>0</v>
      </c>
      <c r="D383" s="8" t="str">
        <f>IFERROR(VLOOKUP(B383,ชื่อสินค้า!A:D,4,FALSE),"")</f>
        <v/>
      </c>
      <c r="E383" s="9"/>
      <c r="F383" s="9"/>
      <c r="G383" s="8" t="str">
        <f t="shared" si="10"/>
        <v/>
      </c>
      <c r="H383" s="10">
        <f t="shared" si="11"/>
        <v>0</v>
      </c>
      <c r="I383" s="8">
        <f>IF(G383&lt;&gt;"",E383-SUMIFS(ขายสินค้า!E:E,ขายสินค้า!G:G,H383),)</f>
        <v>0</v>
      </c>
      <c r="J383" s="11">
        <f t="shared" si="12"/>
        <v>0</v>
      </c>
      <c r="K383" s="11">
        <f>IF(B383&lt;&gt;"", IFERROR(SUMIF(ขายสินค้า!G:G,H383,ขายสินค้า!F:F)/(E383-I383),0),)</f>
        <v>0</v>
      </c>
      <c r="L383" s="12">
        <f t="shared" si="13"/>
        <v>0</v>
      </c>
      <c r="M383" s="13">
        <f t="shared" si="14"/>
        <v>0</v>
      </c>
    </row>
    <row r="384" spans="1:13">
      <c r="A384" s="14"/>
      <c r="B384" s="6"/>
      <c r="C384" s="7">
        <f>IFERROR(VLOOKUP(B384,ชื่อสินค้า!A:C,2,FALSE),)</f>
        <v>0</v>
      </c>
      <c r="D384" s="8" t="str">
        <f>IFERROR(VLOOKUP(B384,ชื่อสินค้า!A:D,4,FALSE),"")</f>
        <v/>
      </c>
      <c r="E384" s="9"/>
      <c r="F384" s="9"/>
      <c r="G384" s="8" t="str">
        <f t="shared" si="10"/>
        <v/>
      </c>
      <c r="H384" s="10">
        <f t="shared" si="11"/>
        <v>0</v>
      </c>
      <c r="I384" s="8">
        <f>IF(G384&lt;&gt;"",E384-SUMIFS(ขายสินค้า!E:E,ขายสินค้า!G:G,H384),)</f>
        <v>0</v>
      </c>
      <c r="J384" s="11">
        <f t="shared" si="12"/>
        <v>0</v>
      </c>
      <c r="K384" s="11">
        <f>IF(B384&lt;&gt;"", IFERROR(SUMIF(ขายสินค้า!G:G,H384,ขายสินค้า!F:F)/(E384-I384),0),)</f>
        <v>0</v>
      </c>
      <c r="L384" s="12">
        <f t="shared" si="13"/>
        <v>0</v>
      </c>
      <c r="M384" s="13">
        <f t="shared" si="14"/>
        <v>0</v>
      </c>
    </row>
    <row r="385" spans="1:13">
      <c r="A385" s="14"/>
      <c r="B385" s="6"/>
      <c r="C385" s="7">
        <f>IFERROR(VLOOKUP(B385,ชื่อสินค้า!A:C,2,FALSE),)</f>
        <v>0</v>
      </c>
      <c r="D385" s="8" t="str">
        <f>IFERROR(VLOOKUP(B385,ชื่อสินค้า!A:D,4,FALSE),"")</f>
        <v/>
      </c>
      <c r="E385" s="9"/>
      <c r="F385" s="9"/>
      <c r="G385" s="8" t="str">
        <f t="shared" si="10"/>
        <v/>
      </c>
      <c r="H385" s="10">
        <f t="shared" si="11"/>
        <v>0</v>
      </c>
      <c r="I385" s="8">
        <f>IF(G385&lt;&gt;"",E385-SUMIFS(ขายสินค้า!E:E,ขายสินค้า!G:G,H385),)</f>
        <v>0</v>
      </c>
      <c r="J385" s="11">
        <f t="shared" si="12"/>
        <v>0</v>
      </c>
      <c r="K385" s="11">
        <f>IF(B385&lt;&gt;"", IFERROR(SUMIF(ขายสินค้า!G:G,H385,ขายสินค้า!F:F)/(E385-I385),0),)</f>
        <v>0</v>
      </c>
      <c r="L385" s="12">
        <f t="shared" si="13"/>
        <v>0</v>
      </c>
      <c r="M385" s="13">
        <f t="shared" si="14"/>
        <v>0</v>
      </c>
    </row>
    <row r="386" spans="1:13">
      <c r="A386" s="14"/>
      <c r="B386" s="6"/>
      <c r="C386" s="7">
        <f>IFERROR(VLOOKUP(B386,ชื่อสินค้า!A:C,2,FALSE),)</f>
        <v>0</v>
      </c>
      <c r="D386" s="8" t="str">
        <f>IFERROR(VLOOKUP(B386,ชื่อสินค้า!A:D,4,FALSE),"")</f>
        <v/>
      </c>
      <c r="E386" s="9"/>
      <c r="F386" s="9"/>
      <c r="G386" s="8" t="str">
        <f t="shared" si="10"/>
        <v/>
      </c>
      <c r="H386" s="10">
        <f t="shared" si="11"/>
        <v>0</v>
      </c>
      <c r="I386" s="8">
        <f>IF(G386&lt;&gt;"",E386-SUMIFS(ขายสินค้า!E:E,ขายสินค้า!G:G,H386),)</f>
        <v>0</v>
      </c>
      <c r="J386" s="11">
        <f t="shared" si="12"/>
        <v>0</v>
      </c>
      <c r="K386" s="11">
        <f>IF(B386&lt;&gt;"", IFERROR(SUMIF(ขายสินค้า!G:G,H386,ขายสินค้า!F:F)/(E386-I386),0),)</f>
        <v>0</v>
      </c>
      <c r="L386" s="12">
        <f t="shared" si="13"/>
        <v>0</v>
      </c>
      <c r="M386" s="13">
        <f t="shared" si="14"/>
        <v>0</v>
      </c>
    </row>
    <row r="387" spans="1:13">
      <c r="A387" s="14"/>
      <c r="B387" s="6"/>
      <c r="C387" s="7">
        <f>IFERROR(VLOOKUP(B387,ชื่อสินค้า!A:C,2,FALSE),)</f>
        <v>0</v>
      </c>
      <c r="D387" s="8" t="str">
        <f>IFERROR(VLOOKUP(B387,ชื่อสินค้า!A:D,4,FALSE),"")</f>
        <v/>
      </c>
      <c r="E387" s="9"/>
      <c r="F387" s="9"/>
      <c r="G387" s="8" t="str">
        <f t="shared" si="10"/>
        <v/>
      </c>
      <c r="H387" s="10">
        <f t="shared" si="11"/>
        <v>0</v>
      </c>
      <c r="I387" s="8">
        <f>IF(G387&lt;&gt;"",E387-SUMIFS(ขายสินค้า!E:E,ขายสินค้า!G:G,H387),)</f>
        <v>0</v>
      </c>
      <c r="J387" s="11">
        <f t="shared" si="12"/>
        <v>0</v>
      </c>
      <c r="K387" s="11">
        <f>IF(B387&lt;&gt;"", IFERROR(SUMIF(ขายสินค้า!G:G,H387,ขายสินค้า!F:F)/(E387-I387),0),)</f>
        <v>0</v>
      </c>
      <c r="L387" s="12">
        <f t="shared" si="13"/>
        <v>0</v>
      </c>
      <c r="M387" s="13">
        <f t="shared" si="14"/>
        <v>0</v>
      </c>
    </row>
    <row r="388" spans="1:13">
      <c r="A388" s="14"/>
      <c r="B388" s="6"/>
      <c r="C388" s="7">
        <f>IFERROR(VLOOKUP(B388,ชื่อสินค้า!A:C,2,FALSE),)</f>
        <v>0</v>
      </c>
      <c r="D388" s="8" t="str">
        <f>IFERROR(VLOOKUP(B388,ชื่อสินค้า!A:D,4,FALSE),"")</f>
        <v/>
      </c>
      <c r="E388" s="9"/>
      <c r="F388" s="9"/>
      <c r="G388" s="8" t="str">
        <f t="shared" si="10"/>
        <v/>
      </c>
      <c r="H388" s="10">
        <f t="shared" si="11"/>
        <v>0</v>
      </c>
      <c r="I388" s="8">
        <f>IF(G388&lt;&gt;"",E388-SUMIFS(ขายสินค้า!E:E,ขายสินค้า!G:G,H388),)</f>
        <v>0</v>
      </c>
      <c r="J388" s="11">
        <f t="shared" si="12"/>
        <v>0</v>
      </c>
      <c r="K388" s="11">
        <f>IF(B388&lt;&gt;"", IFERROR(SUMIF(ขายสินค้า!G:G,H388,ขายสินค้า!F:F)/(E388-I388),0),)</f>
        <v>0</v>
      </c>
      <c r="L388" s="12">
        <f t="shared" si="13"/>
        <v>0</v>
      </c>
      <c r="M388" s="13">
        <f t="shared" si="14"/>
        <v>0</v>
      </c>
    </row>
    <row r="389" spans="1:13">
      <c r="A389" s="14"/>
      <c r="B389" s="6"/>
      <c r="C389" s="7">
        <f>IFERROR(VLOOKUP(B389,ชื่อสินค้า!A:C,2,FALSE),)</f>
        <v>0</v>
      </c>
      <c r="D389" s="8" t="str">
        <f>IFERROR(VLOOKUP(B389,ชื่อสินค้า!A:D,4,FALSE),"")</f>
        <v/>
      </c>
      <c r="E389" s="9"/>
      <c r="F389" s="9"/>
      <c r="G389" s="8" t="str">
        <f t="shared" si="10"/>
        <v/>
      </c>
      <c r="H389" s="10">
        <f t="shared" si="11"/>
        <v>0</v>
      </c>
      <c r="I389" s="8">
        <f>IF(G389&lt;&gt;"",E389-SUMIFS(ขายสินค้า!E:E,ขายสินค้า!G:G,H389),)</f>
        <v>0</v>
      </c>
      <c r="J389" s="11">
        <f t="shared" si="12"/>
        <v>0</v>
      </c>
      <c r="K389" s="11">
        <f>IF(B389&lt;&gt;"", IFERROR(SUMIF(ขายสินค้า!G:G,H389,ขายสินค้า!F:F)/(E389-I389),0),)</f>
        <v>0</v>
      </c>
      <c r="L389" s="12">
        <f t="shared" si="13"/>
        <v>0</v>
      </c>
      <c r="M389" s="13">
        <f t="shared" si="14"/>
        <v>0</v>
      </c>
    </row>
    <row r="390" spans="1:13">
      <c r="A390" s="14"/>
      <c r="B390" s="6"/>
      <c r="C390" s="7">
        <f>IFERROR(VLOOKUP(B390,ชื่อสินค้า!A:C,2,FALSE),)</f>
        <v>0</v>
      </c>
      <c r="D390" s="8" t="str">
        <f>IFERROR(VLOOKUP(B390,ชื่อสินค้า!A:D,4,FALSE),"")</f>
        <v/>
      </c>
      <c r="E390" s="9"/>
      <c r="F390" s="9"/>
      <c r="G390" s="8" t="str">
        <f t="shared" si="10"/>
        <v/>
      </c>
      <c r="H390" s="10">
        <f t="shared" si="11"/>
        <v>0</v>
      </c>
      <c r="I390" s="8">
        <f>IF(G390&lt;&gt;"",E390-SUMIFS(ขายสินค้า!E:E,ขายสินค้า!G:G,H390),)</f>
        <v>0</v>
      </c>
      <c r="J390" s="11">
        <f t="shared" si="12"/>
        <v>0</v>
      </c>
      <c r="K390" s="11">
        <f>IF(B390&lt;&gt;"", IFERROR(SUMIF(ขายสินค้า!G:G,H390,ขายสินค้า!F:F)/(E390-I390),0),)</f>
        <v>0</v>
      </c>
      <c r="L390" s="12">
        <f t="shared" si="13"/>
        <v>0</v>
      </c>
      <c r="M390" s="13">
        <f t="shared" si="14"/>
        <v>0</v>
      </c>
    </row>
    <row r="391" spans="1:13">
      <c r="A391" s="14"/>
      <c r="B391" s="6"/>
      <c r="C391" s="7">
        <f>IFERROR(VLOOKUP(B391,ชื่อสินค้า!A:C,2,FALSE),)</f>
        <v>0</v>
      </c>
      <c r="D391" s="8" t="str">
        <f>IFERROR(VLOOKUP(B391,ชื่อสินค้า!A:D,4,FALSE),"")</f>
        <v/>
      </c>
      <c r="E391" s="9"/>
      <c r="F391" s="9"/>
      <c r="G391" s="8" t="str">
        <f t="shared" si="10"/>
        <v/>
      </c>
      <c r="H391" s="10">
        <f t="shared" si="11"/>
        <v>0</v>
      </c>
      <c r="I391" s="8">
        <f>IF(G391&lt;&gt;"",E391-SUMIFS(ขายสินค้า!E:E,ขายสินค้า!G:G,H391),)</f>
        <v>0</v>
      </c>
      <c r="J391" s="11">
        <f t="shared" si="12"/>
        <v>0</v>
      </c>
      <c r="K391" s="11">
        <f>IF(B391&lt;&gt;"", IFERROR(SUMIF(ขายสินค้า!G:G,H391,ขายสินค้า!F:F)/(E391-I391),0),)</f>
        <v>0</v>
      </c>
      <c r="L391" s="12">
        <f t="shared" si="13"/>
        <v>0</v>
      </c>
      <c r="M391" s="13">
        <f t="shared" si="14"/>
        <v>0</v>
      </c>
    </row>
    <row r="392" spans="1:13">
      <c r="A392" s="14"/>
      <c r="B392" s="6"/>
      <c r="C392" s="7">
        <f>IFERROR(VLOOKUP(B392,ชื่อสินค้า!A:C,2,FALSE),)</f>
        <v>0</v>
      </c>
      <c r="D392" s="8" t="str">
        <f>IFERROR(VLOOKUP(B392,ชื่อสินค้า!A:D,4,FALSE),"")</f>
        <v/>
      </c>
      <c r="E392" s="9"/>
      <c r="F392" s="9"/>
      <c r="G392" s="8" t="str">
        <f t="shared" si="10"/>
        <v/>
      </c>
      <c r="H392" s="10">
        <f t="shared" si="11"/>
        <v>0</v>
      </c>
      <c r="I392" s="8">
        <f>IF(G392&lt;&gt;"",E392-SUMIFS(ขายสินค้า!E:E,ขายสินค้า!G:G,H392),)</f>
        <v>0</v>
      </c>
      <c r="J392" s="11">
        <f t="shared" si="12"/>
        <v>0</v>
      </c>
      <c r="K392" s="11">
        <f>IF(B392&lt;&gt;"", IFERROR(SUMIF(ขายสินค้า!G:G,H392,ขายสินค้า!F:F)/(E392-I392),0),)</f>
        <v>0</v>
      </c>
      <c r="L392" s="12">
        <f t="shared" si="13"/>
        <v>0</v>
      </c>
      <c r="M392" s="13">
        <f t="shared" si="14"/>
        <v>0</v>
      </c>
    </row>
    <row r="393" spans="1:13">
      <c r="A393" s="14"/>
      <c r="B393" s="6"/>
      <c r="C393" s="7">
        <f>IFERROR(VLOOKUP(B393,ชื่อสินค้า!A:C,2,FALSE),)</f>
        <v>0</v>
      </c>
      <c r="D393" s="8" t="str">
        <f>IFERROR(VLOOKUP(B393,ชื่อสินค้า!A:D,4,FALSE),"")</f>
        <v/>
      </c>
      <c r="E393" s="9"/>
      <c r="F393" s="9"/>
      <c r="G393" s="8" t="str">
        <f t="shared" si="10"/>
        <v/>
      </c>
      <c r="H393" s="10">
        <f t="shared" si="11"/>
        <v>0</v>
      </c>
      <c r="I393" s="8">
        <f>IF(G393&lt;&gt;"",E393-SUMIFS(ขายสินค้า!E:E,ขายสินค้า!G:G,H393),)</f>
        <v>0</v>
      </c>
      <c r="J393" s="11">
        <f t="shared" si="12"/>
        <v>0</v>
      </c>
      <c r="K393" s="11">
        <f>IF(B393&lt;&gt;"", IFERROR(SUMIF(ขายสินค้า!G:G,H393,ขายสินค้า!F:F)/(E393-I393),0),)</f>
        <v>0</v>
      </c>
      <c r="L393" s="12">
        <f t="shared" si="13"/>
        <v>0</v>
      </c>
      <c r="M393" s="13">
        <f t="shared" si="14"/>
        <v>0</v>
      </c>
    </row>
    <row r="394" spans="1:13">
      <c r="A394" s="14"/>
      <c r="B394" s="6"/>
      <c r="C394" s="7">
        <f>IFERROR(VLOOKUP(B394,ชื่อสินค้า!A:C,2,FALSE),)</f>
        <v>0</v>
      </c>
      <c r="D394" s="8" t="str">
        <f>IFERROR(VLOOKUP(B394,ชื่อสินค้า!A:D,4,FALSE),"")</f>
        <v/>
      </c>
      <c r="E394" s="9"/>
      <c r="F394" s="9"/>
      <c r="G394" s="8" t="str">
        <f t="shared" si="10"/>
        <v/>
      </c>
      <c r="H394" s="10">
        <f t="shared" si="11"/>
        <v>0</v>
      </c>
      <c r="I394" s="8">
        <f>IF(G394&lt;&gt;"",E394-SUMIFS(ขายสินค้า!E:E,ขายสินค้า!G:G,H394),)</f>
        <v>0</v>
      </c>
      <c r="J394" s="11">
        <f t="shared" si="12"/>
        <v>0</v>
      </c>
      <c r="K394" s="11">
        <f>IF(B394&lt;&gt;"", IFERROR(SUMIF(ขายสินค้า!G:G,H394,ขายสินค้า!F:F)/(E394-I394),0),)</f>
        <v>0</v>
      </c>
      <c r="L394" s="12">
        <f t="shared" si="13"/>
        <v>0</v>
      </c>
      <c r="M394" s="13">
        <f t="shared" si="14"/>
        <v>0</v>
      </c>
    </row>
    <row r="395" spans="1:13">
      <c r="A395" s="14"/>
      <c r="B395" s="6"/>
      <c r="C395" s="7">
        <f>IFERROR(VLOOKUP(B395,ชื่อสินค้า!A:C,2,FALSE),)</f>
        <v>0</v>
      </c>
      <c r="D395" s="8" t="str">
        <f>IFERROR(VLOOKUP(B395,ชื่อสินค้า!A:D,4,FALSE),"")</f>
        <v/>
      </c>
      <c r="E395" s="9"/>
      <c r="F395" s="9"/>
      <c r="G395" s="8" t="str">
        <f t="shared" si="10"/>
        <v/>
      </c>
      <c r="H395" s="10">
        <f t="shared" si="11"/>
        <v>0</v>
      </c>
      <c r="I395" s="8">
        <f>IF(G395&lt;&gt;"",E395-SUMIFS(ขายสินค้า!E:E,ขายสินค้า!G:G,H395),)</f>
        <v>0</v>
      </c>
      <c r="J395" s="11">
        <f t="shared" si="12"/>
        <v>0</v>
      </c>
      <c r="K395" s="11">
        <f>IF(B395&lt;&gt;"", IFERROR(SUMIF(ขายสินค้า!G:G,H395,ขายสินค้า!F:F)/(E395-I395),0),)</f>
        <v>0</v>
      </c>
      <c r="L395" s="12">
        <f t="shared" si="13"/>
        <v>0</v>
      </c>
      <c r="M395" s="13">
        <f t="shared" si="14"/>
        <v>0</v>
      </c>
    </row>
    <row r="396" spans="1:13">
      <c r="A396" s="14"/>
      <c r="B396" s="6"/>
      <c r="C396" s="7">
        <f>IFERROR(VLOOKUP(B396,ชื่อสินค้า!A:C,2,FALSE),)</f>
        <v>0</v>
      </c>
      <c r="D396" s="8" t="str">
        <f>IFERROR(VLOOKUP(B396,ชื่อสินค้า!A:D,4,FALSE),"")</f>
        <v/>
      </c>
      <c r="E396" s="9"/>
      <c r="F396" s="9"/>
      <c r="G396" s="8" t="str">
        <f t="shared" si="10"/>
        <v/>
      </c>
      <c r="H396" s="10">
        <f t="shared" si="11"/>
        <v>0</v>
      </c>
      <c r="I396" s="8">
        <f>IF(G396&lt;&gt;"",E396-SUMIFS(ขายสินค้า!E:E,ขายสินค้า!G:G,H396),)</f>
        <v>0</v>
      </c>
      <c r="J396" s="11">
        <f t="shared" si="12"/>
        <v>0</v>
      </c>
      <c r="K396" s="11">
        <f>IF(B396&lt;&gt;"", IFERROR(SUMIF(ขายสินค้า!G:G,H396,ขายสินค้า!F:F)/(E396-I396),0),)</f>
        <v>0</v>
      </c>
      <c r="L396" s="12">
        <f t="shared" si="13"/>
        <v>0</v>
      </c>
      <c r="M396" s="13">
        <f t="shared" si="14"/>
        <v>0</v>
      </c>
    </row>
    <row r="397" spans="1:13">
      <c r="A397" s="14"/>
      <c r="B397" s="6"/>
      <c r="C397" s="7">
        <f>IFERROR(VLOOKUP(B397,ชื่อสินค้า!A:C,2,FALSE),)</f>
        <v>0</v>
      </c>
      <c r="D397" s="8" t="str">
        <f>IFERROR(VLOOKUP(B397,ชื่อสินค้า!A:D,4,FALSE),"")</f>
        <v/>
      </c>
      <c r="E397" s="9"/>
      <c r="F397" s="9"/>
      <c r="G397" s="8" t="str">
        <f t="shared" si="10"/>
        <v/>
      </c>
      <c r="H397" s="10">
        <f t="shared" si="11"/>
        <v>0</v>
      </c>
      <c r="I397" s="8">
        <f>IF(G397&lt;&gt;"",E397-SUMIFS(ขายสินค้า!E:E,ขายสินค้า!G:G,H397),)</f>
        <v>0</v>
      </c>
      <c r="J397" s="11">
        <f t="shared" si="12"/>
        <v>0</v>
      </c>
      <c r="K397" s="11">
        <f>IF(B397&lt;&gt;"", IFERROR(SUMIF(ขายสินค้า!G:G,H397,ขายสินค้า!F:F)/(E397-I397),0),)</f>
        <v>0</v>
      </c>
      <c r="L397" s="12">
        <f t="shared" si="13"/>
        <v>0</v>
      </c>
      <c r="M397" s="13">
        <f t="shared" si="14"/>
        <v>0</v>
      </c>
    </row>
    <row r="398" spans="1:13">
      <c r="A398" s="14"/>
      <c r="B398" s="6"/>
      <c r="C398" s="7">
        <f>IFERROR(VLOOKUP(B398,ชื่อสินค้า!A:C,2,FALSE),)</f>
        <v>0</v>
      </c>
      <c r="D398" s="8" t="str">
        <f>IFERROR(VLOOKUP(B398,ชื่อสินค้า!A:D,4,FALSE),"")</f>
        <v/>
      </c>
      <c r="E398" s="9"/>
      <c r="F398" s="9"/>
      <c r="G398" s="8" t="str">
        <f t="shared" si="10"/>
        <v/>
      </c>
      <c r="H398" s="10">
        <f t="shared" si="11"/>
        <v>0</v>
      </c>
      <c r="I398" s="8">
        <f>IF(G398&lt;&gt;"",E398-SUMIFS(ขายสินค้า!E:E,ขายสินค้า!G:G,H398),)</f>
        <v>0</v>
      </c>
      <c r="J398" s="11">
        <f t="shared" si="12"/>
        <v>0</v>
      </c>
      <c r="K398" s="11">
        <f>IF(B398&lt;&gt;"", IFERROR(SUMIF(ขายสินค้า!G:G,H398,ขายสินค้า!F:F)/(E398-I398),0),)</f>
        <v>0</v>
      </c>
      <c r="L398" s="12">
        <f t="shared" si="13"/>
        <v>0</v>
      </c>
      <c r="M398" s="13">
        <f t="shared" si="14"/>
        <v>0</v>
      </c>
    </row>
    <row r="399" spans="1:13">
      <c r="A399" s="14"/>
      <c r="B399" s="6"/>
      <c r="C399" s="7">
        <f>IFERROR(VLOOKUP(B399,ชื่อสินค้า!A:C,2,FALSE),)</f>
        <v>0</v>
      </c>
      <c r="D399" s="8" t="str">
        <f>IFERROR(VLOOKUP(B399,ชื่อสินค้า!A:D,4,FALSE),"")</f>
        <v/>
      </c>
      <c r="E399" s="9"/>
      <c r="F399" s="9"/>
      <c r="G399" s="8" t="str">
        <f t="shared" si="10"/>
        <v/>
      </c>
      <c r="H399" s="10">
        <f t="shared" si="11"/>
        <v>0</v>
      </c>
      <c r="I399" s="8">
        <f>IF(G399&lt;&gt;"",E399-SUMIFS(ขายสินค้า!E:E,ขายสินค้า!G:G,H399),)</f>
        <v>0</v>
      </c>
      <c r="J399" s="11">
        <f t="shared" si="12"/>
        <v>0</v>
      </c>
      <c r="K399" s="11">
        <f>IF(B399&lt;&gt;"", IFERROR(SUMIF(ขายสินค้า!G:G,H399,ขายสินค้า!F:F)/(E399-I399),0),)</f>
        <v>0</v>
      </c>
      <c r="L399" s="12">
        <f t="shared" si="13"/>
        <v>0</v>
      </c>
      <c r="M399" s="13">
        <f t="shared" si="14"/>
        <v>0</v>
      </c>
    </row>
    <row r="400" spans="1:13">
      <c r="A400" s="14"/>
      <c r="B400" s="6"/>
      <c r="C400" s="7">
        <f>IFERROR(VLOOKUP(B400,ชื่อสินค้า!A:C,2,FALSE),)</f>
        <v>0</v>
      </c>
      <c r="D400" s="8" t="str">
        <f>IFERROR(VLOOKUP(B400,ชื่อสินค้า!A:D,4,FALSE),"")</f>
        <v/>
      </c>
      <c r="E400" s="9"/>
      <c r="F400" s="9"/>
      <c r="G400" s="8" t="str">
        <f t="shared" si="10"/>
        <v/>
      </c>
      <c r="H400" s="10">
        <f t="shared" si="11"/>
        <v>0</v>
      </c>
      <c r="I400" s="8">
        <f>IF(G400&lt;&gt;"",E400-SUMIFS(ขายสินค้า!E:E,ขายสินค้า!G:G,H400),)</f>
        <v>0</v>
      </c>
      <c r="J400" s="11">
        <f t="shared" si="12"/>
        <v>0</v>
      </c>
      <c r="K400" s="11">
        <f>IF(B400&lt;&gt;"", IFERROR(SUMIF(ขายสินค้า!G:G,H400,ขายสินค้า!F:F)/(E400-I400),0),)</f>
        <v>0</v>
      </c>
      <c r="L400" s="12">
        <f t="shared" si="13"/>
        <v>0</v>
      </c>
      <c r="M400" s="13">
        <f t="shared" si="14"/>
        <v>0</v>
      </c>
    </row>
    <row r="401" spans="1:13">
      <c r="A401" s="14"/>
      <c r="B401" s="6"/>
      <c r="C401" s="7">
        <f>IFERROR(VLOOKUP(B401,ชื่อสินค้า!A:C,2,FALSE),)</f>
        <v>0</v>
      </c>
      <c r="D401" s="8" t="str">
        <f>IFERROR(VLOOKUP(B401,ชื่อสินค้า!A:D,4,FALSE),"")</f>
        <v/>
      </c>
      <c r="E401" s="9"/>
      <c r="F401" s="9"/>
      <c r="G401" s="8" t="str">
        <f t="shared" si="10"/>
        <v/>
      </c>
      <c r="H401" s="10">
        <f t="shared" si="11"/>
        <v>0</v>
      </c>
      <c r="I401" s="8">
        <f>IF(G401&lt;&gt;"",E401-SUMIFS(ขายสินค้า!E:E,ขายสินค้า!G:G,H401),)</f>
        <v>0</v>
      </c>
      <c r="J401" s="11">
        <f t="shared" si="12"/>
        <v>0</v>
      </c>
      <c r="K401" s="11">
        <f>IF(B401&lt;&gt;"", IFERROR(SUMIF(ขายสินค้า!G:G,H401,ขายสินค้า!F:F)/(E401-I401),0),)</f>
        <v>0</v>
      </c>
      <c r="L401" s="12">
        <f t="shared" si="13"/>
        <v>0</v>
      </c>
      <c r="M401" s="13">
        <f t="shared" si="14"/>
        <v>0</v>
      </c>
    </row>
    <row r="402" spans="1:13">
      <c r="A402" s="14"/>
      <c r="B402" s="6"/>
      <c r="C402" s="7">
        <f>IFERROR(VLOOKUP(B402,ชื่อสินค้า!A:C,2,FALSE),)</f>
        <v>0</v>
      </c>
      <c r="D402" s="8" t="str">
        <f>IFERROR(VLOOKUP(B402,ชื่อสินค้า!A:D,4,FALSE),"")</f>
        <v/>
      </c>
      <c r="E402" s="9"/>
      <c r="F402" s="9"/>
      <c r="G402" s="8" t="str">
        <f t="shared" si="10"/>
        <v/>
      </c>
      <c r="H402" s="10">
        <f t="shared" si="11"/>
        <v>0</v>
      </c>
      <c r="I402" s="8">
        <f>IF(G402&lt;&gt;"",E402-SUMIFS(ขายสินค้า!E:E,ขายสินค้า!G:G,H402),)</f>
        <v>0</v>
      </c>
      <c r="J402" s="11">
        <f t="shared" si="12"/>
        <v>0</v>
      </c>
      <c r="K402" s="11">
        <f>IF(B402&lt;&gt;"", IFERROR(SUMIF(ขายสินค้า!G:G,H402,ขายสินค้า!F:F)/(E402-I402),0),)</f>
        <v>0</v>
      </c>
      <c r="L402" s="12">
        <f t="shared" si="13"/>
        <v>0</v>
      </c>
      <c r="M402" s="13">
        <f t="shared" si="14"/>
        <v>0</v>
      </c>
    </row>
    <row r="403" spans="1:13">
      <c r="A403" s="14"/>
      <c r="B403" s="6"/>
      <c r="C403" s="7">
        <f>IFERROR(VLOOKUP(B403,ชื่อสินค้า!A:C,2,FALSE),)</f>
        <v>0</v>
      </c>
      <c r="D403" s="8" t="str">
        <f>IFERROR(VLOOKUP(B403,ชื่อสินค้า!A:D,4,FALSE),"")</f>
        <v/>
      </c>
      <c r="E403" s="9"/>
      <c r="F403" s="9"/>
      <c r="G403" s="8" t="str">
        <f t="shared" si="10"/>
        <v/>
      </c>
      <c r="H403" s="10">
        <f t="shared" si="11"/>
        <v>0</v>
      </c>
      <c r="I403" s="8">
        <f>IF(G403&lt;&gt;"",E403-SUMIFS(ขายสินค้า!E:E,ขายสินค้า!G:G,H403),)</f>
        <v>0</v>
      </c>
      <c r="J403" s="11">
        <f t="shared" si="12"/>
        <v>0</v>
      </c>
      <c r="K403" s="11">
        <f>IF(B403&lt;&gt;"", IFERROR(SUMIF(ขายสินค้า!G:G,H403,ขายสินค้า!F:F)/(E403-I403),0),)</f>
        <v>0</v>
      </c>
      <c r="L403" s="12">
        <f t="shared" si="13"/>
        <v>0</v>
      </c>
      <c r="M403" s="13">
        <f t="shared" si="14"/>
        <v>0</v>
      </c>
    </row>
    <row r="404" spans="1:13">
      <c r="A404" s="14"/>
      <c r="B404" s="6"/>
      <c r="C404" s="7">
        <f>IFERROR(VLOOKUP(B404,ชื่อสินค้า!A:C,2,FALSE),)</f>
        <v>0</v>
      </c>
      <c r="D404" s="8" t="str">
        <f>IFERROR(VLOOKUP(B404,ชื่อสินค้า!A:D,4,FALSE),"")</f>
        <v/>
      </c>
      <c r="E404" s="9"/>
      <c r="F404" s="9"/>
      <c r="G404" s="8" t="str">
        <f t="shared" si="10"/>
        <v/>
      </c>
      <c r="H404" s="10">
        <f t="shared" si="11"/>
        <v>0</v>
      </c>
      <c r="I404" s="8">
        <f>IF(G404&lt;&gt;"",E404-SUMIFS(ขายสินค้า!E:E,ขายสินค้า!G:G,H404),)</f>
        <v>0</v>
      </c>
      <c r="J404" s="11">
        <f t="shared" si="12"/>
        <v>0</v>
      </c>
      <c r="K404" s="11">
        <f>IF(B404&lt;&gt;"", IFERROR(SUMIF(ขายสินค้า!G:G,H404,ขายสินค้า!F:F)/(E404-I404),0),)</f>
        <v>0</v>
      </c>
      <c r="L404" s="12">
        <f t="shared" si="13"/>
        <v>0</v>
      </c>
      <c r="M404" s="13">
        <f t="shared" si="14"/>
        <v>0</v>
      </c>
    </row>
    <row r="405" spans="1:13">
      <c r="A405" s="14"/>
      <c r="B405" s="6"/>
      <c r="C405" s="7">
        <f>IFERROR(VLOOKUP(B405,ชื่อสินค้า!A:C,2,FALSE),)</f>
        <v>0</v>
      </c>
      <c r="D405" s="8" t="str">
        <f>IFERROR(VLOOKUP(B405,ชื่อสินค้า!A:D,4,FALSE),"")</f>
        <v/>
      </c>
      <c r="E405" s="9"/>
      <c r="F405" s="9"/>
      <c r="G405" s="8" t="str">
        <f t="shared" si="10"/>
        <v/>
      </c>
      <c r="H405" s="10">
        <f t="shared" si="11"/>
        <v>0</v>
      </c>
      <c r="I405" s="8">
        <f>IF(G405&lt;&gt;"",E405-SUMIFS(ขายสินค้า!E:E,ขายสินค้า!G:G,H405),)</f>
        <v>0</v>
      </c>
      <c r="J405" s="11">
        <f t="shared" si="12"/>
        <v>0</v>
      </c>
      <c r="K405" s="11">
        <f>IF(B405&lt;&gt;"", IFERROR(SUMIF(ขายสินค้า!G:G,H405,ขายสินค้า!F:F)/(E405-I405),0),)</f>
        <v>0</v>
      </c>
      <c r="L405" s="12">
        <f t="shared" si="13"/>
        <v>0</v>
      </c>
      <c r="M405" s="13">
        <f t="shared" si="14"/>
        <v>0</v>
      </c>
    </row>
    <row r="406" spans="1:13">
      <c r="A406" s="14"/>
      <c r="B406" s="6"/>
      <c r="C406" s="7">
        <f>IFERROR(VLOOKUP(B406,ชื่อสินค้า!A:C,2,FALSE),)</f>
        <v>0</v>
      </c>
      <c r="D406" s="8" t="str">
        <f>IFERROR(VLOOKUP(B406,ชื่อสินค้า!A:D,4,FALSE),"")</f>
        <v/>
      </c>
      <c r="E406" s="9"/>
      <c r="F406" s="9"/>
      <c r="G406" s="8" t="str">
        <f t="shared" si="10"/>
        <v/>
      </c>
      <c r="H406" s="10">
        <f t="shared" si="11"/>
        <v>0</v>
      </c>
      <c r="I406" s="8">
        <f>IF(G406&lt;&gt;"",E406-SUMIFS(ขายสินค้า!E:E,ขายสินค้า!G:G,H406),)</f>
        <v>0</v>
      </c>
      <c r="J406" s="11">
        <f t="shared" si="12"/>
        <v>0</v>
      </c>
      <c r="K406" s="11">
        <f>IF(B406&lt;&gt;"", IFERROR(SUMIF(ขายสินค้า!G:G,H406,ขายสินค้า!F:F)/(E406-I406),0),)</f>
        <v>0</v>
      </c>
      <c r="L406" s="12">
        <f t="shared" si="13"/>
        <v>0</v>
      </c>
      <c r="M406" s="13">
        <f t="shared" si="14"/>
        <v>0</v>
      </c>
    </row>
    <row r="407" spans="1:13">
      <c r="A407" s="14"/>
      <c r="B407" s="6"/>
      <c r="C407" s="7">
        <f>IFERROR(VLOOKUP(B407,ชื่อสินค้า!A:C,2,FALSE),)</f>
        <v>0</v>
      </c>
      <c r="D407" s="8" t="str">
        <f>IFERROR(VLOOKUP(B407,ชื่อสินค้า!A:D,4,FALSE),"")</f>
        <v/>
      </c>
      <c r="E407" s="9"/>
      <c r="F407" s="9"/>
      <c r="G407" s="8" t="str">
        <f t="shared" si="10"/>
        <v/>
      </c>
      <c r="H407" s="10">
        <f t="shared" si="11"/>
        <v>0</v>
      </c>
      <c r="I407" s="8">
        <f>IF(G407&lt;&gt;"",E407-SUMIFS(ขายสินค้า!E:E,ขายสินค้า!G:G,H407),)</f>
        <v>0</v>
      </c>
      <c r="J407" s="11">
        <f t="shared" si="12"/>
        <v>0</v>
      </c>
      <c r="K407" s="11">
        <f>IF(B407&lt;&gt;"", IFERROR(SUMIF(ขายสินค้า!G:G,H407,ขายสินค้า!F:F)/(E407-I407),0),)</f>
        <v>0</v>
      </c>
      <c r="L407" s="12">
        <f t="shared" si="13"/>
        <v>0</v>
      </c>
      <c r="M407" s="13">
        <f t="shared" si="14"/>
        <v>0</v>
      </c>
    </row>
    <row r="408" spans="1:13">
      <c r="A408" s="14"/>
      <c r="B408" s="6"/>
      <c r="C408" s="7">
        <f>IFERROR(VLOOKUP(B408,ชื่อสินค้า!A:C,2,FALSE),)</f>
        <v>0</v>
      </c>
      <c r="D408" s="8" t="str">
        <f>IFERROR(VLOOKUP(B408,ชื่อสินค้า!A:D,4,FALSE),"")</f>
        <v/>
      </c>
      <c r="E408" s="9"/>
      <c r="F408" s="9"/>
      <c r="G408" s="8" t="str">
        <f t="shared" si="10"/>
        <v/>
      </c>
      <c r="H408" s="10">
        <f t="shared" si="11"/>
        <v>0</v>
      </c>
      <c r="I408" s="8">
        <f>IF(G408&lt;&gt;"",E408-SUMIFS(ขายสินค้า!E:E,ขายสินค้า!G:G,H408),)</f>
        <v>0</v>
      </c>
      <c r="J408" s="11">
        <f t="shared" si="12"/>
        <v>0</v>
      </c>
      <c r="K408" s="11">
        <f>IF(B408&lt;&gt;"", IFERROR(SUMIF(ขายสินค้า!G:G,H408,ขายสินค้า!F:F)/(E408-I408),0),)</f>
        <v>0</v>
      </c>
      <c r="L408" s="12">
        <f t="shared" si="13"/>
        <v>0</v>
      </c>
      <c r="M408" s="13">
        <f t="shared" si="14"/>
        <v>0</v>
      </c>
    </row>
    <row r="409" spans="1:13">
      <c r="A409" s="14"/>
      <c r="B409" s="6"/>
      <c r="C409" s="7">
        <f>IFERROR(VLOOKUP(B409,ชื่อสินค้า!A:C,2,FALSE),)</f>
        <v>0</v>
      </c>
      <c r="D409" s="8" t="str">
        <f>IFERROR(VLOOKUP(B409,ชื่อสินค้า!A:D,4,FALSE),"")</f>
        <v/>
      </c>
      <c r="E409" s="9"/>
      <c r="F409" s="9"/>
      <c r="G409" s="8" t="str">
        <f t="shared" si="10"/>
        <v/>
      </c>
      <c r="H409" s="10">
        <f t="shared" si="11"/>
        <v>0</v>
      </c>
      <c r="I409" s="8">
        <f>IF(G409&lt;&gt;"",E409-SUMIFS(ขายสินค้า!E:E,ขายสินค้า!G:G,H409),)</f>
        <v>0</v>
      </c>
      <c r="J409" s="11">
        <f t="shared" si="12"/>
        <v>0</v>
      </c>
      <c r="K409" s="11">
        <f>IF(B409&lt;&gt;"", IFERROR(SUMIF(ขายสินค้า!G:G,H409,ขายสินค้า!F:F)/(E409-I409),0),)</f>
        <v>0</v>
      </c>
      <c r="L409" s="12">
        <f t="shared" si="13"/>
        <v>0</v>
      </c>
      <c r="M409" s="13">
        <f t="shared" si="14"/>
        <v>0</v>
      </c>
    </row>
    <row r="410" spans="1:13">
      <c r="A410" s="14"/>
      <c r="B410" s="6"/>
      <c r="C410" s="7">
        <f>IFERROR(VLOOKUP(B410,ชื่อสินค้า!A:C,2,FALSE),)</f>
        <v>0</v>
      </c>
      <c r="D410" s="8" t="str">
        <f>IFERROR(VLOOKUP(B410,ชื่อสินค้า!A:D,4,FALSE),"")</f>
        <v/>
      </c>
      <c r="E410" s="9"/>
      <c r="F410" s="9"/>
      <c r="G410" s="8" t="str">
        <f t="shared" si="10"/>
        <v/>
      </c>
      <c r="H410" s="10">
        <f t="shared" si="11"/>
        <v>0</v>
      </c>
      <c r="I410" s="8">
        <f>IF(G410&lt;&gt;"",E410-SUMIFS(ขายสินค้า!E:E,ขายสินค้า!G:G,H410),)</f>
        <v>0</v>
      </c>
      <c r="J410" s="11">
        <f t="shared" si="12"/>
        <v>0</v>
      </c>
      <c r="K410" s="11">
        <f>IF(B410&lt;&gt;"", IFERROR(SUMIF(ขายสินค้า!G:G,H410,ขายสินค้า!F:F)/(E410-I410),0),)</f>
        <v>0</v>
      </c>
      <c r="L410" s="12">
        <f t="shared" si="13"/>
        <v>0</v>
      </c>
      <c r="M410" s="13">
        <f t="shared" si="14"/>
        <v>0</v>
      </c>
    </row>
    <row r="411" spans="1:13">
      <c r="A411" s="14"/>
      <c r="B411" s="6"/>
      <c r="C411" s="7">
        <f>IFERROR(VLOOKUP(B411,ชื่อสินค้า!A:C,2,FALSE),)</f>
        <v>0</v>
      </c>
      <c r="D411" s="8" t="str">
        <f>IFERROR(VLOOKUP(B411,ชื่อสินค้า!A:D,4,FALSE),"")</f>
        <v/>
      </c>
      <c r="E411" s="9"/>
      <c r="F411" s="9"/>
      <c r="G411" s="8" t="str">
        <f t="shared" si="10"/>
        <v/>
      </c>
      <c r="H411" s="10">
        <f t="shared" si="11"/>
        <v>0</v>
      </c>
      <c r="I411" s="8">
        <f>IF(G411&lt;&gt;"",E411-SUMIFS(ขายสินค้า!E:E,ขายสินค้า!G:G,H411),)</f>
        <v>0</v>
      </c>
      <c r="J411" s="11">
        <f t="shared" si="12"/>
        <v>0</v>
      </c>
      <c r="K411" s="11">
        <f>IF(B411&lt;&gt;"", IFERROR(SUMIF(ขายสินค้า!G:G,H411,ขายสินค้า!F:F)/(E411-I411),0),)</f>
        <v>0</v>
      </c>
      <c r="L411" s="12">
        <f t="shared" si="13"/>
        <v>0</v>
      </c>
      <c r="M411" s="13">
        <f t="shared" si="14"/>
        <v>0</v>
      </c>
    </row>
    <row r="412" spans="1:13">
      <c r="A412" s="14"/>
      <c r="B412" s="6"/>
      <c r="C412" s="7">
        <f>IFERROR(VLOOKUP(B412,ชื่อสินค้า!A:C,2,FALSE),)</f>
        <v>0</v>
      </c>
      <c r="D412" s="8" t="str">
        <f>IFERROR(VLOOKUP(B412,ชื่อสินค้า!A:D,4,FALSE),"")</f>
        <v/>
      </c>
      <c r="E412" s="9"/>
      <c r="F412" s="9"/>
      <c r="G412" s="8" t="str">
        <f t="shared" si="10"/>
        <v/>
      </c>
      <c r="H412" s="10">
        <f t="shared" si="11"/>
        <v>0</v>
      </c>
      <c r="I412" s="8">
        <f>IF(G412&lt;&gt;"",E412-SUMIFS(ขายสินค้า!E:E,ขายสินค้า!G:G,H412),)</f>
        <v>0</v>
      </c>
      <c r="J412" s="11">
        <f t="shared" si="12"/>
        <v>0</v>
      </c>
      <c r="K412" s="11">
        <f>IF(B412&lt;&gt;"", IFERROR(SUMIF(ขายสินค้า!G:G,H412,ขายสินค้า!F:F)/(E412-I412),0),)</f>
        <v>0</v>
      </c>
      <c r="L412" s="12">
        <f t="shared" si="13"/>
        <v>0</v>
      </c>
      <c r="M412" s="13">
        <f t="shared" si="14"/>
        <v>0</v>
      </c>
    </row>
    <row r="413" spans="1:13">
      <c r="A413" s="14"/>
      <c r="B413" s="6"/>
      <c r="C413" s="7">
        <f>IFERROR(VLOOKUP(B413,ชื่อสินค้า!A:C,2,FALSE),)</f>
        <v>0</v>
      </c>
      <c r="D413" s="8" t="str">
        <f>IFERROR(VLOOKUP(B413,ชื่อสินค้า!A:D,4,FALSE),"")</f>
        <v/>
      </c>
      <c r="E413" s="9"/>
      <c r="F413" s="9"/>
      <c r="G413" s="8" t="str">
        <f t="shared" si="10"/>
        <v/>
      </c>
      <c r="H413" s="10">
        <f t="shared" si="11"/>
        <v>0</v>
      </c>
      <c r="I413" s="8">
        <f>IF(G413&lt;&gt;"",E413-SUMIFS(ขายสินค้า!E:E,ขายสินค้า!G:G,H413),)</f>
        <v>0</v>
      </c>
      <c r="J413" s="11">
        <f t="shared" si="12"/>
        <v>0</v>
      </c>
      <c r="K413" s="11">
        <f>IF(B413&lt;&gt;"", IFERROR(SUMIF(ขายสินค้า!G:G,H413,ขายสินค้า!F:F)/(E413-I413),0),)</f>
        <v>0</v>
      </c>
      <c r="L413" s="12">
        <f t="shared" si="13"/>
        <v>0</v>
      </c>
      <c r="M413" s="13">
        <f t="shared" si="14"/>
        <v>0</v>
      </c>
    </row>
    <row r="414" spans="1:13">
      <c r="A414" s="14"/>
      <c r="B414" s="6"/>
      <c r="C414" s="7">
        <f>IFERROR(VLOOKUP(B414,ชื่อสินค้า!A:C,2,FALSE),)</f>
        <v>0</v>
      </c>
      <c r="D414" s="8" t="str">
        <f>IFERROR(VLOOKUP(B414,ชื่อสินค้า!A:D,4,FALSE),"")</f>
        <v/>
      </c>
      <c r="E414" s="9"/>
      <c r="F414" s="9"/>
      <c r="G414" s="8" t="str">
        <f t="shared" si="10"/>
        <v/>
      </c>
      <c r="H414" s="10">
        <f t="shared" si="11"/>
        <v>0</v>
      </c>
      <c r="I414" s="8">
        <f>IF(G414&lt;&gt;"",E414-SUMIFS(ขายสินค้า!E:E,ขายสินค้า!G:G,H414),)</f>
        <v>0</v>
      </c>
      <c r="J414" s="11">
        <f t="shared" si="12"/>
        <v>0</v>
      </c>
      <c r="K414" s="11">
        <f>IF(B414&lt;&gt;"", IFERROR(SUMIF(ขายสินค้า!G:G,H414,ขายสินค้า!F:F)/(E414-I414),0),)</f>
        <v>0</v>
      </c>
      <c r="L414" s="12">
        <f t="shared" si="13"/>
        <v>0</v>
      </c>
      <c r="M414" s="13">
        <f t="shared" si="14"/>
        <v>0</v>
      </c>
    </row>
    <row r="415" spans="1:13">
      <c r="A415" s="14"/>
      <c r="B415" s="6"/>
      <c r="C415" s="7">
        <f>IFERROR(VLOOKUP(B415,ชื่อสินค้า!A:C,2,FALSE),)</f>
        <v>0</v>
      </c>
      <c r="D415" s="8" t="str">
        <f>IFERROR(VLOOKUP(B415,ชื่อสินค้า!A:D,4,FALSE),"")</f>
        <v/>
      </c>
      <c r="E415" s="9"/>
      <c r="F415" s="9"/>
      <c r="G415" s="8" t="str">
        <f t="shared" si="10"/>
        <v/>
      </c>
      <c r="H415" s="10">
        <f t="shared" si="11"/>
        <v>0</v>
      </c>
      <c r="I415" s="8">
        <f>IF(G415&lt;&gt;"",E415-SUMIFS(ขายสินค้า!E:E,ขายสินค้า!G:G,H415),)</f>
        <v>0</v>
      </c>
      <c r="J415" s="11">
        <f t="shared" si="12"/>
        <v>0</v>
      </c>
      <c r="K415" s="11">
        <f>IF(B415&lt;&gt;"", IFERROR(SUMIF(ขายสินค้า!G:G,H415,ขายสินค้า!F:F)/(E415-I415),0),)</f>
        <v>0</v>
      </c>
      <c r="L415" s="12">
        <f t="shared" si="13"/>
        <v>0</v>
      </c>
      <c r="M415" s="13">
        <f t="shared" si="14"/>
        <v>0</v>
      </c>
    </row>
    <row r="416" spans="1:13">
      <c r="A416" s="14"/>
      <c r="B416" s="6"/>
      <c r="C416" s="7">
        <f>IFERROR(VLOOKUP(B416,ชื่อสินค้า!A:C,2,FALSE),)</f>
        <v>0</v>
      </c>
      <c r="D416" s="8" t="str">
        <f>IFERROR(VLOOKUP(B416,ชื่อสินค้า!A:D,4,FALSE),"")</f>
        <v/>
      </c>
      <c r="E416" s="9"/>
      <c r="F416" s="9"/>
      <c r="G416" s="8" t="str">
        <f t="shared" si="10"/>
        <v/>
      </c>
      <c r="H416" s="10">
        <f t="shared" si="11"/>
        <v>0</v>
      </c>
      <c r="I416" s="8">
        <f>IF(G416&lt;&gt;"",E416-SUMIFS(ขายสินค้า!E:E,ขายสินค้า!G:G,H416),)</f>
        <v>0</v>
      </c>
      <c r="J416" s="11">
        <f t="shared" si="12"/>
        <v>0</v>
      </c>
      <c r="K416" s="11">
        <f>IF(B416&lt;&gt;"", IFERROR(SUMIF(ขายสินค้า!G:G,H416,ขายสินค้า!F:F)/(E416-I416),0),)</f>
        <v>0</v>
      </c>
      <c r="L416" s="12">
        <f t="shared" si="13"/>
        <v>0</v>
      </c>
      <c r="M416" s="13">
        <f t="shared" si="14"/>
        <v>0</v>
      </c>
    </row>
    <row r="417" spans="1:13">
      <c r="A417" s="14"/>
      <c r="B417" s="6"/>
      <c r="C417" s="7">
        <f>IFERROR(VLOOKUP(B417,ชื่อสินค้า!A:C,2,FALSE),)</f>
        <v>0</v>
      </c>
      <c r="D417" s="8" t="str">
        <f>IFERROR(VLOOKUP(B417,ชื่อสินค้า!A:D,4,FALSE),"")</f>
        <v/>
      </c>
      <c r="E417" s="9"/>
      <c r="F417" s="9"/>
      <c r="G417" s="8" t="str">
        <f t="shared" si="10"/>
        <v/>
      </c>
      <c r="H417" s="10">
        <f t="shared" si="11"/>
        <v>0</v>
      </c>
      <c r="I417" s="8">
        <f>IF(G417&lt;&gt;"",E417-SUMIFS(ขายสินค้า!E:E,ขายสินค้า!G:G,H417),)</f>
        <v>0</v>
      </c>
      <c r="J417" s="11">
        <f t="shared" si="12"/>
        <v>0</v>
      </c>
      <c r="K417" s="11">
        <f>IF(B417&lt;&gt;"", IFERROR(SUMIF(ขายสินค้า!G:G,H417,ขายสินค้า!F:F)/(E417-I417),0),)</f>
        <v>0</v>
      </c>
      <c r="L417" s="12">
        <f t="shared" si="13"/>
        <v>0</v>
      </c>
      <c r="M417" s="13">
        <f t="shared" si="14"/>
        <v>0</v>
      </c>
    </row>
    <row r="418" spans="1:13">
      <c r="A418" s="14"/>
      <c r="B418" s="6"/>
      <c r="C418" s="7">
        <f>IFERROR(VLOOKUP(B418,ชื่อสินค้า!A:C,2,FALSE),)</f>
        <v>0</v>
      </c>
      <c r="D418" s="8" t="str">
        <f>IFERROR(VLOOKUP(B418,ชื่อสินค้า!A:D,4,FALSE),"")</f>
        <v/>
      </c>
      <c r="E418" s="9"/>
      <c r="F418" s="9"/>
      <c r="G418" s="8" t="str">
        <f t="shared" si="10"/>
        <v/>
      </c>
      <c r="H418" s="10">
        <f t="shared" si="11"/>
        <v>0</v>
      </c>
      <c r="I418" s="8">
        <f>IF(G418&lt;&gt;"",E418-SUMIFS(ขายสินค้า!E:E,ขายสินค้า!G:G,H418),)</f>
        <v>0</v>
      </c>
      <c r="J418" s="11">
        <f t="shared" si="12"/>
        <v>0</v>
      </c>
      <c r="K418" s="11">
        <f>IF(B418&lt;&gt;"", IFERROR(SUMIF(ขายสินค้า!G:G,H418,ขายสินค้า!F:F)/(E418-I418),0),)</f>
        <v>0</v>
      </c>
      <c r="L418" s="12">
        <f t="shared" si="13"/>
        <v>0</v>
      </c>
      <c r="M418" s="13">
        <f t="shared" si="14"/>
        <v>0</v>
      </c>
    </row>
    <row r="419" spans="1:13">
      <c r="A419" s="14"/>
      <c r="B419" s="6"/>
      <c r="C419" s="7">
        <f>IFERROR(VLOOKUP(B419,ชื่อสินค้า!A:C,2,FALSE),)</f>
        <v>0</v>
      </c>
      <c r="D419" s="8" t="str">
        <f>IFERROR(VLOOKUP(B419,ชื่อสินค้า!A:D,4,FALSE),"")</f>
        <v/>
      </c>
      <c r="E419" s="9"/>
      <c r="F419" s="9"/>
      <c r="G419" s="8" t="str">
        <f t="shared" si="10"/>
        <v/>
      </c>
      <c r="H419" s="10">
        <f t="shared" si="11"/>
        <v>0</v>
      </c>
      <c r="I419" s="8">
        <f>IF(G419&lt;&gt;"",E419-SUMIFS(ขายสินค้า!E:E,ขายสินค้า!G:G,H419),)</f>
        <v>0</v>
      </c>
      <c r="J419" s="11">
        <f t="shared" si="12"/>
        <v>0</v>
      </c>
      <c r="K419" s="11">
        <f>IF(B419&lt;&gt;"", IFERROR(SUMIF(ขายสินค้า!G:G,H419,ขายสินค้า!F:F)/(E419-I419),0),)</f>
        <v>0</v>
      </c>
      <c r="L419" s="12">
        <f t="shared" si="13"/>
        <v>0</v>
      </c>
      <c r="M419" s="13">
        <f t="shared" si="14"/>
        <v>0</v>
      </c>
    </row>
    <row r="420" spans="1:13">
      <c r="A420" s="14"/>
      <c r="B420" s="6"/>
      <c r="C420" s="7">
        <f>IFERROR(VLOOKUP(B420,ชื่อสินค้า!A:C,2,FALSE),)</f>
        <v>0</v>
      </c>
      <c r="D420" s="8" t="str">
        <f>IFERROR(VLOOKUP(B420,ชื่อสินค้า!A:D,4,FALSE),"")</f>
        <v/>
      </c>
      <c r="E420" s="9"/>
      <c r="F420" s="9"/>
      <c r="G420" s="8" t="str">
        <f t="shared" si="10"/>
        <v/>
      </c>
      <c r="H420" s="10">
        <f t="shared" si="11"/>
        <v>0</v>
      </c>
      <c r="I420" s="8">
        <f>IF(G420&lt;&gt;"",E420-SUMIFS(ขายสินค้า!E:E,ขายสินค้า!G:G,H420),)</f>
        <v>0</v>
      </c>
      <c r="J420" s="11">
        <f t="shared" si="12"/>
        <v>0</v>
      </c>
      <c r="K420" s="11">
        <f>IF(B420&lt;&gt;"", IFERROR(SUMIF(ขายสินค้า!G:G,H420,ขายสินค้า!F:F)/(E420-I420),0),)</f>
        <v>0</v>
      </c>
      <c r="L420" s="12">
        <f t="shared" si="13"/>
        <v>0</v>
      </c>
      <c r="M420" s="13">
        <f t="shared" si="14"/>
        <v>0</v>
      </c>
    </row>
    <row r="421" spans="1:13">
      <c r="A421" s="14"/>
      <c r="B421" s="6"/>
      <c r="C421" s="7">
        <f>IFERROR(VLOOKUP(B421,ชื่อสินค้า!A:C,2,FALSE),)</f>
        <v>0</v>
      </c>
      <c r="D421" s="8" t="str">
        <f>IFERROR(VLOOKUP(B421,ชื่อสินค้า!A:D,4,FALSE),"")</f>
        <v/>
      </c>
      <c r="E421" s="9"/>
      <c r="F421" s="9"/>
      <c r="G421" s="8" t="str">
        <f t="shared" si="10"/>
        <v/>
      </c>
      <c r="H421" s="10">
        <f t="shared" si="11"/>
        <v>0</v>
      </c>
      <c r="I421" s="8">
        <f>IF(G421&lt;&gt;"",E421-SUMIFS(ขายสินค้า!E:E,ขายสินค้า!G:G,H421),)</f>
        <v>0</v>
      </c>
      <c r="J421" s="11">
        <f t="shared" si="12"/>
        <v>0</v>
      </c>
      <c r="K421" s="11">
        <f>IF(B421&lt;&gt;"", IFERROR(SUMIF(ขายสินค้า!G:G,H421,ขายสินค้า!F:F)/(E421-I421),0),)</f>
        <v>0</v>
      </c>
      <c r="L421" s="12">
        <f t="shared" si="13"/>
        <v>0</v>
      </c>
      <c r="M421" s="13">
        <f t="shared" si="14"/>
        <v>0</v>
      </c>
    </row>
    <row r="422" spans="1:13">
      <c r="A422" s="14"/>
      <c r="B422" s="6"/>
      <c r="C422" s="7">
        <f>IFERROR(VLOOKUP(B422,ชื่อสินค้า!A:C,2,FALSE),)</f>
        <v>0</v>
      </c>
      <c r="D422" s="8" t="str">
        <f>IFERROR(VLOOKUP(B422,ชื่อสินค้า!A:D,4,FALSE),"")</f>
        <v/>
      </c>
      <c r="E422" s="9"/>
      <c r="F422" s="9"/>
      <c r="G422" s="8" t="str">
        <f t="shared" si="10"/>
        <v/>
      </c>
      <c r="H422" s="10">
        <f t="shared" si="11"/>
        <v>0</v>
      </c>
      <c r="I422" s="8">
        <f>IF(G422&lt;&gt;"",E422-SUMIFS(ขายสินค้า!E:E,ขายสินค้า!G:G,H422),)</f>
        <v>0</v>
      </c>
      <c r="J422" s="11">
        <f t="shared" si="12"/>
        <v>0</v>
      </c>
      <c r="K422" s="11">
        <f>IF(B422&lt;&gt;"", IFERROR(SUMIF(ขายสินค้า!G:G,H422,ขายสินค้า!F:F)/(E422-I422),0),)</f>
        <v>0</v>
      </c>
      <c r="L422" s="12">
        <f t="shared" si="13"/>
        <v>0</v>
      </c>
      <c r="M422" s="13">
        <f t="shared" si="14"/>
        <v>0</v>
      </c>
    </row>
    <row r="423" spans="1:13">
      <c r="A423" s="14"/>
      <c r="B423" s="6"/>
      <c r="C423" s="7">
        <f>IFERROR(VLOOKUP(B423,ชื่อสินค้า!A:C,2,FALSE),)</f>
        <v>0</v>
      </c>
      <c r="D423" s="8" t="str">
        <f>IFERROR(VLOOKUP(B423,ชื่อสินค้า!A:D,4,FALSE),"")</f>
        <v/>
      </c>
      <c r="E423" s="9"/>
      <c r="F423" s="9"/>
      <c r="G423" s="8" t="str">
        <f t="shared" si="10"/>
        <v/>
      </c>
      <c r="H423" s="10">
        <f t="shared" si="11"/>
        <v>0</v>
      </c>
      <c r="I423" s="8">
        <f>IF(G423&lt;&gt;"",E423-SUMIFS(ขายสินค้า!E:E,ขายสินค้า!G:G,H423),)</f>
        <v>0</v>
      </c>
      <c r="J423" s="11">
        <f t="shared" si="12"/>
        <v>0</v>
      </c>
      <c r="K423" s="11">
        <f>IF(B423&lt;&gt;"", IFERROR(SUMIF(ขายสินค้า!G:G,H423,ขายสินค้า!F:F)/(E423-I423),0),)</f>
        <v>0</v>
      </c>
      <c r="L423" s="12">
        <f t="shared" si="13"/>
        <v>0</v>
      </c>
      <c r="M423" s="13">
        <f t="shared" si="14"/>
        <v>0</v>
      </c>
    </row>
    <row r="424" spans="1:13">
      <c r="A424" s="14"/>
      <c r="B424" s="6"/>
      <c r="C424" s="7">
        <f>IFERROR(VLOOKUP(B424,ชื่อสินค้า!A:C,2,FALSE),)</f>
        <v>0</v>
      </c>
      <c r="D424" s="8" t="str">
        <f>IFERROR(VLOOKUP(B424,ชื่อสินค้า!A:D,4,FALSE),"")</f>
        <v/>
      </c>
      <c r="E424" s="9"/>
      <c r="F424" s="9"/>
      <c r="G424" s="8" t="str">
        <f t="shared" si="10"/>
        <v/>
      </c>
      <c r="H424" s="10">
        <f t="shared" si="11"/>
        <v>0</v>
      </c>
      <c r="I424" s="8">
        <f>IF(G424&lt;&gt;"",E424-SUMIFS(ขายสินค้า!E:E,ขายสินค้า!G:G,H424),)</f>
        <v>0</v>
      </c>
      <c r="J424" s="11">
        <f t="shared" si="12"/>
        <v>0</v>
      </c>
      <c r="K424" s="11">
        <f>IF(B424&lt;&gt;"", IFERROR(SUMIF(ขายสินค้า!G:G,H424,ขายสินค้า!F:F)/(E424-I424),0),)</f>
        <v>0</v>
      </c>
      <c r="L424" s="12">
        <f t="shared" si="13"/>
        <v>0</v>
      </c>
      <c r="M424" s="13">
        <f t="shared" si="14"/>
        <v>0</v>
      </c>
    </row>
    <row r="425" spans="1:13">
      <c r="A425" s="14"/>
      <c r="B425" s="6"/>
      <c r="C425" s="7">
        <f>IFERROR(VLOOKUP(B425,ชื่อสินค้า!A:C,2,FALSE),)</f>
        <v>0</v>
      </c>
      <c r="D425" s="8" t="str">
        <f>IFERROR(VLOOKUP(B425,ชื่อสินค้า!A:D,4,FALSE),"")</f>
        <v/>
      </c>
      <c r="E425" s="9"/>
      <c r="F425" s="9"/>
      <c r="G425" s="8" t="str">
        <f t="shared" si="10"/>
        <v/>
      </c>
      <c r="H425" s="10">
        <f t="shared" si="11"/>
        <v>0</v>
      </c>
      <c r="I425" s="8">
        <f>IF(G425&lt;&gt;"",E425-SUMIFS(ขายสินค้า!E:E,ขายสินค้า!G:G,H425),)</f>
        <v>0</v>
      </c>
      <c r="J425" s="11">
        <f t="shared" si="12"/>
        <v>0</v>
      </c>
      <c r="K425" s="11">
        <f>IF(B425&lt;&gt;"", IFERROR(SUMIF(ขายสินค้า!G:G,H425,ขายสินค้า!F:F)/(E425-I425),0),)</f>
        <v>0</v>
      </c>
      <c r="L425" s="12">
        <f t="shared" si="13"/>
        <v>0</v>
      </c>
      <c r="M425" s="13">
        <f t="shared" si="14"/>
        <v>0</v>
      </c>
    </row>
    <row r="426" spans="1:13">
      <c r="A426" s="14"/>
      <c r="B426" s="6"/>
      <c r="C426" s="7">
        <f>IFERROR(VLOOKUP(B426,ชื่อสินค้า!A:C,2,FALSE),)</f>
        <v>0</v>
      </c>
      <c r="D426" s="8" t="str">
        <f>IFERROR(VLOOKUP(B426,ชื่อสินค้า!A:D,4,FALSE),"")</f>
        <v/>
      </c>
      <c r="E426" s="9"/>
      <c r="F426" s="9"/>
      <c r="G426" s="8" t="str">
        <f t="shared" si="10"/>
        <v/>
      </c>
      <c r="H426" s="10">
        <f t="shared" si="11"/>
        <v>0</v>
      </c>
      <c r="I426" s="8">
        <f>IF(G426&lt;&gt;"",E426-SUMIFS(ขายสินค้า!E:E,ขายสินค้า!G:G,H426),)</f>
        <v>0</v>
      </c>
      <c r="J426" s="11">
        <f t="shared" si="12"/>
        <v>0</v>
      </c>
      <c r="K426" s="11">
        <f>IF(B426&lt;&gt;"", IFERROR(SUMIF(ขายสินค้า!G:G,H426,ขายสินค้า!F:F)/(E426-I426),0),)</f>
        <v>0</v>
      </c>
      <c r="L426" s="12">
        <f t="shared" si="13"/>
        <v>0</v>
      </c>
      <c r="M426" s="13">
        <f t="shared" si="14"/>
        <v>0</v>
      </c>
    </row>
    <row r="427" spans="1:13">
      <c r="A427" s="14"/>
      <c r="B427" s="6"/>
      <c r="C427" s="7">
        <f>IFERROR(VLOOKUP(B427,ชื่อสินค้า!A:C,2,FALSE),)</f>
        <v>0</v>
      </c>
      <c r="D427" s="8" t="str">
        <f>IFERROR(VLOOKUP(B427,ชื่อสินค้า!A:D,4,FALSE),"")</f>
        <v/>
      </c>
      <c r="E427" s="9"/>
      <c r="F427" s="9"/>
      <c r="G427" s="8" t="str">
        <f t="shared" si="10"/>
        <v/>
      </c>
      <c r="H427" s="10">
        <f t="shared" si="11"/>
        <v>0</v>
      </c>
      <c r="I427" s="8">
        <f>IF(G427&lt;&gt;"",E427-SUMIFS(ขายสินค้า!E:E,ขายสินค้า!G:G,H427),)</f>
        <v>0</v>
      </c>
      <c r="J427" s="11">
        <f t="shared" si="12"/>
        <v>0</v>
      </c>
      <c r="K427" s="11">
        <f>IF(B427&lt;&gt;"", IFERROR(SUMIF(ขายสินค้า!G:G,H427,ขายสินค้า!F:F)/(E427-I427),0),)</f>
        <v>0</v>
      </c>
      <c r="L427" s="12">
        <f t="shared" si="13"/>
        <v>0</v>
      </c>
      <c r="M427" s="13">
        <f t="shared" si="14"/>
        <v>0</v>
      </c>
    </row>
    <row r="428" spans="1:13">
      <c r="A428" s="14"/>
      <c r="B428" s="6"/>
      <c r="C428" s="7">
        <f>IFERROR(VLOOKUP(B428,ชื่อสินค้า!A:C,2,FALSE),)</f>
        <v>0</v>
      </c>
      <c r="D428" s="8" t="str">
        <f>IFERROR(VLOOKUP(B428,ชื่อสินค้า!A:D,4,FALSE),"")</f>
        <v/>
      </c>
      <c r="E428" s="9"/>
      <c r="F428" s="9"/>
      <c r="G428" s="8" t="str">
        <f t="shared" si="10"/>
        <v/>
      </c>
      <c r="H428" s="10">
        <f t="shared" si="11"/>
        <v>0</v>
      </c>
      <c r="I428" s="8">
        <f>IF(G428&lt;&gt;"",E428-SUMIFS(ขายสินค้า!E:E,ขายสินค้า!G:G,H428),)</f>
        <v>0</v>
      </c>
      <c r="J428" s="11">
        <f t="shared" si="12"/>
        <v>0</v>
      </c>
      <c r="K428" s="11">
        <f>IF(B428&lt;&gt;"", IFERROR(SUMIF(ขายสินค้า!G:G,H428,ขายสินค้า!F:F)/(E428-I428),0),)</f>
        <v>0</v>
      </c>
      <c r="L428" s="12">
        <f t="shared" si="13"/>
        <v>0</v>
      </c>
      <c r="M428" s="13">
        <f t="shared" si="14"/>
        <v>0</v>
      </c>
    </row>
    <row r="429" spans="1:13">
      <c r="A429" s="14"/>
      <c r="B429" s="6"/>
      <c r="C429" s="7">
        <f>IFERROR(VLOOKUP(B429,ชื่อสินค้า!A:C,2,FALSE),)</f>
        <v>0</v>
      </c>
      <c r="D429" s="8" t="str">
        <f>IFERROR(VLOOKUP(B429,ชื่อสินค้า!A:D,4,FALSE),"")</f>
        <v/>
      </c>
      <c r="E429" s="9"/>
      <c r="F429" s="9"/>
      <c r="G429" s="8" t="str">
        <f t="shared" si="10"/>
        <v/>
      </c>
      <c r="H429" s="10">
        <f t="shared" si="11"/>
        <v>0</v>
      </c>
      <c r="I429" s="8">
        <f>IF(G429&lt;&gt;"",E429-SUMIFS(ขายสินค้า!E:E,ขายสินค้า!G:G,H429),)</f>
        <v>0</v>
      </c>
      <c r="J429" s="11">
        <f t="shared" si="12"/>
        <v>0</v>
      </c>
      <c r="K429" s="11">
        <f>IF(B429&lt;&gt;"", IFERROR(SUMIF(ขายสินค้า!G:G,H429,ขายสินค้า!F:F)/(E429-I429),0),)</f>
        <v>0</v>
      </c>
      <c r="L429" s="12">
        <f t="shared" si="13"/>
        <v>0</v>
      </c>
      <c r="M429" s="13">
        <f t="shared" si="14"/>
        <v>0</v>
      </c>
    </row>
    <row r="430" spans="1:13">
      <c r="A430" s="14"/>
      <c r="B430" s="6"/>
      <c r="C430" s="7">
        <f>IFERROR(VLOOKUP(B430,ชื่อสินค้า!A:C,2,FALSE),)</f>
        <v>0</v>
      </c>
      <c r="D430" s="8" t="str">
        <f>IFERROR(VLOOKUP(B430,ชื่อสินค้า!A:D,4,FALSE),"")</f>
        <v/>
      </c>
      <c r="E430" s="9"/>
      <c r="F430" s="9"/>
      <c r="G430" s="8" t="str">
        <f t="shared" si="10"/>
        <v/>
      </c>
      <c r="H430" s="10">
        <f t="shared" si="11"/>
        <v>0</v>
      </c>
      <c r="I430" s="8">
        <f>IF(G430&lt;&gt;"",E430-SUMIFS(ขายสินค้า!E:E,ขายสินค้า!G:G,H430),)</f>
        <v>0</v>
      </c>
      <c r="J430" s="11">
        <f t="shared" si="12"/>
        <v>0</v>
      </c>
      <c r="K430" s="11">
        <f>IF(B430&lt;&gt;"", IFERROR(SUMIF(ขายสินค้า!G:G,H430,ขายสินค้า!F:F)/(E430-I430),0),)</f>
        <v>0</v>
      </c>
      <c r="L430" s="12">
        <f t="shared" si="13"/>
        <v>0</v>
      </c>
      <c r="M430" s="13">
        <f t="shared" si="14"/>
        <v>0</v>
      </c>
    </row>
    <row r="431" spans="1:13">
      <c r="A431" s="14"/>
      <c r="B431" s="6"/>
      <c r="C431" s="7">
        <f>IFERROR(VLOOKUP(B431,ชื่อสินค้า!A:C,2,FALSE),)</f>
        <v>0</v>
      </c>
      <c r="D431" s="8" t="str">
        <f>IFERROR(VLOOKUP(B431,ชื่อสินค้า!A:D,4,FALSE),"")</f>
        <v/>
      </c>
      <c r="E431" s="9"/>
      <c r="F431" s="9"/>
      <c r="G431" s="8" t="str">
        <f t="shared" si="10"/>
        <v/>
      </c>
      <c r="H431" s="10">
        <f t="shared" si="11"/>
        <v>0</v>
      </c>
      <c r="I431" s="8">
        <f>IF(G431&lt;&gt;"",E431-SUMIFS(ขายสินค้า!E:E,ขายสินค้า!G:G,H431),)</f>
        <v>0</v>
      </c>
      <c r="J431" s="11">
        <f t="shared" si="12"/>
        <v>0</v>
      </c>
      <c r="K431" s="11">
        <f>IF(B431&lt;&gt;"", IFERROR(SUMIF(ขายสินค้า!G:G,H431,ขายสินค้า!F:F)/(E431-I431),0),)</f>
        <v>0</v>
      </c>
      <c r="L431" s="12">
        <f t="shared" si="13"/>
        <v>0</v>
      </c>
      <c r="M431" s="13">
        <f t="shared" si="14"/>
        <v>0</v>
      </c>
    </row>
    <row r="432" spans="1:13">
      <c r="A432" s="14"/>
      <c r="B432" s="6"/>
      <c r="C432" s="7">
        <f>IFERROR(VLOOKUP(B432,ชื่อสินค้า!A:C,2,FALSE),)</f>
        <v>0</v>
      </c>
      <c r="D432" s="8" t="str">
        <f>IFERROR(VLOOKUP(B432,ชื่อสินค้า!A:D,4,FALSE),"")</f>
        <v/>
      </c>
      <c r="E432" s="9"/>
      <c r="F432" s="9"/>
      <c r="G432" s="8" t="str">
        <f t="shared" si="10"/>
        <v/>
      </c>
      <c r="H432" s="10">
        <f t="shared" si="11"/>
        <v>0</v>
      </c>
      <c r="I432" s="8">
        <f>IF(G432&lt;&gt;"",E432-SUMIFS(ขายสินค้า!E:E,ขายสินค้า!G:G,H432),)</f>
        <v>0</v>
      </c>
      <c r="J432" s="11">
        <f t="shared" si="12"/>
        <v>0</v>
      </c>
      <c r="K432" s="11">
        <f>IF(B432&lt;&gt;"", IFERROR(SUMIF(ขายสินค้า!G:G,H432,ขายสินค้า!F:F)/(E432-I432),0),)</f>
        <v>0</v>
      </c>
      <c r="L432" s="12">
        <f t="shared" si="13"/>
        <v>0</v>
      </c>
      <c r="M432" s="13">
        <f t="shared" si="14"/>
        <v>0</v>
      </c>
    </row>
    <row r="433" spans="1:13">
      <c r="A433" s="14"/>
      <c r="B433" s="6"/>
      <c r="C433" s="7">
        <f>IFERROR(VLOOKUP(B433,ชื่อสินค้า!A:C,2,FALSE),)</f>
        <v>0</v>
      </c>
      <c r="D433" s="8" t="str">
        <f>IFERROR(VLOOKUP(B433,ชื่อสินค้า!A:D,4,FALSE),"")</f>
        <v/>
      </c>
      <c r="E433" s="9"/>
      <c r="F433" s="9"/>
      <c r="G433" s="8" t="str">
        <f t="shared" si="10"/>
        <v/>
      </c>
      <c r="H433" s="10">
        <f t="shared" si="11"/>
        <v>0</v>
      </c>
      <c r="I433" s="8">
        <f>IF(G433&lt;&gt;"",E433-SUMIFS(ขายสินค้า!E:E,ขายสินค้า!G:G,H433),)</f>
        <v>0</v>
      </c>
      <c r="J433" s="11">
        <f t="shared" si="12"/>
        <v>0</v>
      </c>
      <c r="K433" s="11">
        <f>IF(B433&lt;&gt;"", IFERROR(SUMIF(ขายสินค้า!G:G,H433,ขายสินค้า!F:F)/(E433-I433),0),)</f>
        <v>0</v>
      </c>
      <c r="L433" s="12">
        <f t="shared" si="13"/>
        <v>0</v>
      </c>
      <c r="M433" s="13">
        <f t="shared" si="14"/>
        <v>0</v>
      </c>
    </row>
    <row r="434" spans="1:13">
      <c r="A434" s="14"/>
      <c r="B434" s="6"/>
      <c r="C434" s="7">
        <f>IFERROR(VLOOKUP(B434,ชื่อสินค้า!A:C,2,FALSE),)</f>
        <v>0</v>
      </c>
      <c r="D434" s="8" t="str">
        <f>IFERROR(VLOOKUP(B434,ชื่อสินค้า!A:D,4,FALSE),"")</f>
        <v/>
      </c>
      <c r="E434" s="9"/>
      <c r="F434" s="9"/>
      <c r="G434" s="8" t="str">
        <f t="shared" si="10"/>
        <v/>
      </c>
      <c r="H434" s="10">
        <f t="shared" si="11"/>
        <v>0</v>
      </c>
      <c r="I434" s="8">
        <f>IF(G434&lt;&gt;"",E434-SUMIFS(ขายสินค้า!E:E,ขายสินค้า!G:G,H434),)</f>
        <v>0</v>
      </c>
      <c r="J434" s="11">
        <f t="shared" si="12"/>
        <v>0</v>
      </c>
      <c r="K434" s="11">
        <f>IF(B434&lt;&gt;"", IFERROR(SUMIF(ขายสินค้า!G:G,H434,ขายสินค้า!F:F)/(E434-I434),0),)</f>
        <v>0</v>
      </c>
      <c r="L434" s="12">
        <f t="shared" si="13"/>
        <v>0</v>
      </c>
      <c r="M434" s="13">
        <f t="shared" si="14"/>
        <v>0</v>
      </c>
    </row>
    <row r="435" spans="1:13">
      <c r="A435" s="14"/>
      <c r="B435" s="6"/>
      <c r="C435" s="7">
        <f>IFERROR(VLOOKUP(B435,ชื่อสินค้า!A:C,2,FALSE),)</f>
        <v>0</v>
      </c>
      <c r="D435" s="8" t="str">
        <f>IFERROR(VLOOKUP(B435,ชื่อสินค้า!A:D,4,FALSE),"")</f>
        <v/>
      </c>
      <c r="E435" s="9"/>
      <c r="F435" s="9"/>
      <c r="G435" s="8" t="str">
        <f t="shared" si="10"/>
        <v/>
      </c>
      <c r="H435" s="10">
        <f t="shared" si="11"/>
        <v>0</v>
      </c>
      <c r="I435" s="8">
        <f>IF(G435&lt;&gt;"",E435-SUMIFS(ขายสินค้า!E:E,ขายสินค้า!G:G,H435),)</f>
        <v>0</v>
      </c>
      <c r="J435" s="11">
        <f t="shared" si="12"/>
        <v>0</v>
      </c>
      <c r="K435" s="11">
        <f>IF(B435&lt;&gt;"", IFERROR(SUMIF(ขายสินค้า!G:G,H435,ขายสินค้า!F:F)/(E435-I435),0),)</f>
        <v>0</v>
      </c>
      <c r="L435" s="12">
        <f t="shared" si="13"/>
        <v>0</v>
      </c>
      <c r="M435" s="13">
        <f t="shared" si="14"/>
        <v>0</v>
      </c>
    </row>
    <row r="436" spans="1:13">
      <c r="A436" s="14"/>
      <c r="B436" s="6"/>
      <c r="C436" s="7">
        <f>IFERROR(VLOOKUP(B436,ชื่อสินค้า!A:C,2,FALSE),)</f>
        <v>0</v>
      </c>
      <c r="D436" s="8" t="str">
        <f>IFERROR(VLOOKUP(B436,ชื่อสินค้า!A:D,4,FALSE),"")</f>
        <v/>
      </c>
      <c r="E436" s="9"/>
      <c r="F436" s="9"/>
      <c r="G436" s="8" t="str">
        <f t="shared" si="10"/>
        <v/>
      </c>
      <c r="H436" s="10">
        <f t="shared" si="11"/>
        <v>0</v>
      </c>
      <c r="I436" s="8">
        <f>IF(G436&lt;&gt;"",E436-SUMIFS(ขายสินค้า!E:E,ขายสินค้า!G:G,H436),)</f>
        <v>0</v>
      </c>
      <c r="J436" s="11">
        <f t="shared" si="12"/>
        <v>0</v>
      </c>
      <c r="K436" s="11">
        <f>IF(B436&lt;&gt;"", IFERROR(SUMIF(ขายสินค้า!G:G,H436,ขายสินค้า!F:F)/(E436-I436),0),)</f>
        <v>0</v>
      </c>
      <c r="L436" s="12">
        <f t="shared" si="13"/>
        <v>0</v>
      </c>
      <c r="M436" s="13">
        <f t="shared" si="14"/>
        <v>0</v>
      </c>
    </row>
    <row r="437" spans="1:13">
      <c r="A437" s="14"/>
      <c r="B437" s="6"/>
      <c r="C437" s="7">
        <f>IFERROR(VLOOKUP(B437,ชื่อสินค้า!A:C,2,FALSE),)</f>
        <v>0</v>
      </c>
      <c r="D437" s="8" t="str">
        <f>IFERROR(VLOOKUP(B437,ชื่อสินค้า!A:D,4,FALSE),"")</f>
        <v/>
      </c>
      <c r="E437" s="9"/>
      <c r="F437" s="9"/>
      <c r="G437" s="8" t="str">
        <f t="shared" si="10"/>
        <v/>
      </c>
      <c r="H437" s="10">
        <f t="shared" si="11"/>
        <v>0</v>
      </c>
      <c r="I437" s="8">
        <f>IF(G437&lt;&gt;"",E437-SUMIFS(ขายสินค้า!E:E,ขายสินค้า!G:G,H437),)</f>
        <v>0</v>
      </c>
      <c r="J437" s="11">
        <f t="shared" si="12"/>
        <v>0</v>
      </c>
      <c r="K437" s="11">
        <f>IF(B437&lt;&gt;"", IFERROR(SUMIF(ขายสินค้า!G:G,H437,ขายสินค้า!F:F)/(E437-I437),0),)</f>
        <v>0</v>
      </c>
      <c r="L437" s="12">
        <f t="shared" si="13"/>
        <v>0</v>
      </c>
      <c r="M437" s="13">
        <f t="shared" si="14"/>
        <v>0</v>
      </c>
    </row>
    <row r="438" spans="1:13">
      <c r="A438" s="14"/>
      <c r="B438" s="6"/>
      <c r="C438" s="7">
        <f>IFERROR(VLOOKUP(B438,ชื่อสินค้า!A:C,2,FALSE),)</f>
        <v>0</v>
      </c>
      <c r="D438" s="8" t="str">
        <f>IFERROR(VLOOKUP(B438,ชื่อสินค้า!A:D,4,FALSE),"")</f>
        <v/>
      </c>
      <c r="E438" s="9"/>
      <c r="F438" s="9"/>
      <c r="G438" s="8" t="str">
        <f t="shared" si="10"/>
        <v/>
      </c>
      <c r="H438" s="10">
        <f t="shared" si="11"/>
        <v>0</v>
      </c>
      <c r="I438" s="8">
        <f>IF(G438&lt;&gt;"",E438-SUMIFS(ขายสินค้า!E:E,ขายสินค้า!G:G,H438),)</f>
        <v>0</v>
      </c>
      <c r="J438" s="11">
        <f t="shared" si="12"/>
        <v>0</v>
      </c>
      <c r="K438" s="11">
        <f>IF(B438&lt;&gt;"", IFERROR(SUMIF(ขายสินค้า!G:G,H438,ขายสินค้า!F:F)/(E438-I438),0),)</f>
        <v>0</v>
      </c>
      <c r="L438" s="12">
        <f t="shared" si="13"/>
        <v>0</v>
      </c>
      <c r="M438" s="13">
        <f t="shared" si="14"/>
        <v>0</v>
      </c>
    </row>
    <row r="439" spans="1:13">
      <c r="A439" s="14"/>
      <c r="B439" s="6"/>
      <c r="C439" s="7">
        <f>IFERROR(VLOOKUP(B439,ชื่อสินค้า!A:C,2,FALSE),)</f>
        <v>0</v>
      </c>
      <c r="D439" s="8" t="str">
        <f>IFERROR(VLOOKUP(B439,ชื่อสินค้า!A:D,4,FALSE),"")</f>
        <v/>
      </c>
      <c r="E439" s="9"/>
      <c r="F439" s="9"/>
      <c r="G439" s="8" t="str">
        <f t="shared" si="10"/>
        <v/>
      </c>
      <c r="H439" s="10">
        <f t="shared" si="11"/>
        <v>0</v>
      </c>
      <c r="I439" s="8">
        <f>IF(G439&lt;&gt;"",E439-SUMIFS(ขายสินค้า!E:E,ขายสินค้า!G:G,H439),)</f>
        <v>0</v>
      </c>
      <c r="J439" s="11">
        <f t="shared" si="12"/>
        <v>0</v>
      </c>
      <c r="K439" s="11">
        <f>IF(B439&lt;&gt;"", IFERROR(SUMIF(ขายสินค้า!G:G,H439,ขายสินค้า!F:F)/(E439-I439),0),)</f>
        <v>0</v>
      </c>
      <c r="L439" s="12">
        <f t="shared" si="13"/>
        <v>0</v>
      </c>
      <c r="M439" s="13">
        <f t="shared" si="14"/>
        <v>0</v>
      </c>
    </row>
    <row r="440" spans="1:13">
      <c r="A440" s="14"/>
      <c r="B440" s="6"/>
      <c r="C440" s="7">
        <f>IFERROR(VLOOKUP(B440,ชื่อสินค้า!A:C,2,FALSE),)</f>
        <v>0</v>
      </c>
      <c r="D440" s="8" t="str">
        <f>IFERROR(VLOOKUP(B440,ชื่อสินค้า!A:D,4,FALSE),"")</f>
        <v/>
      </c>
      <c r="E440" s="9"/>
      <c r="F440" s="9"/>
      <c r="G440" s="8" t="str">
        <f t="shared" si="10"/>
        <v/>
      </c>
      <c r="H440" s="10">
        <f t="shared" si="11"/>
        <v>0</v>
      </c>
      <c r="I440" s="8">
        <f>IF(G440&lt;&gt;"",E440-SUMIFS(ขายสินค้า!E:E,ขายสินค้า!G:G,H440),)</f>
        <v>0</v>
      </c>
      <c r="J440" s="11">
        <f t="shared" si="12"/>
        <v>0</v>
      </c>
      <c r="K440" s="11">
        <f>IF(B440&lt;&gt;"", IFERROR(SUMIF(ขายสินค้า!G:G,H440,ขายสินค้า!F:F)/(E440-I440),0),)</f>
        <v>0</v>
      </c>
      <c r="L440" s="12">
        <f t="shared" si="13"/>
        <v>0</v>
      </c>
      <c r="M440" s="13">
        <f t="shared" si="14"/>
        <v>0</v>
      </c>
    </row>
    <row r="441" spans="1:13">
      <c r="A441" s="14"/>
      <c r="B441" s="6"/>
      <c r="C441" s="7">
        <f>IFERROR(VLOOKUP(B441,ชื่อสินค้า!A:C,2,FALSE),)</f>
        <v>0</v>
      </c>
      <c r="D441" s="8" t="str">
        <f>IFERROR(VLOOKUP(B441,ชื่อสินค้า!A:D,4,FALSE),"")</f>
        <v/>
      </c>
      <c r="E441" s="9"/>
      <c r="F441" s="9"/>
      <c r="G441" s="8" t="str">
        <f t="shared" si="10"/>
        <v/>
      </c>
      <c r="H441" s="10">
        <f t="shared" si="11"/>
        <v>0</v>
      </c>
      <c r="I441" s="8">
        <f>IF(G441&lt;&gt;"",E441-SUMIFS(ขายสินค้า!E:E,ขายสินค้า!G:G,H441),)</f>
        <v>0</v>
      </c>
      <c r="J441" s="11">
        <f t="shared" si="12"/>
        <v>0</v>
      </c>
      <c r="K441" s="11">
        <f>IF(B441&lt;&gt;"", IFERROR(SUMIF(ขายสินค้า!G:G,H441,ขายสินค้า!F:F)/(E441-I441),0),)</f>
        <v>0</v>
      </c>
      <c r="L441" s="12">
        <f t="shared" si="13"/>
        <v>0</v>
      </c>
      <c r="M441" s="13">
        <f t="shared" si="14"/>
        <v>0</v>
      </c>
    </row>
    <row r="442" spans="1:13">
      <c r="A442" s="14"/>
      <c r="B442" s="6"/>
      <c r="C442" s="7">
        <f>IFERROR(VLOOKUP(B442,ชื่อสินค้า!A:C,2,FALSE),)</f>
        <v>0</v>
      </c>
      <c r="D442" s="8" t="str">
        <f>IFERROR(VLOOKUP(B442,ชื่อสินค้า!A:D,4,FALSE),"")</f>
        <v/>
      </c>
      <c r="E442" s="9"/>
      <c r="F442" s="9"/>
      <c r="G442" s="8" t="str">
        <f t="shared" si="10"/>
        <v/>
      </c>
      <c r="H442" s="10">
        <f t="shared" si="11"/>
        <v>0</v>
      </c>
      <c r="I442" s="8">
        <f>IF(G442&lt;&gt;"",E442-SUMIFS(ขายสินค้า!E:E,ขายสินค้า!G:G,H442),)</f>
        <v>0</v>
      </c>
      <c r="J442" s="11">
        <f t="shared" si="12"/>
        <v>0</v>
      </c>
      <c r="K442" s="11">
        <f>IF(B442&lt;&gt;"", IFERROR(SUMIF(ขายสินค้า!G:G,H442,ขายสินค้า!F:F)/(E442-I442),0),)</f>
        <v>0</v>
      </c>
      <c r="L442" s="12">
        <f t="shared" si="13"/>
        <v>0</v>
      </c>
      <c r="M442" s="13">
        <f t="shared" si="14"/>
        <v>0</v>
      </c>
    </row>
    <row r="443" spans="1:13">
      <c r="A443" s="14"/>
      <c r="B443" s="6"/>
      <c r="C443" s="7">
        <f>IFERROR(VLOOKUP(B443,ชื่อสินค้า!A:C,2,FALSE),)</f>
        <v>0</v>
      </c>
      <c r="D443" s="8" t="str">
        <f>IFERROR(VLOOKUP(B443,ชื่อสินค้า!A:D,4,FALSE),"")</f>
        <v/>
      </c>
      <c r="E443" s="9"/>
      <c r="F443" s="9"/>
      <c r="G443" s="8" t="str">
        <f t="shared" si="10"/>
        <v/>
      </c>
      <c r="H443" s="10">
        <f t="shared" si="11"/>
        <v>0</v>
      </c>
      <c r="I443" s="8">
        <f>IF(G443&lt;&gt;"",E443-SUMIFS(ขายสินค้า!E:E,ขายสินค้า!G:G,H443),)</f>
        <v>0</v>
      </c>
      <c r="J443" s="11">
        <f t="shared" si="12"/>
        <v>0</v>
      </c>
      <c r="K443" s="11">
        <f>IF(B443&lt;&gt;"", IFERROR(SUMIF(ขายสินค้า!G:G,H443,ขายสินค้า!F:F)/(E443-I443),0),)</f>
        <v>0</v>
      </c>
      <c r="L443" s="12">
        <f t="shared" si="13"/>
        <v>0</v>
      </c>
      <c r="M443" s="13">
        <f t="shared" si="14"/>
        <v>0</v>
      </c>
    </row>
    <row r="444" spans="1:13">
      <c r="A444" s="14"/>
      <c r="B444" s="6"/>
      <c r="C444" s="7">
        <f>IFERROR(VLOOKUP(B444,ชื่อสินค้า!A:C,2,FALSE),)</f>
        <v>0</v>
      </c>
      <c r="D444" s="8" t="str">
        <f>IFERROR(VLOOKUP(B444,ชื่อสินค้า!A:D,4,FALSE),"")</f>
        <v/>
      </c>
      <c r="E444" s="9"/>
      <c r="F444" s="9"/>
      <c r="G444" s="8" t="str">
        <f t="shared" si="10"/>
        <v/>
      </c>
      <c r="H444" s="10">
        <f t="shared" si="11"/>
        <v>0</v>
      </c>
      <c r="I444" s="8">
        <f>IF(G444&lt;&gt;"",E444-SUMIFS(ขายสินค้า!E:E,ขายสินค้า!G:G,H444),)</f>
        <v>0</v>
      </c>
      <c r="J444" s="11">
        <f t="shared" si="12"/>
        <v>0</v>
      </c>
      <c r="K444" s="11">
        <f>IF(B444&lt;&gt;"", IFERROR(SUMIF(ขายสินค้า!G:G,H444,ขายสินค้า!F:F)/(E444-I444),0),)</f>
        <v>0</v>
      </c>
      <c r="L444" s="12">
        <f t="shared" si="13"/>
        <v>0</v>
      </c>
      <c r="M444" s="13">
        <f t="shared" si="14"/>
        <v>0</v>
      </c>
    </row>
    <row r="445" spans="1:13">
      <c r="A445" s="14"/>
      <c r="B445" s="6"/>
      <c r="C445" s="7">
        <f>IFERROR(VLOOKUP(B445,ชื่อสินค้า!A:C,2,FALSE),)</f>
        <v>0</v>
      </c>
      <c r="D445" s="8" t="str">
        <f>IFERROR(VLOOKUP(B445,ชื่อสินค้า!A:D,4,FALSE),"")</f>
        <v/>
      </c>
      <c r="E445" s="9"/>
      <c r="F445" s="9"/>
      <c r="G445" s="8" t="str">
        <f t="shared" si="10"/>
        <v/>
      </c>
      <c r="H445" s="10">
        <f t="shared" si="11"/>
        <v>0</v>
      </c>
      <c r="I445" s="8">
        <f>IF(G445&lt;&gt;"",E445-SUMIFS(ขายสินค้า!E:E,ขายสินค้า!G:G,H445),)</f>
        <v>0</v>
      </c>
      <c r="J445" s="11">
        <f t="shared" si="12"/>
        <v>0</v>
      </c>
      <c r="K445" s="11">
        <f>IF(B445&lt;&gt;"", IFERROR(SUMIF(ขายสินค้า!G:G,H445,ขายสินค้า!F:F)/(E445-I445),0),)</f>
        <v>0</v>
      </c>
      <c r="L445" s="12">
        <f t="shared" si="13"/>
        <v>0</v>
      </c>
      <c r="M445" s="13">
        <f t="shared" si="14"/>
        <v>0</v>
      </c>
    </row>
    <row r="446" spans="1:13">
      <c r="A446" s="14"/>
      <c r="B446" s="6"/>
      <c r="C446" s="7">
        <f>IFERROR(VLOOKUP(B446,ชื่อสินค้า!A:C,2,FALSE),)</f>
        <v>0</v>
      </c>
      <c r="D446" s="8" t="str">
        <f>IFERROR(VLOOKUP(B446,ชื่อสินค้า!A:D,4,FALSE),"")</f>
        <v/>
      </c>
      <c r="E446" s="9"/>
      <c r="F446" s="9"/>
      <c r="G446" s="8" t="str">
        <f t="shared" si="10"/>
        <v/>
      </c>
      <c r="H446" s="10">
        <f t="shared" si="11"/>
        <v>0</v>
      </c>
      <c r="I446" s="8">
        <f>IF(G446&lt;&gt;"",E446-SUMIFS(ขายสินค้า!E:E,ขายสินค้า!G:G,H446),)</f>
        <v>0</v>
      </c>
      <c r="J446" s="11">
        <f t="shared" si="12"/>
        <v>0</v>
      </c>
      <c r="K446" s="11">
        <f>IF(B446&lt;&gt;"", IFERROR(SUMIF(ขายสินค้า!G:G,H446,ขายสินค้า!F:F)/(E446-I446),0),)</f>
        <v>0</v>
      </c>
      <c r="L446" s="12">
        <f t="shared" si="13"/>
        <v>0</v>
      </c>
      <c r="M446" s="13">
        <f t="shared" si="14"/>
        <v>0</v>
      </c>
    </row>
    <row r="447" spans="1:13">
      <c r="A447" s="14"/>
      <c r="B447" s="6"/>
      <c r="C447" s="7">
        <f>IFERROR(VLOOKUP(B447,ชื่อสินค้า!A:C,2,FALSE),)</f>
        <v>0</v>
      </c>
      <c r="D447" s="8" t="str">
        <f>IFERROR(VLOOKUP(B447,ชื่อสินค้า!A:D,4,FALSE),"")</f>
        <v/>
      </c>
      <c r="E447" s="9"/>
      <c r="F447" s="9"/>
      <c r="G447" s="8" t="str">
        <f t="shared" si="10"/>
        <v/>
      </c>
      <c r="H447" s="10">
        <f t="shared" si="11"/>
        <v>0</v>
      </c>
      <c r="I447" s="8">
        <f>IF(G447&lt;&gt;"",E447-SUMIFS(ขายสินค้า!E:E,ขายสินค้า!G:G,H447),)</f>
        <v>0</v>
      </c>
      <c r="J447" s="11">
        <f t="shared" si="12"/>
        <v>0</v>
      </c>
      <c r="K447" s="11">
        <f>IF(B447&lt;&gt;"", IFERROR(SUMIF(ขายสินค้า!G:G,H447,ขายสินค้า!F:F)/(E447-I447),0),)</f>
        <v>0</v>
      </c>
      <c r="L447" s="12">
        <f t="shared" si="13"/>
        <v>0</v>
      </c>
      <c r="M447" s="13">
        <f t="shared" si="14"/>
        <v>0</v>
      </c>
    </row>
    <row r="448" spans="1:13">
      <c r="A448" s="14"/>
      <c r="B448" s="6"/>
      <c r="C448" s="7">
        <f>IFERROR(VLOOKUP(B448,ชื่อสินค้า!A:C,2,FALSE),)</f>
        <v>0</v>
      </c>
      <c r="D448" s="8" t="str">
        <f>IFERROR(VLOOKUP(B448,ชื่อสินค้า!A:D,4,FALSE),"")</f>
        <v/>
      </c>
      <c r="E448" s="9"/>
      <c r="F448" s="9"/>
      <c r="G448" s="8" t="str">
        <f t="shared" si="10"/>
        <v/>
      </c>
      <c r="H448" s="10">
        <f t="shared" si="11"/>
        <v>0</v>
      </c>
      <c r="I448" s="8">
        <f>IF(G448&lt;&gt;"",E448-SUMIFS(ขายสินค้า!E:E,ขายสินค้า!G:G,H448),)</f>
        <v>0</v>
      </c>
      <c r="J448" s="11">
        <f t="shared" si="12"/>
        <v>0</v>
      </c>
      <c r="K448" s="11">
        <f>IF(B448&lt;&gt;"", IFERROR(SUMIF(ขายสินค้า!G:G,H448,ขายสินค้า!F:F)/(E448-I448),0),)</f>
        <v>0</v>
      </c>
      <c r="L448" s="12">
        <f t="shared" si="13"/>
        <v>0</v>
      </c>
      <c r="M448" s="13">
        <f t="shared" si="14"/>
        <v>0</v>
      </c>
    </row>
    <row r="449" spans="1:13">
      <c r="A449" s="14"/>
      <c r="B449" s="6"/>
      <c r="C449" s="7">
        <f>IFERROR(VLOOKUP(B449,ชื่อสินค้า!A:C,2,FALSE),)</f>
        <v>0</v>
      </c>
      <c r="D449" s="8" t="str">
        <f>IFERROR(VLOOKUP(B449,ชื่อสินค้า!A:D,4,FALSE),"")</f>
        <v/>
      </c>
      <c r="E449" s="9"/>
      <c r="F449" s="9"/>
      <c r="G449" s="8" t="str">
        <f t="shared" si="10"/>
        <v/>
      </c>
      <c r="H449" s="10">
        <f t="shared" si="11"/>
        <v>0</v>
      </c>
      <c r="I449" s="8">
        <f>IF(G449&lt;&gt;"",E449-SUMIFS(ขายสินค้า!E:E,ขายสินค้า!G:G,H449),)</f>
        <v>0</v>
      </c>
      <c r="J449" s="11">
        <f t="shared" si="12"/>
        <v>0</v>
      </c>
      <c r="K449" s="11">
        <f>IF(B449&lt;&gt;"", IFERROR(SUMIF(ขายสินค้า!G:G,H449,ขายสินค้า!F:F)/(E449-I449),0),)</f>
        <v>0</v>
      </c>
      <c r="L449" s="12">
        <f t="shared" si="13"/>
        <v>0</v>
      </c>
      <c r="M449" s="13">
        <f t="shared" si="14"/>
        <v>0</v>
      </c>
    </row>
    <row r="450" spans="1:13">
      <c r="A450" s="14"/>
      <c r="B450" s="6"/>
      <c r="C450" s="7">
        <f>IFERROR(VLOOKUP(B450,ชื่อสินค้า!A:C,2,FALSE),)</f>
        <v>0</v>
      </c>
      <c r="D450" s="8" t="str">
        <f>IFERROR(VLOOKUP(B450,ชื่อสินค้า!A:D,4,FALSE),"")</f>
        <v/>
      </c>
      <c r="E450" s="9"/>
      <c r="F450" s="9"/>
      <c r="G450" s="8" t="str">
        <f t="shared" si="10"/>
        <v/>
      </c>
      <c r="H450" s="10">
        <f t="shared" si="11"/>
        <v>0</v>
      </c>
      <c r="I450" s="8">
        <f>IF(G450&lt;&gt;"",E450-SUMIFS(ขายสินค้า!E:E,ขายสินค้า!G:G,H450),)</f>
        <v>0</v>
      </c>
      <c r="J450" s="11">
        <f t="shared" si="12"/>
        <v>0</v>
      </c>
      <c r="K450" s="11">
        <f>IF(B450&lt;&gt;"", IFERROR(SUMIF(ขายสินค้า!G:G,H450,ขายสินค้า!F:F)/(E450-I450),0),)</f>
        <v>0</v>
      </c>
      <c r="L450" s="12">
        <f t="shared" si="13"/>
        <v>0</v>
      </c>
      <c r="M450" s="13">
        <f t="shared" si="14"/>
        <v>0</v>
      </c>
    </row>
    <row r="451" spans="1:13">
      <c r="A451" s="14"/>
      <c r="B451" s="6"/>
      <c r="C451" s="7">
        <f>IFERROR(VLOOKUP(B451,ชื่อสินค้า!A:C,2,FALSE),)</f>
        <v>0</v>
      </c>
      <c r="D451" s="8" t="str">
        <f>IFERROR(VLOOKUP(B451,ชื่อสินค้า!A:D,4,FALSE),"")</f>
        <v/>
      </c>
      <c r="E451" s="9"/>
      <c r="F451" s="9"/>
      <c r="G451" s="8" t="str">
        <f t="shared" si="10"/>
        <v/>
      </c>
      <c r="H451" s="10">
        <f t="shared" si="11"/>
        <v>0</v>
      </c>
      <c r="I451" s="8">
        <f>IF(G451&lt;&gt;"",E451-SUMIFS(ขายสินค้า!E:E,ขายสินค้า!G:G,H451),)</f>
        <v>0</v>
      </c>
      <c r="J451" s="11">
        <f t="shared" si="12"/>
        <v>0</v>
      </c>
      <c r="K451" s="11">
        <f>IF(B451&lt;&gt;"", IFERROR(SUMIF(ขายสินค้า!G:G,H451,ขายสินค้า!F:F)/(E451-I451),0),)</f>
        <v>0</v>
      </c>
      <c r="L451" s="12">
        <f t="shared" si="13"/>
        <v>0</v>
      </c>
      <c r="M451" s="13">
        <f t="shared" si="14"/>
        <v>0</v>
      </c>
    </row>
    <row r="452" spans="1:13">
      <c r="A452" s="14"/>
      <c r="B452" s="6"/>
      <c r="C452" s="7">
        <f>IFERROR(VLOOKUP(B452,ชื่อสินค้า!A:C,2,FALSE),)</f>
        <v>0</v>
      </c>
      <c r="D452" s="8" t="str">
        <f>IFERROR(VLOOKUP(B452,ชื่อสินค้า!A:D,4,FALSE),"")</f>
        <v/>
      </c>
      <c r="E452" s="9"/>
      <c r="F452" s="9"/>
      <c r="G452" s="8" t="str">
        <f t="shared" si="10"/>
        <v/>
      </c>
      <c r="H452" s="10">
        <f t="shared" si="11"/>
        <v>0</v>
      </c>
      <c r="I452" s="8">
        <f>IF(G452&lt;&gt;"",E452-SUMIFS(ขายสินค้า!E:E,ขายสินค้า!G:G,H452),)</f>
        <v>0</v>
      </c>
      <c r="J452" s="11">
        <f t="shared" si="12"/>
        <v>0</v>
      </c>
      <c r="K452" s="11">
        <f>IF(B452&lt;&gt;"", IFERROR(SUMIF(ขายสินค้า!G:G,H452,ขายสินค้า!F:F)/(E452-I452),0),)</f>
        <v>0</v>
      </c>
      <c r="L452" s="12">
        <f t="shared" si="13"/>
        <v>0</v>
      </c>
      <c r="M452" s="13">
        <f t="shared" si="14"/>
        <v>0</v>
      </c>
    </row>
    <row r="453" spans="1:13">
      <c r="A453" s="14"/>
      <c r="B453" s="6"/>
      <c r="C453" s="7">
        <f>IFERROR(VLOOKUP(B453,ชื่อสินค้า!A:C,2,FALSE),)</f>
        <v>0</v>
      </c>
      <c r="D453" s="8" t="str">
        <f>IFERROR(VLOOKUP(B453,ชื่อสินค้า!A:D,4,FALSE),"")</f>
        <v/>
      </c>
      <c r="E453" s="9"/>
      <c r="F453" s="9"/>
      <c r="G453" s="8" t="str">
        <f t="shared" si="10"/>
        <v/>
      </c>
      <c r="H453" s="10">
        <f t="shared" si="11"/>
        <v>0</v>
      </c>
      <c r="I453" s="8">
        <f>IF(G453&lt;&gt;"",E453-SUMIFS(ขายสินค้า!E:E,ขายสินค้า!G:G,H453),)</f>
        <v>0</v>
      </c>
      <c r="J453" s="11">
        <f t="shared" si="12"/>
        <v>0</v>
      </c>
      <c r="K453" s="11">
        <f>IF(B453&lt;&gt;"", IFERROR(SUMIF(ขายสินค้า!G:G,H453,ขายสินค้า!F:F)/(E453-I453),0),)</f>
        <v>0</v>
      </c>
      <c r="L453" s="12">
        <f t="shared" si="13"/>
        <v>0</v>
      </c>
      <c r="M453" s="13">
        <f t="shared" si="14"/>
        <v>0</v>
      </c>
    </row>
    <row r="454" spans="1:13">
      <c r="A454" s="14"/>
      <c r="B454" s="6"/>
      <c r="C454" s="7">
        <f>IFERROR(VLOOKUP(B454,ชื่อสินค้า!A:C,2,FALSE),)</f>
        <v>0</v>
      </c>
      <c r="D454" s="8" t="str">
        <f>IFERROR(VLOOKUP(B454,ชื่อสินค้า!A:D,4,FALSE),"")</f>
        <v/>
      </c>
      <c r="E454" s="9"/>
      <c r="F454" s="9"/>
      <c r="G454" s="8" t="str">
        <f t="shared" si="10"/>
        <v/>
      </c>
      <c r="H454" s="10">
        <f t="shared" si="11"/>
        <v>0</v>
      </c>
      <c r="I454" s="8">
        <f>IF(G454&lt;&gt;"",E454-SUMIFS(ขายสินค้า!E:E,ขายสินค้า!G:G,H454),)</f>
        <v>0</v>
      </c>
      <c r="J454" s="11">
        <f t="shared" si="12"/>
        <v>0</v>
      </c>
      <c r="K454" s="11">
        <f>IF(B454&lt;&gt;"", IFERROR(SUMIF(ขายสินค้า!G:G,H454,ขายสินค้า!F:F)/(E454-I454),0),)</f>
        <v>0</v>
      </c>
      <c r="L454" s="12">
        <f t="shared" si="13"/>
        <v>0</v>
      </c>
      <c r="M454" s="13">
        <f t="shared" si="14"/>
        <v>0</v>
      </c>
    </row>
    <row r="455" spans="1:13">
      <c r="A455" s="14"/>
      <c r="B455" s="6"/>
      <c r="C455" s="7">
        <f>IFERROR(VLOOKUP(B455,ชื่อสินค้า!A:C,2,FALSE),)</f>
        <v>0</v>
      </c>
      <c r="D455" s="8" t="str">
        <f>IFERROR(VLOOKUP(B455,ชื่อสินค้า!A:D,4,FALSE),"")</f>
        <v/>
      </c>
      <c r="E455" s="9"/>
      <c r="F455" s="9"/>
      <c r="G455" s="8" t="str">
        <f t="shared" si="10"/>
        <v/>
      </c>
      <c r="H455" s="10">
        <f t="shared" si="11"/>
        <v>0</v>
      </c>
      <c r="I455" s="8">
        <f>IF(G455&lt;&gt;"",E455-SUMIFS(ขายสินค้า!E:E,ขายสินค้า!G:G,H455),)</f>
        <v>0</v>
      </c>
      <c r="J455" s="11">
        <f t="shared" si="12"/>
        <v>0</v>
      </c>
      <c r="K455" s="11">
        <f>IF(B455&lt;&gt;"", IFERROR(SUMIF(ขายสินค้า!G:G,H455,ขายสินค้า!F:F)/(E455-I455),0),)</f>
        <v>0</v>
      </c>
      <c r="L455" s="12">
        <f t="shared" si="13"/>
        <v>0</v>
      </c>
      <c r="M455" s="13">
        <f t="shared" si="14"/>
        <v>0</v>
      </c>
    </row>
    <row r="456" spans="1:13">
      <c r="A456" s="14"/>
      <c r="B456" s="6"/>
      <c r="C456" s="7">
        <f>IFERROR(VLOOKUP(B456,ชื่อสินค้า!A:C,2,FALSE),)</f>
        <v>0</v>
      </c>
      <c r="D456" s="8" t="str">
        <f>IFERROR(VLOOKUP(B456,ชื่อสินค้า!A:D,4,FALSE),"")</f>
        <v/>
      </c>
      <c r="E456" s="9"/>
      <c r="F456" s="9"/>
      <c r="G456" s="8" t="str">
        <f t="shared" si="10"/>
        <v/>
      </c>
      <c r="H456" s="10">
        <f t="shared" si="11"/>
        <v>0</v>
      </c>
      <c r="I456" s="8">
        <f>IF(G456&lt;&gt;"",E456-SUMIFS(ขายสินค้า!E:E,ขายสินค้า!G:G,H456),)</f>
        <v>0</v>
      </c>
      <c r="J456" s="11">
        <f t="shared" si="12"/>
        <v>0</v>
      </c>
      <c r="K456" s="11">
        <f>IF(B456&lt;&gt;"", IFERROR(SUMIF(ขายสินค้า!G:G,H456,ขายสินค้า!F:F)/(E456-I456),0),)</f>
        <v>0</v>
      </c>
      <c r="L456" s="12">
        <f t="shared" si="13"/>
        <v>0</v>
      </c>
      <c r="M456" s="13">
        <f t="shared" si="14"/>
        <v>0</v>
      </c>
    </row>
    <row r="457" spans="1:13">
      <c r="A457" s="14"/>
      <c r="B457" s="6"/>
      <c r="C457" s="7">
        <f>IFERROR(VLOOKUP(B457,ชื่อสินค้า!A:C,2,FALSE),)</f>
        <v>0</v>
      </c>
      <c r="D457" s="8" t="str">
        <f>IFERROR(VLOOKUP(B457,ชื่อสินค้า!A:D,4,FALSE),"")</f>
        <v/>
      </c>
      <c r="E457" s="9"/>
      <c r="F457" s="9"/>
      <c r="G457" s="8" t="str">
        <f t="shared" si="10"/>
        <v/>
      </c>
      <c r="H457" s="10">
        <f t="shared" si="11"/>
        <v>0</v>
      </c>
      <c r="I457" s="8">
        <f>IF(G457&lt;&gt;"",E457-SUMIFS(ขายสินค้า!E:E,ขายสินค้า!G:G,H457),)</f>
        <v>0</v>
      </c>
      <c r="J457" s="11">
        <f t="shared" si="12"/>
        <v>0</v>
      </c>
      <c r="K457" s="11">
        <f>IF(B457&lt;&gt;"", IFERROR(SUMIF(ขายสินค้า!G:G,H457,ขายสินค้า!F:F)/(E457-I457),0),)</f>
        <v>0</v>
      </c>
      <c r="L457" s="12">
        <f t="shared" si="13"/>
        <v>0</v>
      </c>
      <c r="M457" s="13">
        <f t="shared" si="14"/>
        <v>0</v>
      </c>
    </row>
    <row r="458" spans="1:13">
      <c r="A458" s="14"/>
      <c r="B458" s="6"/>
      <c r="C458" s="7">
        <f>IFERROR(VLOOKUP(B458,ชื่อสินค้า!A:C,2,FALSE),)</f>
        <v>0</v>
      </c>
      <c r="D458" s="8" t="str">
        <f>IFERROR(VLOOKUP(B458,ชื่อสินค้า!A:D,4,FALSE),"")</f>
        <v/>
      </c>
      <c r="E458" s="9"/>
      <c r="F458" s="9"/>
      <c r="G458" s="8" t="str">
        <f t="shared" si="10"/>
        <v/>
      </c>
      <c r="H458" s="10">
        <f t="shared" si="11"/>
        <v>0</v>
      </c>
      <c r="I458" s="8">
        <f>IF(G458&lt;&gt;"",E458-SUMIFS(ขายสินค้า!E:E,ขายสินค้า!G:G,H458),)</f>
        <v>0</v>
      </c>
      <c r="J458" s="11">
        <f t="shared" si="12"/>
        <v>0</v>
      </c>
      <c r="K458" s="11">
        <f>IF(B458&lt;&gt;"", IFERROR(SUMIF(ขายสินค้า!G:G,H458,ขายสินค้า!F:F)/(E458-I458),0),)</f>
        <v>0</v>
      </c>
      <c r="L458" s="12">
        <f t="shared" si="13"/>
        <v>0</v>
      </c>
      <c r="M458" s="13">
        <f t="shared" si="14"/>
        <v>0</v>
      </c>
    </row>
    <row r="459" spans="1:13">
      <c r="A459" s="14"/>
      <c r="B459" s="6"/>
      <c r="C459" s="7">
        <f>IFERROR(VLOOKUP(B459,ชื่อสินค้า!A:C,2,FALSE),)</f>
        <v>0</v>
      </c>
      <c r="D459" s="8" t="str">
        <f>IFERROR(VLOOKUP(B459,ชื่อสินค้า!A:D,4,FALSE),"")</f>
        <v/>
      </c>
      <c r="E459" s="9"/>
      <c r="F459" s="9"/>
      <c r="G459" s="8" t="str">
        <f t="shared" si="10"/>
        <v/>
      </c>
      <c r="H459" s="10">
        <f t="shared" si="11"/>
        <v>0</v>
      </c>
      <c r="I459" s="8">
        <f>IF(G459&lt;&gt;"",E459-SUMIFS(ขายสินค้า!E:E,ขายสินค้า!G:G,H459),)</f>
        <v>0</v>
      </c>
      <c r="J459" s="11">
        <f t="shared" si="12"/>
        <v>0</v>
      </c>
      <c r="K459" s="11">
        <f>IF(B459&lt;&gt;"", IFERROR(SUMIF(ขายสินค้า!G:G,H459,ขายสินค้า!F:F)/(E459-I459),0),)</f>
        <v>0</v>
      </c>
      <c r="L459" s="12">
        <f t="shared" si="13"/>
        <v>0</v>
      </c>
      <c r="M459" s="13">
        <f t="shared" si="14"/>
        <v>0</v>
      </c>
    </row>
    <row r="460" spans="1:13">
      <c r="A460" s="14"/>
      <c r="B460" s="6"/>
      <c r="C460" s="7">
        <f>IFERROR(VLOOKUP(B460,ชื่อสินค้า!A:C,2,FALSE),)</f>
        <v>0</v>
      </c>
      <c r="D460" s="8" t="str">
        <f>IFERROR(VLOOKUP(B460,ชื่อสินค้า!A:D,4,FALSE),"")</f>
        <v/>
      </c>
      <c r="E460" s="9"/>
      <c r="F460" s="9"/>
      <c r="G460" s="8" t="str">
        <f t="shared" si="10"/>
        <v/>
      </c>
      <c r="H460" s="10">
        <f t="shared" si="11"/>
        <v>0</v>
      </c>
      <c r="I460" s="8">
        <f>IF(G460&lt;&gt;"",E460-SUMIFS(ขายสินค้า!E:E,ขายสินค้า!G:G,H460),)</f>
        <v>0</v>
      </c>
      <c r="J460" s="11">
        <f t="shared" si="12"/>
        <v>0</v>
      </c>
      <c r="K460" s="11">
        <f>IF(B460&lt;&gt;"", IFERROR(SUMIF(ขายสินค้า!G:G,H460,ขายสินค้า!F:F)/(E460-I460),0),)</f>
        <v>0</v>
      </c>
      <c r="L460" s="12">
        <f t="shared" si="13"/>
        <v>0</v>
      </c>
      <c r="M460" s="13">
        <f t="shared" si="14"/>
        <v>0</v>
      </c>
    </row>
    <row r="461" spans="1:13">
      <c r="A461" s="14"/>
      <c r="B461" s="6"/>
      <c r="C461" s="7">
        <f>IFERROR(VLOOKUP(B461,ชื่อสินค้า!A:C,2,FALSE),)</f>
        <v>0</v>
      </c>
      <c r="D461" s="8" t="str">
        <f>IFERROR(VLOOKUP(B461,ชื่อสินค้า!A:D,4,FALSE),"")</f>
        <v/>
      </c>
      <c r="E461" s="9"/>
      <c r="F461" s="9"/>
      <c r="G461" s="8" t="str">
        <f t="shared" si="10"/>
        <v/>
      </c>
      <c r="H461" s="10">
        <f t="shared" si="11"/>
        <v>0</v>
      </c>
      <c r="I461" s="8">
        <f>IF(G461&lt;&gt;"",E461-SUMIFS(ขายสินค้า!E:E,ขายสินค้า!G:G,H461),)</f>
        <v>0</v>
      </c>
      <c r="J461" s="11">
        <f t="shared" si="12"/>
        <v>0</v>
      </c>
      <c r="K461" s="11">
        <f>IF(B461&lt;&gt;"", IFERROR(SUMIF(ขายสินค้า!G:G,H461,ขายสินค้า!F:F)/(E461-I461),0),)</f>
        <v>0</v>
      </c>
      <c r="L461" s="12">
        <f t="shared" si="13"/>
        <v>0</v>
      </c>
      <c r="M461" s="13">
        <f t="shared" si="14"/>
        <v>0</v>
      </c>
    </row>
    <row r="462" spans="1:13">
      <c r="A462" s="14"/>
      <c r="B462" s="6"/>
      <c r="C462" s="7">
        <f>IFERROR(VLOOKUP(B462,ชื่อสินค้า!A:C,2,FALSE),)</f>
        <v>0</v>
      </c>
      <c r="D462" s="8" t="str">
        <f>IFERROR(VLOOKUP(B462,ชื่อสินค้า!A:D,4,FALSE),"")</f>
        <v/>
      </c>
      <c r="E462" s="9"/>
      <c r="F462" s="9"/>
      <c r="G462" s="8" t="str">
        <f t="shared" si="10"/>
        <v/>
      </c>
      <c r="H462" s="10">
        <f t="shared" si="11"/>
        <v>0</v>
      </c>
      <c r="I462" s="8">
        <f>IF(G462&lt;&gt;"",E462-SUMIFS(ขายสินค้า!E:E,ขายสินค้า!G:G,H462),)</f>
        <v>0</v>
      </c>
      <c r="J462" s="11">
        <f t="shared" si="12"/>
        <v>0</v>
      </c>
      <c r="K462" s="11">
        <f>IF(B462&lt;&gt;"", IFERROR(SUMIF(ขายสินค้า!G:G,H462,ขายสินค้า!F:F)/(E462-I462),0),)</f>
        <v>0</v>
      </c>
      <c r="L462" s="12">
        <f t="shared" si="13"/>
        <v>0</v>
      </c>
      <c r="M462" s="13">
        <f t="shared" si="14"/>
        <v>0</v>
      </c>
    </row>
    <row r="463" spans="1:13">
      <c r="A463" s="14"/>
      <c r="B463" s="6"/>
      <c r="C463" s="7">
        <f>IFERROR(VLOOKUP(B463,ชื่อสินค้า!A:C,2,FALSE),)</f>
        <v>0</v>
      </c>
      <c r="D463" s="8" t="str">
        <f>IFERROR(VLOOKUP(B463,ชื่อสินค้า!A:D,4,FALSE),"")</f>
        <v/>
      </c>
      <c r="E463" s="9"/>
      <c r="F463" s="9"/>
      <c r="G463" s="8" t="str">
        <f t="shared" si="10"/>
        <v/>
      </c>
      <c r="H463" s="10">
        <f t="shared" si="11"/>
        <v>0</v>
      </c>
      <c r="I463" s="8">
        <f>IF(G463&lt;&gt;"",E463-SUMIFS(ขายสินค้า!E:E,ขายสินค้า!G:G,H463),)</f>
        <v>0</v>
      </c>
      <c r="J463" s="11">
        <f t="shared" si="12"/>
        <v>0</v>
      </c>
      <c r="K463" s="11">
        <f>IF(B463&lt;&gt;"", IFERROR(SUMIF(ขายสินค้า!G:G,H463,ขายสินค้า!F:F)/(E463-I463),0),)</f>
        <v>0</v>
      </c>
      <c r="L463" s="12">
        <f t="shared" si="13"/>
        <v>0</v>
      </c>
      <c r="M463" s="13">
        <f t="shared" si="14"/>
        <v>0</v>
      </c>
    </row>
    <row r="464" spans="1:13">
      <c r="A464" s="14"/>
      <c r="B464" s="6"/>
      <c r="C464" s="7">
        <f>IFERROR(VLOOKUP(B464,ชื่อสินค้า!A:C,2,FALSE),)</f>
        <v>0</v>
      </c>
      <c r="D464" s="8" t="str">
        <f>IFERROR(VLOOKUP(B464,ชื่อสินค้า!A:D,4,FALSE),"")</f>
        <v/>
      </c>
      <c r="E464" s="9"/>
      <c r="F464" s="9"/>
      <c r="G464" s="8" t="str">
        <f t="shared" si="10"/>
        <v/>
      </c>
      <c r="H464" s="10">
        <f t="shared" si="11"/>
        <v>0</v>
      </c>
      <c r="I464" s="8">
        <f>IF(G464&lt;&gt;"",E464-SUMIFS(ขายสินค้า!E:E,ขายสินค้า!G:G,H464),)</f>
        <v>0</v>
      </c>
      <c r="J464" s="11">
        <f t="shared" si="12"/>
        <v>0</v>
      </c>
      <c r="K464" s="11">
        <f>IF(B464&lt;&gt;"", IFERROR(SUMIF(ขายสินค้า!G:G,H464,ขายสินค้า!F:F)/(E464-I464),0),)</f>
        <v>0</v>
      </c>
      <c r="L464" s="12">
        <f t="shared" si="13"/>
        <v>0</v>
      </c>
      <c r="M464" s="13">
        <f t="shared" si="14"/>
        <v>0</v>
      </c>
    </row>
    <row r="465" spans="1:13">
      <c r="A465" s="14"/>
      <c r="B465" s="6"/>
      <c r="C465" s="7">
        <f>IFERROR(VLOOKUP(B465,ชื่อสินค้า!A:C,2,FALSE),)</f>
        <v>0</v>
      </c>
      <c r="D465" s="8" t="str">
        <f>IFERROR(VLOOKUP(B465,ชื่อสินค้า!A:D,4,FALSE),"")</f>
        <v/>
      </c>
      <c r="E465" s="9"/>
      <c r="F465" s="9"/>
      <c r="G465" s="8" t="str">
        <f t="shared" si="10"/>
        <v/>
      </c>
      <c r="H465" s="10">
        <f t="shared" si="11"/>
        <v>0</v>
      </c>
      <c r="I465" s="8">
        <f>IF(G465&lt;&gt;"",E465-SUMIFS(ขายสินค้า!E:E,ขายสินค้า!G:G,H465),)</f>
        <v>0</v>
      </c>
      <c r="J465" s="11">
        <f t="shared" si="12"/>
        <v>0</v>
      </c>
      <c r="K465" s="11">
        <f>IF(B465&lt;&gt;"", IFERROR(SUMIF(ขายสินค้า!G:G,H465,ขายสินค้า!F:F)/(E465-I465),0),)</f>
        <v>0</v>
      </c>
      <c r="L465" s="12">
        <f t="shared" si="13"/>
        <v>0</v>
      </c>
      <c r="M465" s="13">
        <f t="shared" si="14"/>
        <v>0</v>
      </c>
    </row>
    <row r="466" spans="1:13">
      <c r="A466" s="14"/>
      <c r="B466" s="6"/>
      <c r="C466" s="7">
        <f>IFERROR(VLOOKUP(B466,ชื่อสินค้า!A:C,2,FALSE),)</f>
        <v>0</v>
      </c>
      <c r="D466" s="8" t="str">
        <f>IFERROR(VLOOKUP(B466,ชื่อสินค้า!A:D,4,FALSE),"")</f>
        <v/>
      </c>
      <c r="E466" s="9"/>
      <c r="F466" s="9"/>
      <c r="G466" s="8" t="str">
        <f t="shared" si="10"/>
        <v/>
      </c>
      <c r="H466" s="10">
        <f t="shared" si="11"/>
        <v>0</v>
      </c>
      <c r="I466" s="8">
        <f>IF(G466&lt;&gt;"",E466-SUMIFS(ขายสินค้า!E:E,ขายสินค้า!G:G,H466),)</f>
        <v>0</v>
      </c>
      <c r="J466" s="11">
        <f t="shared" si="12"/>
        <v>0</v>
      </c>
      <c r="K466" s="11">
        <f>IF(B466&lt;&gt;"", IFERROR(SUMIF(ขายสินค้า!G:G,H466,ขายสินค้า!F:F)/(E466-I466),0),)</f>
        <v>0</v>
      </c>
      <c r="L466" s="12">
        <f t="shared" si="13"/>
        <v>0</v>
      </c>
      <c r="M466" s="13">
        <f t="shared" si="14"/>
        <v>0</v>
      </c>
    </row>
    <row r="467" spans="1:13">
      <c r="A467" s="14"/>
      <c r="B467" s="6"/>
      <c r="C467" s="7">
        <f>IFERROR(VLOOKUP(B467,ชื่อสินค้า!A:C,2,FALSE),)</f>
        <v>0</v>
      </c>
      <c r="D467" s="8" t="str">
        <f>IFERROR(VLOOKUP(B467,ชื่อสินค้า!A:D,4,FALSE),"")</f>
        <v/>
      </c>
      <c r="E467" s="9"/>
      <c r="F467" s="9"/>
      <c r="G467" s="8" t="str">
        <f t="shared" si="10"/>
        <v/>
      </c>
      <c r="H467" s="10">
        <f t="shared" si="11"/>
        <v>0</v>
      </c>
      <c r="I467" s="8">
        <f>IF(G467&lt;&gt;"",E467-SUMIFS(ขายสินค้า!E:E,ขายสินค้า!G:G,H467),)</f>
        <v>0</v>
      </c>
      <c r="J467" s="11">
        <f t="shared" si="12"/>
        <v>0</v>
      </c>
      <c r="K467" s="11">
        <f>IF(B467&lt;&gt;"", IFERROR(SUMIF(ขายสินค้า!G:G,H467,ขายสินค้า!F:F)/(E467-I467),0),)</f>
        <v>0</v>
      </c>
      <c r="L467" s="12">
        <f t="shared" si="13"/>
        <v>0</v>
      </c>
      <c r="M467" s="13">
        <f t="shared" si="14"/>
        <v>0</v>
      </c>
    </row>
    <row r="468" spans="1:13">
      <c r="A468" s="14"/>
      <c r="B468" s="6"/>
      <c r="C468" s="7">
        <f>IFERROR(VLOOKUP(B468,ชื่อสินค้า!A:C,2,FALSE),)</f>
        <v>0</v>
      </c>
      <c r="D468" s="8" t="str">
        <f>IFERROR(VLOOKUP(B468,ชื่อสินค้า!A:D,4,FALSE),"")</f>
        <v/>
      </c>
      <c r="E468" s="9"/>
      <c r="F468" s="9"/>
      <c r="G468" s="8" t="str">
        <f t="shared" si="10"/>
        <v/>
      </c>
      <c r="H468" s="10">
        <f t="shared" si="11"/>
        <v>0</v>
      </c>
      <c r="I468" s="8">
        <f>IF(G468&lt;&gt;"",E468-SUMIFS(ขายสินค้า!E:E,ขายสินค้า!G:G,H468),)</f>
        <v>0</v>
      </c>
      <c r="J468" s="11">
        <f t="shared" si="12"/>
        <v>0</v>
      </c>
      <c r="K468" s="11">
        <f>IF(B468&lt;&gt;"", IFERROR(SUMIF(ขายสินค้า!G:G,H468,ขายสินค้า!F:F)/(E468-I468),0),)</f>
        <v>0</v>
      </c>
      <c r="L468" s="12">
        <f t="shared" si="13"/>
        <v>0</v>
      </c>
      <c r="M468" s="13">
        <f t="shared" si="14"/>
        <v>0</v>
      </c>
    </row>
    <row r="469" spans="1:13">
      <c r="A469" s="14"/>
      <c r="B469" s="6"/>
      <c r="C469" s="7">
        <f>IFERROR(VLOOKUP(B469,ชื่อสินค้า!A:C,2,FALSE),)</f>
        <v>0</v>
      </c>
      <c r="D469" s="8" t="str">
        <f>IFERROR(VLOOKUP(B469,ชื่อสินค้า!A:D,4,FALSE),"")</f>
        <v/>
      </c>
      <c r="E469" s="9"/>
      <c r="F469" s="9"/>
      <c r="G469" s="8" t="str">
        <f t="shared" si="10"/>
        <v/>
      </c>
      <c r="H469" s="10">
        <f t="shared" si="11"/>
        <v>0</v>
      </c>
      <c r="I469" s="8">
        <f>IF(G469&lt;&gt;"",E469-SUMIFS(ขายสินค้า!E:E,ขายสินค้า!G:G,H469),)</f>
        <v>0</v>
      </c>
      <c r="J469" s="11">
        <f t="shared" si="12"/>
        <v>0</v>
      </c>
      <c r="K469" s="11">
        <f>IF(B469&lt;&gt;"", IFERROR(SUMIF(ขายสินค้า!G:G,H469,ขายสินค้า!F:F)/(E469-I469),0),)</f>
        <v>0</v>
      </c>
      <c r="L469" s="12">
        <f t="shared" si="13"/>
        <v>0</v>
      </c>
      <c r="M469" s="13">
        <f t="shared" si="14"/>
        <v>0</v>
      </c>
    </row>
    <row r="470" spans="1:13">
      <c r="A470" s="14"/>
      <c r="B470" s="6"/>
      <c r="C470" s="7">
        <f>IFERROR(VLOOKUP(B470,ชื่อสินค้า!A:C,2,FALSE),)</f>
        <v>0</v>
      </c>
      <c r="D470" s="8" t="str">
        <f>IFERROR(VLOOKUP(B470,ชื่อสินค้า!A:D,4,FALSE),"")</f>
        <v/>
      </c>
      <c r="E470" s="9"/>
      <c r="F470" s="9"/>
      <c r="G470" s="8" t="str">
        <f t="shared" si="10"/>
        <v/>
      </c>
      <c r="H470" s="10">
        <f t="shared" si="11"/>
        <v>0</v>
      </c>
      <c r="I470" s="8">
        <f>IF(G470&lt;&gt;"",E470-SUMIFS(ขายสินค้า!E:E,ขายสินค้า!G:G,H470),)</f>
        <v>0</v>
      </c>
      <c r="J470" s="11">
        <f t="shared" si="12"/>
        <v>0</v>
      </c>
      <c r="K470" s="11">
        <f>IF(B470&lt;&gt;"", IFERROR(SUMIF(ขายสินค้า!G:G,H470,ขายสินค้า!F:F)/(E470-I470),0),)</f>
        <v>0</v>
      </c>
      <c r="L470" s="12">
        <f t="shared" si="13"/>
        <v>0</v>
      </c>
      <c r="M470" s="13">
        <f t="shared" si="14"/>
        <v>0</v>
      </c>
    </row>
    <row r="471" spans="1:13">
      <c r="A471" s="14"/>
      <c r="B471" s="6"/>
      <c r="C471" s="7">
        <f>IFERROR(VLOOKUP(B471,ชื่อสินค้า!A:C,2,FALSE),)</f>
        <v>0</v>
      </c>
      <c r="D471" s="8" t="str">
        <f>IFERROR(VLOOKUP(B471,ชื่อสินค้า!A:D,4,FALSE),"")</f>
        <v/>
      </c>
      <c r="E471" s="9"/>
      <c r="F471" s="9"/>
      <c r="G471" s="8" t="str">
        <f t="shared" si="10"/>
        <v/>
      </c>
      <c r="H471" s="10">
        <f t="shared" si="11"/>
        <v>0</v>
      </c>
      <c r="I471" s="8">
        <f>IF(G471&lt;&gt;"",E471-SUMIFS(ขายสินค้า!E:E,ขายสินค้า!G:G,H471),)</f>
        <v>0</v>
      </c>
      <c r="J471" s="11">
        <f t="shared" si="12"/>
        <v>0</v>
      </c>
      <c r="K471" s="11">
        <f>IF(B471&lt;&gt;"", IFERROR(SUMIF(ขายสินค้า!G:G,H471,ขายสินค้า!F:F)/(E471-I471),0),)</f>
        <v>0</v>
      </c>
      <c r="L471" s="12">
        <f t="shared" si="13"/>
        <v>0</v>
      </c>
      <c r="M471" s="13">
        <f t="shared" si="14"/>
        <v>0</v>
      </c>
    </row>
    <row r="472" spans="1:13">
      <c r="A472" s="14"/>
      <c r="B472" s="6"/>
      <c r="C472" s="7">
        <f>IFERROR(VLOOKUP(B472,ชื่อสินค้า!A:C,2,FALSE),)</f>
        <v>0</v>
      </c>
      <c r="D472" s="8" t="str">
        <f>IFERROR(VLOOKUP(B472,ชื่อสินค้า!A:D,4,FALSE),"")</f>
        <v/>
      </c>
      <c r="E472" s="9"/>
      <c r="F472" s="9"/>
      <c r="G472" s="8" t="str">
        <f t="shared" si="10"/>
        <v/>
      </c>
      <c r="H472" s="10">
        <f t="shared" si="11"/>
        <v>0</v>
      </c>
      <c r="I472" s="8">
        <f>IF(G472&lt;&gt;"",E472-SUMIFS(ขายสินค้า!E:E,ขายสินค้า!G:G,H472),)</f>
        <v>0</v>
      </c>
      <c r="J472" s="11">
        <f t="shared" si="12"/>
        <v>0</v>
      </c>
      <c r="K472" s="11">
        <f>IF(B472&lt;&gt;"", IFERROR(SUMIF(ขายสินค้า!G:G,H472,ขายสินค้า!F:F)/(E472-I472),0),)</f>
        <v>0</v>
      </c>
      <c r="L472" s="12">
        <f t="shared" si="13"/>
        <v>0</v>
      </c>
      <c r="M472" s="13">
        <f t="shared" si="14"/>
        <v>0</v>
      </c>
    </row>
    <row r="473" spans="1:13">
      <c r="A473" s="14"/>
      <c r="B473" s="6"/>
      <c r="C473" s="7">
        <f>IFERROR(VLOOKUP(B473,ชื่อสินค้า!A:C,2,FALSE),)</f>
        <v>0</v>
      </c>
      <c r="D473" s="8" t="str">
        <f>IFERROR(VLOOKUP(B473,ชื่อสินค้า!A:D,4,FALSE),"")</f>
        <v/>
      </c>
      <c r="E473" s="9"/>
      <c r="F473" s="9"/>
      <c r="G473" s="8" t="str">
        <f t="shared" si="10"/>
        <v/>
      </c>
      <c r="H473" s="10">
        <f t="shared" si="11"/>
        <v>0</v>
      </c>
      <c r="I473" s="8">
        <f>IF(G473&lt;&gt;"",E473-SUMIFS(ขายสินค้า!E:E,ขายสินค้า!G:G,H473),)</f>
        <v>0</v>
      </c>
      <c r="J473" s="11">
        <f t="shared" si="12"/>
        <v>0</v>
      </c>
      <c r="K473" s="11">
        <f>IF(B473&lt;&gt;"", IFERROR(SUMIF(ขายสินค้า!G:G,H473,ขายสินค้า!F:F)/(E473-I473),0),)</f>
        <v>0</v>
      </c>
      <c r="L473" s="12">
        <f t="shared" si="13"/>
        <v>0</v>
      </c>
      <c r="M473" s="13">
        <f t="shared" si="14"/>
        <v>0</v>
      </c>
    </row>
    <row r="474" spans="1:13">
      <c r="A474" s="14"/>
      <c r="B474" s="6"/>
      <c r="C474" s="7">
        <f>IFERROR(VLOOKUP(B474,ชื่อสินค้า!A:C,2,FALSE),)</f>
        <v>0</v>
      </c>
      <c r="D474" s="8" t="str">
        <f>IFERROR(VLOOKUP(B474,ชื่อสินค้า!A:D,4,FALSE),"")</f>
        <v/>
      </c>
      <c r="E474" s="9"/>
      <c r="F474" s="9"/>
      <c r="G474" s="8" t="str">
        <f t="shared" si="10"/>
        <v/>
      </c>
      <c r="H474" s="10">
        <f t="shared" si="11"/>
        <v>0</v>
      </c>
      <c r="I474" s="8">
        <f>IF(G474&lt;&gt;"",E474-SUMIFS(ขายสินค้า!E:E,ขายสินค้า!G:G,H474),)</f>
        <v>0</v>
      </c>
      <c r="J474" s="11">
        <f t="shared" si="12"/>
        <v>0</v>
      </c>
      <c r="K474" s="11">
        <f>IF(B474&lt;&gt;"", IFERROR(SUMIF(ขายสินค้า!G:G,H474,ขายสินค้า!F:F)/(E474-I474),0),)</f>
        <v>0</v>
      </c>
      <c r="L474" s="12">
        <f t="shared" si="13"/>
        <v>0</v>
      </c>
      <c r="M474" s="13">
        <f t="shared" si="14"/>
        <v>0</v>
      </c>
    </row>
    <row r="475" spans="1:13">
      <c r="A475" s="14"/>
      <c r="B475" s="6"/>
      <c r="C475" s="7">
        <f>IFERROR(VLOOKUP(B475,ชื่อสินค้า!A:C,2,FALSE),)</f>
        <v>0</v>
      </c>
      <c r="D475" s="8" t="str">
        <f>IFERROR(VLOOKUP(B475,ชื่อสินค้า!A:D,4,FALSE),"")</f>
        <v/>
      </c>
      <c r="E475" s="9"/>
      <c r="F475" s="9"/>
      <c r="G475" s="8" t="str">
        <f t="shared" si="10"/>
        <v/>
      </c>
      <c r="H475" s="10">
        <f t="shared" si="11"/>
        <v>0</v>
      </c>
      <c r="I475" s="8">
        <f>IF(G475&lt;&gt;"",E475-SUMIFS(ขายสินค้า!E:E,ขายสินค้า!G:G,H475),)</f>
        <v>0</v>
      </c>
      <c r="J475" s="11">
        <f t="shared" si="12"/>
        <v>0</v>
      </c>
      <c r="K475" s="11">
        <f>IF(B475&lt;&gt;"", IFERROR(SUMIF(ขายสินค้า!G:G,H475,ขายสินค้า!F:F)/(E475-I475),0),)</f>
        <v>0</v>
      </c>
      <c r="L475" s="12">
        <f t="shared" si="13"/>
        <v>0</v>
      </c>
      <c r="M475" s="13">
        <f t="shared" si="14"/>
        <v>0</v>
      </c>
    </row>
    <row r="476" spans="1:13">
      <c r="A476" s="14"/>
      <c r="B476" s="6"/>
      <c r="C476" s="7">
        <f>IFERROR(VLOOKUP(B476,ชื่อสินค้า!A:C,2,FALSE),)</f>
        <v>0</v>
      </c>
      <c r="D476" s="8" t="str">
        <f>IFERROR(VLOOKUP(B476,ชื่อสินค้า!A:D,4,FALSE),"")</f>
        <v/>
      </c>
      <c r="E476" s="9"/>
      <c r="F476" s="9"/>
      <c r="G476" s="8" t="str">
        <f t="shared" si="10"/>
        <v/>
      </c>
      <c r="H476" s="10">
        <f t="shared" si="11"/>
        <v>0</v>
      </c>
      <c r="I476" s="8">
        <f>IF(G476&lt;&gt;"",E476-SUMIFS(ขายสินค้า!E:E,ขายสินค้า!G:G,H476),)</f>
        <v>0</v>
      </c>
      <c r="J476" s="11">
        <f t="shared" si="12"/>
        <v>0</v>
      </c>
      <c r="K476" s="11">
        <f>IF(B476&lt;&gt;"", IFERROR(SUMIF(ขายสินค้า!G:G,H476,ขายสินค้า!F:F)/(E476-I476),0),)</f>
        <v>0</v>
      </c>
      <c r="L476" s="12">
        <f t="shared" si="13"/>
        <v>0</v>
      </c>
      <c r="M476" s="13">
        <f t="shared" si="14"/>
        <v>0</v>
      </c>
    </row>
    <row r="477" spans="1:13">
      <c r="A477" s="14"/>
      <c r="B477" s="6"/>
      <c r="C477" s="7">
        <f>IFERROR(VLOOKUP(B477,ชื่อสินค้า!A:C,2,FALSE),)</f>
        <v>0</v>
      </c>
      <c r="D477" s="8" t="str">
        <f>IFERROR(VLOOKUP(B477,ชื่อสินค้า!A:D,4,FALSE),"")</f>
        <v/>
      </c>
      <c r="E477" s="9"/>
      <c r="F477" s="9"/>
      <c r="G477" s="8" t="str">
        <f t="shared" si="10"/>
        <v/>
      </c>
      <c r="H477" s="10">
        <f t="shared" si="11"/>
        <v>0</v>
      </c>
      <c r="I477" s="8">
        <f>IF(G477&lt;&gt;"",E477-SUMIFS(ขายสินค้า!E:E,ขายสินค้า!G:G,H477),)</f>
        <v>0</v>
      </c>
      <c r="J477" s="11">
        <f t="shared" si="12"/>
        <v>0</v>
      </c>
      <c r="K477" s="11">
        <f>IF(B477&lt;&gt;"", IFERROR(SUMIF(ขายสินค้า!G:G,H477,ขายสินค้า!F:F)/(E477-I477),0),)</f>
        <v>0</v>
      </c>
      <c r="L477" s="12">
        <f t="shared" si="13"/>
        <v>0</v>
      </c>
      <c r="M477" s="13">
        <f t="shared" si="14"/>
        <v>0</v>
      </c>
    </row>
    <row r="478" spans="1:13">
      <c r="A478" s="14"/>
      <c r="B478" s="6"/>
      <c r="C478" s="7">
        <f>IFERROR(VLOOKUP(B478,ชื่อสินค้า!A:C,2,FALSE),)</f>
        <v>0</v>
      </c>
      <c r="D478" s="8" t="str">
        <f>IFERROR(VLOOKUP(B478,ชื่อสินค้า!A:D,4,FALSE),"")</f>
        <v/>
      </c>
      <c r="E478" s="9"/>
      <c r="F478" s="9"/>
      <c r="G478" s="8" t="str">
        <f t="shared" si="10"/>
        <v/>
      </c>
      <c r="H478" s="10">
        <f t="shared" si="11"/>
        <v>0</v>
      </c>
      <c r="I478" s="8">
        <f>IF(G478&lt;&gt;"",E478-SUMIFS(ขายสินค้า!E:E,ขายสินค้า!G:G,H478),)</f>
        <v>0</v>
      </c>
      <c r="J478" s="11">
        <f t="shared" si="12"/>
        <v>0</v>
      </c>
      <c r="K478" s="11">
        <f>IF(B478&lt;&gt;"", IFERROR(SUMIF(ขายสินค้า!G:G,H478,ขายสินค้า!F:F)/(E478-I478),0),)</f>
        <v>0</v>
      </c>
      <c r="L478" s="12">
        <f t="shared" si="13"/>
        <v>0</v>
      </c>
      <c r="M478" s="13">
        <f t="shared" si="14"/>
        <v>0</v>
      </c>
    </row>
    <row r="479" spans="1:13">
      <c r="A479" s="14"/>
      <c r="B479" s="6"/>
      <c r="C479" s="7">
        <f>IFERROR(VLOOKUP(B479,ชื่อสินค้า!A:C,2,FALSE),)</f>
        <v>0</v>
      </c>
      <c r="D479" s="8" t="str">
        <f>IFERROR(VLOOKUP(B479,ชื่อสินค้า!A:D,4,FALSE),"")</f>
        <v/>
      </c>
      <c r="E479" s="9"/>
      <c r="F479" s="9"/>
      <c r="G479" s="8" t="str">
        <f t="shared" si="10"/>
        <v/>
      </c>
      <c r="H479" s="10">
        <f t="shared" si="11"/>
        <v>0</v>
      </c>
      <c r="I479" s="8">
        <f>IF(G479&lt;&gt;"",E479-SUMIFS(ขายสินค้า!E:E,ขายสินค้า!G:G,H479),)</f>
        <v>0</v>
      </c>
      <c r="J479" s="11">
        <f t="shared" si="12"/>
        <v>0</v>
      </c>
      <c r="K479" s="11">
        <f>IF(B479&lt;&gt;"", IFERROR(SUMIF(ขายสินค้า!G:G,H479,ขายสินค้า!F:F)/(E479-I479),0),)</f>
        <v>0</v>
      </c>
      <c r="L479" s="12">
        <f t="shared" si="13"/>
        <v>0</v>
      </c>
      <c r="M479" s="13">
        <f t="shared" si="14"/>
        <v>0</v>
      </c>
    </row>
    <row r="480" spans="1:13">
      <c r="A480" s="14"/>
      <c r="B480" s="6"/>
      <c r="C480" s="7">
        <f>IFERROR(VLOOKUP(B480,ชื่อสินค้า!A:C,2,FALSE),)</f>
        <v>0</v>
      </c>
      <c r="D480" s="8" t="str">
        <f>IFERROR(VLOOKUP(B480,ชื่อสินค้า!A:D,4,FALSE),"")</f>
        <v/>
      </c>
      <c r="E480" s="9"/>
      <c r="F480" s="9"/>
      <c r="G480" s="8" t="str">
        <f t="shared" si="10"/>
        <v/>
      </c>
      <c r="H480" s="10">
        <f t="shared" si="11"/>
        <v>0</v>
      </c>
      <c r="I480" s="8">
        <f>IF(G480&lt;&gt;"",E480-SUMIFS(ขายสินค้า!E:E,ขายสินค้า!G:G,H480),)</f>
        <v>0</v>
      </c>
      <c r="J480" s="11">
        <f t="shared" si="12"/>
        <v>0</v>
      </c>
      <c r="K480" s="11">
        <f>IF(B480&lt;&gt;"", IFERROR(SUMIF(ขายสินค้า!G:G,H480,ขายสินค้า!F:F)/(E480-I480),0),)</f>
        <v>0</v>
      </c>
      <c r="L480" s="12">
        <f t="shared" si="13"/>
        <v>0</v>
      </c>
      <c r="M480" s="13">
        <f t="shared" si="14"/>
        <v>0</v>
      </c>
    </row>
    <row r="481" spans="1:13">
      <c r="A481" s="14"/>
      <c r="B481" s="6"/>
      <c r="C481" s="7">
        <f>IFERROR(VLOOKUP(B481,ชื่อสินค้า!A:C,2,FALSE),)</f>
        <v>0</v>
      </c>
      <c r="D481" s="8" t="str">
        <f>IFERROR(VLOOKUP(B481,ชื่อสินค้า!A:D,4,FALSE),"")</f>
        <v/>
      </c>
      <c r="E481" s="9"/>
      <c r="F481" s="9"/>
      <c r="G481" s="8" t="str">
        <f t="shared" si="10"/>
        <v/>
      </c>
      <c r="H481" s="10">
        <f t="shared" si="11"/>
        <v>0</v>
      </c>
      <c r="I481" s="8">
        <f>IF(G481&lt;&gt;"",E481-SUMIFS(ขายสินค้า!E:E,ขายสินค้า!G:G,H481),)</f>
        <v>0</v>
      </c>
      <c r="J481" s="11">
        <f t="shared" si="12"/>
        <v>0</v>
      </c>
      <c r="K481" s="11">
        <f>IF(B481&lt;&gt;"", IFERROR(SUMIF(ขายสินค้า!G:G,H481,ขายสินค้า!F:F)/(E481-I481),0),)</f>
        <v>0</v>
      </c>
      <c r="L481" s="12">
        <f t="shared" si="13"/>
        <v>0</v>
      </c>
      <c r="M481" s="13">
        <f t="shared" si="14"/>
        <v>0</v>
      </c>
    </row>
    <row r="482" spans="1:13">
      <c r="A482" s="14"/>
      <c r="B482" s="6"/>
      <c r="C482" s="7">
        <f>IFERROR(VLOOKUP(B482,ชื่อสินค้า!A:C,2,FALSE),)</f>
        <v>0</v>
      </c>
      <c r="D482" s="8" t="str">
        <f>IFERROR(VLOOKUP(B482,ชื่อสินค้า!A:D,4,FALSE),"")</f>
        <v/>
      </c>
      <c r="E482" s="9"/>
      <c r="F482" s="9"/>
      <c r="G482" s="8" t="str">
        <f t="shared" si="10"/>
        <v/>
      </c>
      <c r="H482" s="10">
        <f t="shared" si="11"/>
        <v>0</v>
      </c>
      <c r="I482" s="8">
        <f>IF(G482&lt;&gt;"",E482-SUMIFS(ขายสินค้า!E:E,ขายสินค้า!G:G,H482),)</f>
        <v>0</v>
      </c>
      <c r="J482" s="11">
        <f t="shared" si="12"/>
        <v>0</v>
      </c>
      <c r="K482" s="11">
        <f>IF(B482&lt;&gt;"", IFERROR(SUMIF(ขายสินค้า!G:G,H482,ขายสินค้า!F:F)/(E482-I482),0),)</f>
        <v>0</v>
      </c>
      <c r="L482" s="12">
        <f t="shared" si="13"/>
        <v>0</v>
      </c>
      <c r="M482" s="13">
        <f t="shared" si="14"/>
        <v>0</v>
      </c>
    </row>
    <row r="483" spans="1:13">
      <c r="A483" s="14"/>
      <c r="B483" s="6"/>
      <c r="C483" s="7">
        <f>IFERROR(VLOOKUP(B483,ชื่อสินค้า!A:C,2,FALSE),)</f>
        <v>0</v>
      </c>
      <c r="D483" s="8" t="str">
        <f>IFERROR(VLOOKUP(B483,ชื่อสินค้า!A:D,4,FALSE),"")</f>
        <v/>
      </c>
      <c r="E483" s="9"/>
      <c r="F483" s="9"/>
      <c r="G483" s="8" t="str">
        <f t="shared" si="10"/>
        <v/>
      </c>
      <c r="H483" s="10">
        <f t="shared" si="11"/>
        <v>0</v>
      </c>
      <c r="I483" s="8">
        <f>IF(G483&lt;&gt;"",E483-SUMIFS(ขายสินค้า!E:E,ขายสินค้า!G:G,H483),)</f>
        <v>0</v>
      </c>
      <c r="J483" s="11">
        <f t="shared" si="12"/>
        <v>0</v>
      </c>
      <c r="K483" s="11">
        <f>IF(B483&lt;&gt;"", IFERROR(SUMIF(ขายสินค้า!G:G,H483,ขายสินค้า!F:F)/(E483-I483),0),)</f>
        <v>0</v>
      </c>
      <c r="L483" s="12">
        <f t="shared" si="13"/>
        <v>0</v>
      </c>
      <c r="M483" s="13">
        <f t="shared" si="14"/>
        <v>0</v>
      </c>
    </row>
    <row r="484" spans="1:13">
      <c r="A484" s="14"/>
      <c r="B484" s="6"/>
      <c r="C484" s="7">
        <f>IFERROR(VLOOKUP(B484,ชื่อสินค้า!A:C,2,FALSE),)</f>
        <v>0</v>
      </c>
      <c r="D484" s="8" t="str">
        <f>IFERROR(VLOOKUP(B484,ชื่อสินค้า!A:D,4,FALSE),"")</f>
        <v/>
      </c>
      <c r="E484" s="9"/>
      <c r="F484" s="9"/>
      <c r="G484" s="8" t="str">
        <f t="shared" si="10"/>
        <v/>
      </c>
      <c r="H484" s="10">
        <f t="shared" si="11"/>
        <v>0</v>
      </c>
      <c r="I484" s="8">
        <f>IF(G484&lt;&gt;"",E484-SUMIFS(ขายสินค้า!E:E,ขายสินค้า!G:G,H484),)</f>
        <v>0</v>
      </c>
      <c r="J484" s="11">
        <f t="shared" si="12"/>
        <v>0</v>
      </c>
      <c r="K484" s="11">
        <f>IF(B484&lt;&gt;"", IFERROR(SUMIF(ขายสินค้า!G:G,H484,ขายสินค้า!F:F)/(E484-I484),0),)</f>
        <v>0</v>
      </c>
      <c r="L484" s="12">
        <f t="shared" si="13"/>
        <v>0</v>
      </c>
      <c r="M484" s="13">
        <f t="shared" si="14"/>
        <v>0</v>
      </c>
    </row>
    <row r="485" spans="1:13">
      <c r="A485" s="14"/>
      <c r="B485" s="6"/>
      <c r="C485" s="7">
        <f>IFERROR(VLOOKUP(B485,ชื่อสินค้า!A:C,2,FALSE),)</f>
        <v>0</v>
      </c>
      <c r="D485" s="8" t="str">
        <f>IFERROR(VLOOKUP(B485,ชื่อสินค้า!A:D,4,FALSE),"")</f>
        <v/>
      </c>
      <c r="E485" s="9"/>
      <c r="F485" s="9"/>
      <c r="G485" s="8" t="str">
        <f t="shared" si="10"/>
        <v/>
      </c>
      <c r="H485" s="10">
        <f t="shared" si="11"/>
        <v>0</v>
      </c>
      <c r="I485" s="8">
        <f>IF(G485&lt;&gt;"",E485-SUMIFS(ขายสินค้า!E:E,ขายสินค้า!G:G,H485),)</f>
        <v>0</v>
      </c>
      <c r="J485" s="11">
        <f t="shared" si="12"/>
        <v>0</v>
      </c>
      <c r="K485" s="11">
        <f>IF(B485&lt;&gt;"", IFERROR(SUMIF(ขายสินค้า!G:G,H485,ขายสินค้า!F:F)/(E485-I485),0),)</f>
        <v>0</v>
      </c>
      <c r="L485" s="12">
        <f t="shared" si="13"/>
        <v>0</v>
      </c>
      <c r="M485" s="13">
        <f t="shared" si="14"/>
        <v>0</v>
      </c>
    </row>
    <row r="486" spans="1:13">
      <c r="A486" s="14"/>
      <c r="B486" s="6"/>
      <c r="C486" s="7">
        <f>IFERROR(VLOOKUP(B486,ชื่อสินค้า!A:C,2,FALSE),)</f>
        <v>0</v>
      </c>
      <c r="D486" s="8" t="str">
        <f>IFERROR(VLOOKUP(B486,ชื่อสินค้า!A:D,4,FALSE),"")</f>
        <v/>
      </c>
      <c r="E486" s="9"/>
      <c r="F486" s="9"/>
      <c r="G486" s="8" t="str">
        <f t="shared" si="10"/>
        <v/>
      </c>
      <c r="H486" s="10">
        <f t="shared" si="11"/>
        <v>0</v>
      </c>
      <c r="I486" s="8">
        <f>IF(G486&lt;&gt;"",E486-SUMIFS(ขายสินค้า!E:E,ขายสินค้า!G:G,H486),)</f>
        <v>0</v>
      </c>
      <c r="J486" s="11">
        <f t="shared" si="12"/>
        <v>0</v>
      </c>
      <c r="K486" s="11">
        <f>IF(B486&lt;&gt;"", IFERROR(SUMIF(ขายสินค้า!G:G,H486,ขายสินค้า!F:F)/(E486-I486),0),)</f>
        <v>0</v>
      </c>
      <c r="L486" s="12">
        <f t="shared" si="13"/>
        <v>0</v>
      </c>
      <c r="M486" s="13">
        <f t="shared" si="14"/>
        <v>0</v>
      </c>
    </row>
    <row r="487" spans="1:13">
      <c r="A487" s="14"/>
      <c r="B487" s="6"/>
      <c r="C487" s="7">
        <f>IFERROR(VLOOKUP(B487,ชื่อสินค้า!A:C,2,FALSE),)</f>
        <v>0</v>
      </c>
      <c r="D487" s="8" t="str">
        <f>IFERROR(VLOOKUP(B487,ชื่อสินค้า!A:D,4,FALSE),"")</f>
        <v/>
      </c>
      <c r="E487" s="9"/>
      <c r="F487" s="9"/>
      <c r="G487" s="8" t="str">
        <f t="shared" si="10"/>
        <v/>
      </c>
      <c r="H487" s="10">
        <f t="shared" si="11"/>
        <v>0</v>
      </c>
      <c r="I487" s="8">
        <f>IF(G487&lt;&gt;"",E487-SUMIFS(ขายสินค้า!E:E,ขายสินค้า!G:G,H487),)</f>
        <v>0</v>
      </c>
      <c r="J487" s="11">
        <f t="shared" si="12"/>
        <v>0</v>
      </c>
      <c r="K487" s="11">
        <f>IF(B487&lt;&gt;"", IFERROR(SUMIF(ขายสินค้า!G:G,H487,ขายสินค้า!F:F)/(E487-I487),0),)</f>
        <v>0</v>
      </c>
      <c r="L487" s="12">
        <f t="shared" si="13"/>
        <v>0</v>
      </c>
      <c r="M487" s="13">
        <f t="shared" si="14"/>
        <v>0</v>
      </c>
    </row>
    <row r="488" spans="1:13">
      <c r="A488" s="14"/>
      <c r="B488" s="6"/>
      <c r="C488" s="7">
        <f>IFERROR(VLOOKUP(B488,ชื่อสินค้า!A:C,2,FALSE),)</f>
        <v>0</v>
      </c>
      <c r="D488" s="8" t="str">
        <f>IFERROR(VLOOKUP(B488,ชื่อสินค้า!A:D,4,FALSE),"")</f>
        <v/>
      </c>
      <c r="E488" s="9"/>
      <c r="F488" s="9"/>
      <c r="G488" s="8" t="str">
        <f t="shared" si="10"/>
        <v/>
      </c>
      <c r="H488" s="10">
        <f t="shared" si="11"/>
        <v>0</v>
      </c>
      <c r="I488" s="8">
        <f>IF(G488&lt;&gt;"",E488-SUMIFS(ขายสินค้า!E:E,ขายสินค้า!G:G,H488),)</f>
        <v>0</v>
      </c>
      <c r="J488" s="11">
        <f t="shared" si="12"/>
        <v>0</v>
      </c>
      <c r="K488" s="11">
        <f>IF(B488&lt;&gt;"", IFERROR(SUMIF(ขายสินค้า!G:G,H488,ขายสินค้า!F:F)/(E488-I488),0),)</f>
        <v>0</v>
      </c>
      <c r="L488" s="12">
        <f t="shared" si="13"/>
        <v>0</v>
      </c>
      <c r="M488" s="13">
        <f t="shared" si="14"/>
        <v>0</v>
      </c>
    </row>
    <row r="489" spans="1:13">
      <c r="A489" s="14"/>
      <c r="B489" s="6"/>
      <c r="C489" s="7">
        <f>IFERROR(VLOOKUP(B489,ชื่อสินค้า!A:C,2,FALSE),)</f>
        <v>0</v>
      </c>
      <c r="D489" s="8" t="str">
        <f>IFERROR(VLOOKUP(B489,ชื่อสินค้า!A:D,4,FALSE),"")</f>
        <v/>
      </c>
      <c r="E489" s="9"/>
      <c r="F489" s="9"/>
      <c r="G489" s="8" t="str">
        <f t="shared" si="10"/>
        <v/>
      </c>
      <c r="H489" s="10">
        <f t="shared" si="11"/>
        <v>0</v>
      </c>
      <c r="I489" s="8">
        <f>IF(G489&lt;&gt;"",E489-SUMIFS(ขายสินค้า!E:E,ขายสินค้า!G:G,H489),)</f>
        <v>0</v>
      </c>
      <c r="J489" s="11">
        <f t="shared" si="12"/>
        <v>0</v>
      </c>
      <c r="K489" s="11">
        <f>IF(B489&lt;&gt;"", IFERROR(SUMIF(ขายสินค้า!G:G,H489,ขายสินค้า!F:F)/(E489-I489),0),)</f>
        <v>0</v>
      </c>
      <c r="L489" s="12">
        <f t="shared" si="13"/>
        <v>0</v>
      </c>
      <c r="M489" s="13">
        <f t="shared" si="14"/>
        <v>0</v>
      </c>
    </row>
    <row r="490" spans="1:13">
      <c r="A490" s="14"/>
      <c r="B490" s="6"/>
      <c r="C490" s="7">
        <f>IFERROR(VLOOKUP(B490,ชื่อสินค้า!A:C,2,FALSE),)</f>
        <v>0</v>
      </c>
      <c r="D490" s="8" t="str">
        <f>IFERROR(VLOOKUP(B490,ชื่อสินค้า!A:D,4,FALSE),"")</f>
        <v/>
      </c>
      <c r="E490" s="9"/>
      <c r="F490" s="9"/>
      <c r="G490" s="8" t="str">
        <f t="shared" si="10"/>
        <v/>
      </c>
      <c r="H490" s="10">
        <f t="shared" si="11"/>
        <v>0</v>
      </c>
      <c r="I490" s="8">
        <f>IF(G490&lt;&gt;"",E490-SUMIFS(ขายสินค้า!E:E,ขายสินค้า!G:G,H490),)</f>
        <v>0</v>
      </c>
      <c r="J490" s="11">
        <f t="shared" si="12"/>
        <v>0</v>
      </c>
      <c r="K490" s="11">
        <f>IF(B490&lt;&gt;"", IFERROR(SUMIF(ขายสินค้า!G:G,H490,ขายสินค้า!F:F)/(E490-I490),0),)</f>
        <v>0</v>
      </c>
      <c r="L490" s="12">
        <f t="shared" si="13"/>
        <v>0</v>
      </c>
      <c r="M490" s="13">
        <f t="shared" si="14"/>
        <v>0</v>
      </c>
    </row>
    <row r="491" spans="1:13">
      <c r="A491" s="14"/>
      <c r="B491" s="6"/>
      <c r="C491" s="7">
        <f>IFERROR(VLOOKUP(B491,ชื่อสินค้า!A:C,2,FALSE),)</f>
        <v>0</v>
      </c>
      <c r="D491" s="8" t="str">
        <f>IFERROR(VLOOKUP(B491,ชื่อสินค้า!A:D,4,FALSE),"")</f>
        <v/>
      </c>
      <c r="E491" s="9"/>
      <c r="F491" s="9"/>
      <c r="G491" s="8" t="str">
        <f t="shared" si="10"/>
        <v/>
      </c>
      <c r="H491" s="10">
        <f t="shared" si="11"/>
        <v>0</v>
      </c>
      <c r="I491" s="8">
        <f>IF(G491&lt;&gt;"",E491-SUMIFS(ขายสินค้า!E:E,ขายสินค้า!G:G,H491),)</f>
        <v>0</v>
      </c>
      <c r="J491" s="11">
        <f t="shared" si="12"/>
        <v>0</v>
      </c>
      <c r="K491" s="11">
        <f>IF(B491&lt;&gt;"", IFERROR(SUMIF(ขายสินค้า!G:G,H491,ขายสินค้า!F:F)/(E491-I491),0),)</f>
        <v>0</v>
      </c>
      <c r="L491" s="12">
        <f t="shared" si="13"/>
        <v>0</v>
      </c>
      <c r="M491" s="13">
        <f t="shared" si="14"/>
        <v>0</v>
      </c>
    </row>
    <row r="492" spans="1:13">
      <c r="A492" s="14"/>
      <c r="B492" s="6"/>
      <c r="C492" s="7">
        <f>IFERROR(VLOOKUP(B492,ชื่อสินค้า!A:C,2,FALSE),)</f>
        <v>0</v>
      </c>
      <c r="D492" s="8" t="str">
        <f>IFERROR(VLOOKUP(B492,ชื่อสินค้า!A:D,4,FALSE),"")</f>
        <v/>
      </c>
      <c r="E492" s="9"/>
      <c r="F492" s="9"/>
      <c r="G492" s="8" t="str">
        <f t="shared" si="10"/>
        <v/>
      </c>
      <c r="H492" s="10">
        <f t="shared" si="11"/>
        <v>0</v>
      </c>
      <c r="I492" s="8">
        <f>IF(G492&lt;&gt;"",E492-SUMIFS(ขายสินค้า!E:E,ขายสินค้า!G:G,H492),)</f>
        <v>0</v>
      </c>
      <c r="J492" s="11">
        <f t="shared" si="12"/>
        <v>0</v>
      </c>
      <c r="K492" s="11">
        <f>IF(B492&lt;&gt;"", IFERROR(SUMIF(ขายสินค้า!G:G,H492,ขายสินค้า!F:F)/(E492-I492),0),)</f>
        <v>0</v>
      </c>
      <c r="L492" s="12">
        <f t="shared" si="13"/>
        <v>0</v>
      </c>
      <c r="M492" s="13">
        <f t="shared" si="14"/>
        <v>0</v>
      </c>
    </row>
    <row r="493" spans="1:13">
      <c r="A493" s="14"/>
      <c r="B493" s="6"/>
      <c r="C493" s="7">
        <f>IFERROR(VLOOKUP(B493,ชื่อสินค้า!A:C,2,FALSE),)</f>
        <v>0</v>
      </c>
      <c r="D493" s="8" t="str">
        <f>IFERROR(VLOOKUP(B493,ชื่อสินค้า!A:D,4,FALSE),"")</f>
        <v/>
      </c>
      <c r="E493" s="9"/>
      <c r="F493" s="9"/>
      <c r="G493" s="8" t="str">
        <f t="shared" si="10"/>
        <v/>
      </c>
      <c r="H493" s="10">
        <f t="shared" si="11"/>
        <v>0</v>
      </c>
      <c r="I493" s="8">
        <f>IF(G493&lt;&gt;"",E493-SUMIFS(ขายสินค้า!E:E,ขายสินค้า!G:G,H493),)</f>
        <v>0</v>
      </c>
      <c r="J493" s="11">
        <f t="shared" si="12"/>
        <v>0</v>
      </c>
      <c r="K493" s="11">
        <f>IF(B493&lt;&gt;"", IFERROR(SUMIF(ขายสินค้า!G:G,H493,ขายสินค้า!F:F)/(E493-I493),0),)</f>
        <v>0</v>
      </c>
      <c r="L493" s="12">
        <f t="shared" si="13"/>
        <v>0</v>
      </c>
      <c r="M493" s="13">
        <f t="shared" si="14"/>
        <v>0</v>
      </c>
    </row>
    <row r="494" spans="1:13">
      <c r="A494" s="14"/>
      <c r="B494" s="6"/>
      <c r="C494" s="7">
        <f>IFERROR(VLOOKUP(B494,ชื่อสินค้า!A:C,2,FALSE),)</f>
        <v>0</v>
      </c>
      <c r="D494" s="8" t="str">
        <f>IFERROR(VLOOKUP(B494,ชื่อสินค้า!A:D,4,FALSE),"")</f>
        <v/>
      </c>
      <c r="E494" s="9"/>
      <c r="F494" s="9"/>
      <c r="G494" s="8" t="str">
        <f t="shared" si="10"/>
        <v/>
      </c>
      <c r="H494" s="10">
        <f t="shared" si="11"/>
        <v>0</v>
      </c>
      <c r="I494" s="8">
        <f>IF(G494&lt;&gt;"",E494-SUMIFS(ขายสินค้า!E:E,ขายสินค้า!G:G,H494),)</f>
        <v>0</v>
      </c>
      <c r="J494" s="11">
        <f t="shared" si="12"/>
        <v>0</v>
      </c>
      <c r="K494" s="11">
        <f>IF(B494&lt;&gt;"", IFERROR(SUMIF(ขายสินค้า!G:G,H494,ขายสินค้า!F:F)/(E494-I494),0),)</f>
        <v>0</v>
      </c>
      <c r="L494" s="12">
        <f t="shared" si="13"/>
        <v>0</v>
      </c>
      <c r="M494" s="13">
        <f t="shared" si="14"/>
        <v>0</v>
      </c>
    </row>
    <row r="495" spans="1:13">
      <c r="A495" s="14"/>
      <c r="B495" s="6"/>
      <c r="C495" s="7">
        <f>IFERROR(VLOOKUP(B495,ชื่อสินค้า!A:C,2,FALSE),)</f>
        <v>0</v>
      </c>
      <c r="D495" s="8" t="str">
        <f>IFERROR(VLOOKUP(B495,ชื่อสินค้า!A:D,4,FALSE),"")</f>
        <v/>
      </c>
      <c r="E495" s="9"/>
      <c r="F495" s="9"/>
      <c r="G495" s="8" t="str">
        <f t="shared" si="10"/>
        <v/>
      </c>
      <c r="H495" s="10">
        <f t="shared" si="11"/>
        <v>0</v>
      </c>
      <c r="I495" s="8">
        <f>IF(G495&lt;&gt;"",E495-SUMIFS(ขายสินค้า!E:E,ขายสินค้า!G:G,H495),)</f>
        <v>0</v>
      </c>
      <c r="J495" s="11">
        <f t="shared" si="12"/>
        <v>0</v>
      </c>
      <c r="K495" s="11">
        <f>IF(B495&lt;&gt;"", IFERROR(SUMIF(ขายสินค้า!G:G,H495,ขายสินค้า!F:F)/(E495-I495),0),)</f>
        <v>0</v>
      </c>
      <c r="L495" s="12">
        <f t="shared" si="13"/>
        <v>0</v>
      </c>
      <c r="M495" s="13">
        <f t="shared" si="14"/>
        <v>0</v>
      </c>
    </row>
    <row r="496" spans="1:13">
      <c r="A496" s="14"/>
      <c r="B496" s="6"/>
      <c r="C496" s="7">
        <f>IFERROR(VLOOKUP(B496,ชื่อสินค้า!A:C,2,FALSE),)</f>
        <v>0</v>
      </c>
      <c r="D496" s="8" t="str">
        <f>IFERROR(VLOOKUP(B496,ชื่อสินค้า!A:D,4,FALSE),"")</f>
        <v/>
      </c>
      <c r="E496" s="9"/>
      <c r="F496" s="9"/>
      <c r="G496" s="8" t="str">
        <f t="shared" si="10"/>
        <v/>
      </c>
      <c r="H496" s="10">
        <f t="shared" si="11"/>
        <v>0</v>
      </c>
      <c r="I496" s="8">
        <f>IF(G496&lt;&gt;"",E496-SUMIFS(ขายสินค้า!E:E,ขายสินค้า!G:G,H496),)</f>
        <v>0</v>
      </c>
      <c r="J496" s="11">
        <f t="shared" si="12"/>
        <v>0</v>
      </c>
      <c r="K496" s="11">
        <f>IF(B496&lt;&gt;"", IFERROR(SUMIF(ขายสินค้า!G:G,H496,ขายสินค้า!F:F)/(E496-I496),0),)</f>
        <v>0</v>
      </c>
      <c r="L496" s="12">
        <f t="shared" si="13"/>
        <v>0</v>
      </c>
      <c r="M496" s="13">
        <f t="shared" si="14"/>
        <v>0</v>
      </c>
    </row>
    <row r="497" spans="1:13">
      <c r="A497" s="14"/>
      <c r="B497" s="6"/>
      <c r="C497" s="7">
        <f>IFERROR(VLOOKUP(B497,ชื่อสินค้า!A:C,2,FALSE),)</f>
        <v>0</v>
      </c>
      <c r="D497" s="8" t="str">
        <f>IFERROR(VLOOKUP(B497,ชื่อสินค้า!A:D,4,FALSE),"")</f>
        <v/>
      </c>
      <c r="E497" s="9"/>
      <c r="F497" s="9"/>
      <c r="G497" s="8" t="str">
        <f t="shared" si="10"/>
        <v/>
      </c>
      <c r="H497" s="10">
        <f t="shared" si="11"/>
        <v>0</v>
      </c>
      <c r="I497" s="8">
        <f>IF(G497&lt;&gt;"",E497-SUMIFS(ขายสินค้า!E:E,ขายสินค้า!G:G,H497),)</f>
        <v>0</v>
      </c>
      <c r="J497" s="11">
        <f t="shared" si="12"/>
        <v>0</v>
      </c>
      <c r="K497" s="11">
        <f>IF(B497&lt;&gt;"", IFERROR(SUMIF(ขายสินค้า!G:G,H497,ขายสินค้า!F:F)/(E497-I497),0),)</f>
        <v>0</v>
      </c>
      <c r="L497" s="12">
        <f t="shared" si="13"/>
        <v>0</v>
      </c>
      <c r="M497" s="13">
        <f t="shared" si="14"/>
        <v>0</v>
      </c>
    </row>
    <row r="498" spans="1:13">
      <c r="A498" s="14"/>
      <c r="B498" s="6"/>
      <c r="C498" s="7">
        <f>IFERROR(VLOOKUP(B498,ชื่อสินค้า!A:C,2,FALSE),)</f>
        <v>0</v>
      </c>
      <c r="D498" s="8" t="str">
        <f>IFERROR(VLOOKUP(B498,ชื่อสินค้า!A:D,4,FALSE),"")</f>
        <v/>
      </c>
      <c r="E498" s="9"/>
      <c r="F498" s="9"/>
      <c r="G498" s="8" t="str">
        <f t="shared" si="10"/>
        <v/>
      </c>
      <c r="H498" s="10">
        <f t="shared" si="11"/>
        <v>0</v>
      </c>
      <c r="I498" s="8">
        <f>IF(G498&lt;&gt;"",E498-SUMIFS(ขายสินค้า!E:E,ขายสินค้า!G:G,H498),)</f>
        <v>0</v>
      </c>
      <c r="J498" s="11">
        <f t="shared" si="12"/>
        <v>0</v>
      </c>
      <c r="K498" s="11">
        <f>IF(B498&lt;&gt;"", IFERROR(SUMIF(ขายสินค้า!G:G,H498,ขายสินค้า!F:F)/(E498-I498),0),)</f>
        <v>0</v>
      </c>
      <c r="L498" s="12">
        <f t="shared" si="13"/>
        <v>0</v>
      </c>
      <c r="M498" s="13">
        <f t="shared" si="14"/>
        <v>0</v>
      </c>
    </row>
    <row r="499" spans="1:13">
      <c r="A499" s="14"/>
      <c r="B499" s="6"/>
      <c r="C499" s="7">
        <f>IFERROR(VLOOKUP(B499,ชื่อสินค้า!A:C,2,FALSE),)</f>
        <v>0</v>
      </c>
      <c r="D499" s="8" t="str">
        <f>IFERROR(VLOOKUP(B499,ชื่อสินค้า!A:D,4,FALSE),"")</f>
        <v/>
      </c>
      <c r="E499" s="9"/>
      <c r="F499" s="9"/>
      <c r="G499" s="8" t="str">
        <f t="shared" si="10"/>
        <v/>
      </c>
      <c r="H499" s="10">
        <f t="shared" si="11"/>
        <v>0</v>
      </c>
      <c r="I499" s="8">
        <f>IF(G499&lt;&gt;"",E499-SUMIFS(ขายสินค้า!E:E,ขายสินค้า!G:G,H499),)</f>
        <v>0</v>
      </c>
      <c r="J499" s="11">
        <f t="shared" si="12"/>
        <v>0</v>
      </c>
      <c r="K499" s="11">
        <f>IF(B499&lt;&gt;"", IFERROR(SUMIF(ขายสินค้า!G:G,H499,ขายสินค้า!F:F)/(E499-I499),0),)</f>
        <v>0</v>
      </c>
      <c r="L499" s="12">
        <f t="shared" si="13"/>
        <v>0</v>
      </c>
      <c r="M499" s="13">
        <f t="shared" si="14"/>
        <v>0</v>
      </c>
    </row>
    <row r="500" spans="1:13">
      <c r="A500" s="14"/>
      <c r="B500" s="6"/>
      <c r="C500" s="7">
        <f>IFERROR(VLOOKUP(B500,ชื่อสินค้า!A:C,2,FALSE),)</f>
        <v>0</v>
      </c>
      <c r="D500" s="8" t="str">
        <f>IFERROR(VLOOKUP(B500,ชื่อสินค้า!A:D,4,FALSE),"")</f>
        <v/>
      </c>
      <c r="E500" s="9"/>
      <c r="F500" s="9"/>
      <c r="G500" s="8" t="str">
        <f t="shared" si="10"/>
        <v/>
      </c>
      <c r="H500" s="10">
        <f t="shared" si="11"/>
        <v>0</v>
      </c>
      <c r="I500" s="8">
        <f>IF(G500&lt;&gt;"",E500-SUMIFS(ขายสินค้า!E:E,ขายสินค้า!G:G,H500),)</f>
        <v>0</v>
      </c>
      <c r="J500" s="11">
        <f t="shared" si="12"/>
        <v>0</v>
      </c>
      <c r="K500" s="11">
        <f>IF(B500&lt;&gt;"", IFERROR(SUMIF(ขายสินค้า!G:G,H500,ขายสินค้า!F:F)/(E500-I500),0),)</f>
        <v>0</v>
      </c>
      <c r="L500" s="12">
        <f t="shared" si="13"/>
        <v>0</v>
      </c>
      <c r="M500" s="13">
        <f t="shared" si="14"/>
        <v>0</v>
      </c>
    </row>
    <row r="501" spans="1:13">
      <c r="A501" s="14"/>
      <c r="B501" s="6"/>
      <c r="C501" s="7">
        <f>IFERROR(VLOOKUP(B501,ชื่อสินค้า!A:C,2,FALSE),)</f>
        <v>0</v>
      </c>
      <c r="D501" s="8" t="str">
        <f>IFERROR(VLOOKUP(B501,ชื่อสินค้า!A:D,4,FALSE),"")</f>
        <v/>
      </c>
      <c r="E501" s="9"/>
      <c r="F501" s="9"/>
      <c r="G501" s="8" t="str">
        <f t="shared" si="10"/>
        <v/>
      </c>
      <c r="H501" s="10">
        <f t="shared" si="11"/>
        <v>0</v>
      </c>
      <c r="I501" s="8">
        <f>IF(G501&lt;&gt;"",E501-SUMIFS(ขายสินค้า!E:E,ขายสินค้า!G:G,H501),)</f>
        <v>0</v>
      </c>
      <c r="J501" s="11">
        <f t="shared" si="12"/>
        <v>0</v>
      </c>
      <c r="K501" s="11">
        <f>IF(B501&lt;&gt;"", IFERROR(SUMIF(ขายสินค้า!G:G,H501,ขายสินค้า!F:F)/(E501-I501),0),)</f>
        <v>0</v>
      </c>
      <c r="L501" s="12">
        <f t="shared" si="13"/>
        <v>0</v>
      </c>
      <c r="M501" s="13">
        <f t="shared" si="14"/>
        <v>0</v>
      </c>
    </row>
    <row r="502" spans="1:13">
      <c r="A502" s="14"/>
      <c r="B502" s="6"/>
      <c r="C502" s="7">
        <f>IFERROR(VLOOKUP(B502,ชื่อสินค้า!A:C,2,FALSE),)</f>
        <v>0</v>
      </c>
      <c r="D502" s="8" t="str">
        <f>IFERROR(VLOOKUP(B502,ชื่อสินค้า!A:D,4,FALSE),"")</f>
        <v/>
      </c>
      <c r="E502" s="9"/>
      <c r="F502" s="9"/>
      <c r="G502" s="8" t="str">
        <f t="shared" si="10"/>
        <v/>
      </c>
      <c r="H502" s="10">
        <f t="shared" si="11"/>
        <v>0</v>
      </c>
      <c r="I502" s="8">
        <f>IF(G502&lt;&gt;"",E502-SUMIFS(ขายสินค้า!E:E,ขายสินค้า!G:G,H502),)</f>
        <v>0</v>
      </c>
      <c r="J502" s="11">
        <f t="shared" si="12"/>
        <v>0</v>
      </c>
      <c r="K502" s="11">
        <f>IF(B502&lt;&gt;"", IFERROR(SUMIF(ขายสินค้า!G:G,H502,ขายสินค้า!F:F)/(E502-I502),0),)</f>
        <v>0</v>
      </c>
      <c r="L502" s="12">
        <f t="shared" si="13"/>
        <v>0</v>
      </c>
      <c r="M502" s="13">
        <f t="shared" si="14"/>
        <v>0</v>
      </c>
    </row>
    <row r="503" spans="1:13">
      <c r="A503" s="14"/>
      <c r="B503" s="6"/>
      <c r="C503" s="7">
        <f>IFERROR(VLOOKUP(B503,ชื่อสินค้า!A:C,2,FALSE),)</f>
        <v>0</v>
      </c>
      <c r="D503" s="8" t="str">
        <f>IFERROR(VLOOKUP(B503,ชื่อสินค้า!A:D,4,FALSE),"")</f>
        <v/>
      </c>
      <c r="E503" s="9"/>
      <c r="F503" s="9"/>
      <c r="G503" s="8" t="str">
        <f t="shared" si="10"/>
        <v/>
      </c>
      <c r="H503" s="10">
        <f t="shared" si="11"/>
        <v>0</v>
      </c>
      <c r="I503" s="8">
        <f>IF(G503&lt;&gt;"",E503-SUMIFS(ขายสินค้า!E:E,ขายสินค้า!G:G,H503),)</f>
        <v>0</v>
      </c>
      <c r="J503" s="11">
        <f t="shared" si="12"/>
        <v>0</v>
      </c>
      <c r="K503" s="11">
        <f>IF(B503&lt;&gt;"", IFERROR(SUMIF(ขายสินค้า!G:G,H503,ขายสินค้า!F:F)/(E503-I503),0),)</f>
        <v>0</v>
      </c>
      <c r="L503" s="12">
        <f t="shared" si="13"/>
        <v>0</v>
      </c>
      <c r="M503" s="13">
        <f t="shared" si="14"/>
        <v>0</v>
      </c>
    </row>
    <row r="504" spans="1:13">
      <c r="A504" s="14"/>
      <c r="B504" s="6"/>
      <c r="C504" s="7">
        <f>IFERROR(VLOOKUP(B504,ชื่อสินค้า!A:C,2,FALSE),)</f>
        <v>0</v>
      </c>
      <c r="D504" s="8" t="str">
        <f>IFERROR(VLOOKUP(B504,ชื่อสินค้า!A:D,4,FALSE),"")</f>
        <v/>
      </c>
      <c r="E504" s="9"/>
      <c r="F504" s="9"/>
      <c r="G504" s="8" t="str">
        <f t="shared" si="10"/>
        <v/>
      </c>
      <c r="H504" s="10">
        <f t="shared" si="11"/>
        <v>0</v>
      </c>
      <c r="I504" s="8">
        <f>IF(G504&lt;&gt;"",E504-SUMIFS(ขายสินค้า!E:E,ขายสินค้า!G:G,H504),)</f>
        <v>0</v>
      </c>
      <c r="J504" s="11">
        <f t="shared" si="12"/>
        <v>0</v>
      </c>
      <c r="K504" s="11">
        <f>IF(B504&lt;&gt;"", IFERROR(SUMIF(ขายสินค้า!G:G,H504,ขายสินค้า!F:F)/(E504-I504),0),)</f>
        <v>0</v>
      </c>
      <c r="L504" s="12">
        <f t="shared" si="13"/>
        <v>0</v>
      </c>
      <c r="M504" s="13">
        <f t="shared" si="14"/>
        <v>0</v>
      </c>
    </row>
    <row r="505" spans="1:13">
      <c r="A505" s="14"/>
      <c r="B505" s="6"/>
      <c r="C505" s="7">
        <f>IFERROR(VLOOKUP(B505,ชื่อสินค้า!A:C,2,FALSE),)</f>
        <v>0</v>
      </c>
      <c r="D505" s="8" t="str">
        <f>IFERROR(VLOOKUP(B505,ชื่อสินค้า!A:D,4,FALSE),"")</f>
        <v/>
      </c>
      <c r="E505" s="9"/>
      <c r="F505" s="9"/>
      <c r="G505" s="8" t="str">
        <f t="shared" si="10"/>
        <v/>
      </c>
      <c r="H505" s="10">
        <f t="shared" si="11"/>
        <v>0</v>
      </c>
      <c r="I505" s="8">
        <f>IF(G505&lt;&gt;"",E505-SUMIFS(ขายสินค้า!E:E,ขายสินค้า!G:G,H505),)</f>
        <v>0</v>
      </c>
      <c r="J505" s="11">
        <f t="shared" si="12"/>
        <v>0</v>
      </c>
      <c r="K505" s="11">
        <f>IF(B505&lt;&gt;"", IFERROR(SUMIF(ขายสินค้า!G:G,H505,ขายสินค้า!F:F)/(E505-I505),0),)</f>
        <v>0</v>
      </c>
      <c r="L505" s="12">
        <f t="shared" si="13"/>
        <v>0</v>
      </c>
      <c r="M505" s="13">
        <f t="shared" si="14"/>
        <v>0</v>
      </c>
    </row>
    <row r="506" spans="1:13">
      <c r="A506" s="14"/>
      <c r="B506" s="6"/>
      <c r="C506" s="7">
        <f>IFERROR(VLOOKUP(B506,ชื่อสินค้า!A:C,2,FALSE),)</f>
        <v>0</v>
      </c>
      <c r="D506" s="8" t="str">
        <f>IFERROR(VLOOKUP(B506,ชื่อสินค้า!A:D,4,FALSE),"")</f>
        <v/>
      </c>
      <c r="E506" s="9"/>
      <c r="F506" s="9"/>
      <c r="G506" s="8" t="str">
        <f t="shared" si="10"/>
        <v/>
      </c>
      <c r="H506" s="10">
        <f t="shared" si="11"/>
        <v>0</v>
      </c>
      <c r="I506" s="8">
        <f>IF(G506&lt;&gt;"",E506-SUMIFS(ขายสินค้า!E:E,ขายสินค้า!G:G,H506),)</f>
        <v>0</v>
      </c>
      <c r="J506" s="11">
        <f t="shared" si="12"/>
        <v>0</v>
      </c>
      <c r="K506" s="11">
        <f>IF(B506&lt;&gt;"", IFERROR(SUMIF(ขายสินค้า!G:G,H506,ขายสินค้า!F:F)/(E506-I506),0),)</f>
        <v>0</v>
      </c>
      <c r="L506" s="12">
        <f t="shared" si="13"/>
        <v>0</v>
      </c>
      <c r="M506" s="13">
        <f t="shared" si="14"/>
        <v>0</v>
      </c>
    </row>
    <row r="507" spans="1:13">
      <c r="A507" s="14"/>
      <c r="B507" s="6"/>
      <c r="C507" s="7">
        <f>IFERROR(VLOOKUP(B507,ชื่อสินค้า!A:C,2,FALSE),)</f>
        <v>0</v>
      </c>
      <c r="D507" s="8" t="str">
        <f>IFERROR(VLOOKUP(B507,ชื่อสินค้า!A:D,4,FALSE),"")</f>
        <v/>
      </c>
      <c r="E507" s="9"/>
      <c r="F507" s="9"/>
      <c r="G507" s="8" t="str">
        <f t="shared" si="10"/>
        <v/>
      </c>
      <c r="H507" s="10">
        <f t="shared" si="11"/>
        <v>0</v>
      </c>
      <c r="I507" s="8">
        <f>IF(G507&lt;&gt;"",E507-SUMIFS(ขายสินค้า!E:E,ขายสินค้า!G:G,H507),)</f>
        <v>0</v>
      </c>
      <c r="J507" s="11">
        <f t="shared" si="12"/>
        <v>0</v>
      </c>
      <c r="K507" s="11">
        <f>IF(B507&lt;&gt;"", IFERROR(SUMIF(ขายสินค้า!G:G,H507,ขายสินค้า!F:F)/(E507-I507),0),)</f>
        <v>0</v>
      </c>
      <c r="L507" s="12">
        <f t="shared" si="13"/>
        <v>0</v>
      </c>
      <c r="M507" s="13">
        <f t="shared" si="14"/>
        <v>0</v>
      </c>
    </row>
    <row r="508" spans="1:13">
      <c r="A508" s="14"/>
      <c r="B508" s="6"/>
      <c r="C508" s="7">
        <f>IFERROR(VLOOKUP(B508,ชื่อสินค้า!A:C,2,FALSE),)</f>
        <v>0</v>
      </c>
      <c r="D508" s="8" t="str">
        <f>IFERROR(VLOOKUP(B508,ชื่อสินค้า!A:D,4,FALSE),"")</f>
        <v/>
      </c>
      <c r="E508" s="9"/>
      <c r="F508" s="9"/>
      <c r="G508" s="8" t="str">
        <f t="shared" si="10"/>
        <v/>
      </c>
      <c r="H508" s="10">
        <f t="shared" si="11"/>
        <v>0</v>
      </c>
      <c r="I508" s="8">
        <f>IF(G508&lt;&gt;"",E508-SUMIFS(ขายสินค้า!E:E,ขายสินค้า!G:G,H508),)</f>
        <v>0</v>
      </c>
      <c r="J508" s="11">
        <f t="shared" si="12"/>
        <v>0</v>
      </c>
      <c r="K508" s="11">
        <f>IF(B508&lt;&gt;"", IFERROR(SUMIF(ขายสินค้า!G:G,H508,ขายสินค้า!F:F)/(E508-I508),0),)</f>
        <v>0</v>
      </c>
      <c r="L508" s="12">
        <f t="shared" si="13"/>
        <v>0</v>
      </c>
      <c r="M508" s="13">
        <f t="shared" si="14"/>
        <v>0</v>
      </c>
    </row>
    <row r="509" spans="1:13">
      <c r="A509" s="14"/>
      <c r="B509" s="6"/>
      <c r="C509" s="7">
        <f>IFERROR(VLOOKUP(B509,ชื่อสินค้า!A:C,2,FALSE),)</f>
        <v>0</v>
      </c>
      <c r="D509" s="8" t="str">
        <f>IFERROR(VLOOKUP(B509,ชื่อสินค้า!A:D,4,FALSE),"")</f>
        <v/>
      </c>
      <c r="E509" s="9"/>
      <c r="F509" s="9"/>
      <c r="G509" s="8" t="str">
        <f t="shared" si="10"/>
        <v/>
      </c>
      <c r="H509" s="10">
        <f t="shared" si="11"/>
        <v>0</v>
      </c>
      <c r="I509" s="8">
        <f>IF(G509&lt;&gt;"",E509-SUMIFS(ขายสินค้า!E:E,ขายสินค้า!G:G,H509),)</f>
        <v>0</v>
      </c>
      <c r="J509" s="11">
        <f t="shared" si="12"/>
        <v>0</v>
      </c>
      <c r="K509" s="11">
        <f>IF(B509&lt;&gt;"", IFERROR(SUMIF(ขายสินค้า!G:G,H509,ขายสินค้า!F:F)/(E509-I509),0),)</f>
        <v>0</v>
      </c>
      <c r="L509" s="12">
        <f t="shared" si="13"/>
        <v>0</v>
      </c>
      <c r="M509" s="13">
        <f t="shared" si="14"/>
        <v>0</v>
      </c>
    </row>
    <row r="510" spans="1:13">
      <c r="A510" s="14"/>
      <c r="B510" s="6"/>
      <c r="C510" s="7">
        <f>IFERROR(VLOOKUP(B510,ชื่อสินค้า!A:C,2,FALSE),)</f>
        <v>0</v>
      </c>
      <c r="D510" s="8" t="str">
        <f>IFERROR(VLOOKUP(B510,ชื่อสินค้า!A:D,4,FALSE),"")</f>
        <v/>
      </c>
      <c r="E510" s="9"/>
      <c r="F510" s="9"/>
      <c r="G510" s="8" t="str">
        <f t="shared" si="10"/>
        <v/>
      </c>
      <c r="H510" s="10">
        <f t="shared" si="11"/>
        <v>0</v>
      </c>
      <c r="I510" s="8">
        <f>IF(G510&lt;&gt;"",E510-SUMIFS(ขายสินค้า!E:E,ขายสินค้า!G:G,H510),)</f>
        <v>0</v>
      </c>
      <c r="J510" s="11">
        <f t="shared" si="12"/>
        <v>0</v>
      </c>
      <c r="K510" s="11">
        <f>IF(B510&lt;&gt;"", IFERROR(SUMIF(ขายสินค้า!G:G,H510,ขายสินค้า!F:F)/(E510-I510),0),)</f>
        <v>0</v>
      </c>
      <c r="L510" s="12">
        <f t="shared" si="13"/>
        <v>0</v>
      </c>
      <c r="M510" s="13">
        <f t="shared" si="14"/>
        <v>0</v>
      </c>
    </row>
    <row r="511" spans="1:13">
      <c r="A511" s="14"/>
      <c r="B511" s="6"/>
      <c r="C511" s="7">
        <f>IFERROR(VLOOKUP(B511,ชื่อสินค้า!A:C,2,FALSE),)</f>
        <v>0</v>
      </c>
      <c r="D511" s="8" t="str">
        <f>IFERROR(VLOOKUP(B511,ชื่อสินค้า!A:D,4,FALSE),"")</f>
        <v/>
      </c>
      <c r="E511" s="9"/>
      <c r="F511" s="9"/>
      <c r="G511" s="8" t="str">
        <f t="shared" si="10"/>
        <v/>
      </c>
      <c r="H511" s="10">
        <f t="shared" si="11"/>
        <v>0</v>
      </c>
      <c r="I511" s="8">
        <f>IF(G511&lt;&gt;"",E511-SUMIFS(ขายสินค้า!E:E,ขายสินค้า!G:G,H511),)</f>
        <v>0</v>
      </c>
      <c r="J511" s="11">
        <f t="shared" si="12"/>
        <v>0</v>
      </c>
      <c r="K511" s="11">
        <f>IF(B511&lt;&gt;"", IFERROR(SUMIF(ขายสินค้า!G:G,H511,ขายสินค้า!F:F)/(E511-I511),0),)</f>
        <v>0</v>
      </c>
      <c r="L511" s="12">
        <f t="shared" si="13"/>
        <v>0</v>
      </c>
      <c r="M511" s="13">
        <f t="shared" si="14"/>
        <v>0</v>
      </c>
    </row>
    <row r="512" spans="1:13">
      <c r="A512" s="14"/>
      <c r="B512" s="6"/>
      <c r="C512" s="7">
        <f>IFERROR(VLOOKUP(B512,ชื่อสินค้า!A:C,2,FALSE),)</f>
        <v>0</v>
      </c>
      <c r="D512" s="8" t="str">
        <f>IFERROR(VLOOKUP(B512,ชื่อสินค้า!A:D,4,FALSE),"")</f>
        <v/>
      </c>
      <c r="E512" s="9"/>
      <c r="F512" s="9"/>
      <c r="G512" s="8" t="str">
        <f t="shared" ref="G512:G766" si="15">IF(LEN(B512)&gt;0,C512*E512+F512,"")</f>
        <v/>
      </c>
      <c r="H512" s="10">
        <f t="shared" ref="H512:H766" si="16">IF(B512&lt;&gt;"",COUNTIF($B$2:B512, B512) &amp; "-" &amp; B512,)</f>
        <v>0</v>
      </c>
      <c r="I512" s="8">
        <f>IF(G512&lt;&gt;"",E512-SUMIFS(ขายสินค้า!E:E,ขายสินค้า!G:G,H512),)</f>
        <v>0</v>
      </c>
      <c r="J512" s="11">
        <f t="shared" ref="J512:J766" si="17">IF(G512&lt;&gt;"",G512/E512,)</f>
        <v>0</v>
      </c>
      <c r="K512" s="11">
        <f>IF(B512&lt;&gt;"", IFERROR(SUMIF(ขายสินค้า!G:G,H512,ขายสินค้า!F:F)/(E512-I512),0),)</f>
        <v>0</v>
      </c>
      <c r="L512" s="12">
        <f t="shared" ref="L512:L766" si="18">IF(B512&lt;&gt;"",IFERROR((K512-J512)/K512,0),)</f>
        <v>0</v>
      </c>
      <c r="M512" s="13">
        <f t="shared" ref="M512:M766" si="19">IF(G512&lt;&gt;"",I512*J512,)</f>
        <v>0</v>
      </c>
    </row>
    <row r="513" spans="1:13">
      <c r="A513" s="14"/>
      <c r="B513" s="6"/>
      <c r="C513" s="7">
        <f>IFERROR(VLOOKUP(B513,ชื่อสินค้า!A:C,2,FALSE),)</f>
        <v>0</v>
      </c>
      <c r="D513" s="8" t="str">
        <f>IFERROR(VLOOKUP(B513,ชื่อสินค้า!A:D,4,FALSE),"")</f>
        <v/>
      </c>
      <c r="E513" s="9"/>
      <c r="F513" s="9"/>
      <c r="G513" s="8" t="str">
        <f t="shared" si="15"/>
        <v/>
      </c>
      <c r="H513" s="10">
        <f t="shared" si="16"/>
        <v>0</v>
      </c>
      <c r="I513" s="8">
        <f>IF(G513&lt;&gt;"",E513-SUMIFS(ขายสินค้า!E:E,ขายสินค้า!G:G,H513),)</f>
        <v>0</v>
      </c>
      <c r="J513" s="11">
        <f t="shared" si="17"/>
        <v>0</v>
      </c>
      <c r="K513" s="11">
        <f>IF(B513&lt;&gt;"", IFERROR(SUMIF(ขายสินค้า!G:G,H513,ขายสินค้า!F:F)/(E513-I513),0),)</f>
        <v>0</v>
      </c>
      <c r="L513" s="12">
        <f t="shared" si="18"/>
        <v>0</v>
      </c>
      <c r="M513" s="13">
        <f t="shared" si="19"/>
        <v>0</v>
      </c>
    </row>
    <row r="514" spans="1:13">
      <c r="A514" s="14"/>
      <c r="B514" s="6"/>
      <c r="C514" s="7">
        <f>IFERROR(VLOOKUP(B514,ชื่อสินค้า!A:C,2,FALSE),)</f>
        <v>0</v>
      </c>
      <c r="D514" s="8" t="str">
        <f>IFERROR(VLOOKUP(B514,ชื่อสินค้า!A:D,4,FALSE),"")</f>
        <v/>
      </c>
      <c r="E514" s="9"/>
      <c r="F514" s="9"/>
      <c r="G514" s="8" t="str">
        <f t="shared" si="15"/>
        <v/>
      </c>
      <c r="H514" s="10">
        <f t="shared" si="16"/>
        <v>0</v>
      </c>
      <c r="I514" s="8">
        <f>IF(G514&lt;&gt;"",E514-SUMIFS(ขายสินค้า!E:E,ขายสินค้า!G:G,H514),)</f>
        <v>0</v>
      </c>
      <c r="J514" s="11">
        <f t="shared" si="17"/>
        <v>0</v>
      </c>
      <c r="K514" s="11">
        <f>IF(B514&lt;&gt;"", IFERROR(SUMIF(ขายสินค้า!G:G,H514,ขายสินค้า!F:F)/(E514-I514),0),)</f>
        <v>0</v>
      </c>
      <c r="L514" s="12">
        <f t="shared" si="18"/>
        <v>0</v>
      </c>
      <c r="M514" s="13">
        <f t="shared" si="19"/>
        <v>0</v>
      </c>
    </row>
    <row r="515" spans="1:13">
      <c r="A515" s="14"/>
      <c r="B515" s="6"/>
      <c r="C515" s="7">
        <f>IFERROR(VLOOKUP(B515,ชื่อสินค้า!A:C,2,FALSE),)</f>
        <v>0</v>
      </c>
      <c r="D515" s="8" t="str">
        <f>IFERROR(VLOOKUP(B515,ชื่อสินค้า!A:D,4,FALSE),"")</f>
        <v/>
      </c>
      <c r="E515" s="9"/>
      <c r="F515" s="9"/>
      <c r="G515" s="8" t="str">
        <f t="shared" si="15"/>
        <v/>
      </c>
      <c r="H515" s="10">
        <f t="shared" si="16"/>
        <v>0</v>
      </c>
      <c r="I515" s="8">
        <f>IF(G515&lt;&gt;"",E515-SUMIFS(ขายสินค้า!E:E,ขายสินค้า!G:G,H515),)</f>
        <v>0</v>
      </c>
      <c r="J515" s="11">
        <f t="shared" si="17"/>
        <v>0</v>
      </c>
      <c r="K515" s="11">
        <f>IF(B515&lt;&gt;"", IFERROR(SUMIF(ขายสินค้า!G:G,H515,ขายสินค้า!F:F)/(E515-I515),0),)</f>
        <v>0</v>
      </c>
      <c r="L515" s="12">
        <f t="shared" si="18"/>
        <v>0</v>
      </c>
      <c r="M515" s="13">
        <f t="shared" si="19"/>
        <v>0</v>
      </c>
    </row>
    <row r="516" spans="1:13">
      <c r="A516" s="14"/>
      <c r="B516" s="6"/>
      <c r="C516" s="7">
        <f>IFERROR(VLOOKUP(B516,ชื่อสินค้า!A:C,2,FALSE),)</f>
        <v>0</v>
      </c>
      <c r="D516" s="8" t="str">
        <f>IFERROR(VLOOKUP(B516,ชื่อสินค้า!A:D,4,FALSE),"")</f>
        <v/>
      </c>
      <c r="E516" s="9"/>
      <c r="F516" s="9"/>
      <c r="G516" s="8" t="str">
        <f t="shared" si="15"/>
        <v/>
      </c>
      <c r="H516" s="10">
        <f t="shared" si="16"/>
        <v>0</v>
      </c>
      <c r="I516" s="8">
        <f>IF(G516&lt;&gt;"",E516-SUMIFS(ขายสินค้า!E:E,ขายสินค้า!G:G,H516),)</f>
        <v>0</v>
      </c>
      <c r="J516" s="11">
        <f t="shared" si="17"/>
        <v>0</v>
      </c>
      <c r="K516" s="11">
        <f>IF(B516&lt;&gt;"", IFERROR(SUMIF(ขายสินค้า!G:G,H516,ขายสินค้า!F:F)/(E516-I516),0),)</f>
        <v>0</v>
      </c>
      <c r="L516" s="12">
        <f t="shared" si="18"/>
        <v>0</v>
      </c>
      <c r="M516" s="13">
        <f t="shared" si="19"/>
        <v>0</v>
      </c>
    </row>
    <row r="517" spans="1:13">
      <c r="A517" s="14"/>
      <c r="B517" s="6"/>
      <c r="C517" s="7">
        <f>IFERROR(VLOOKUP(B517,ชื่อสินค้า!A:C,2,FALSE),)</f>
        <v>0</v>
      </c>
      <c r="D517" s="8" t="str">
        <f>IFERROR(VLOOKUP(B517,ชื่อสินค้า!A:D,4,FALSE),"")</f>
        <v/>
      </c>
      <c r="E517" s="9"/>
      <c r="F517" s="9"/>
      <c r="G517" s="8" t="str">
        <f t="shared" si="15"/>
        <v/>
      </c>
      <c r="H517" s="10">
        <f t="shared" si="16"/>
        <v>0</v>
      </c>
      <c r="I517" s="8">
        <f>IF(G517&lt;&gt;"",E517-SUMIFS(ขายสินค้า!E:E,ขายสินค้า!G:G,H517),)</f>
        <v>0</v>
      </c>
      <c r="J517" s="11">
        <f t="shared" si="17"/>
        <v>0</v>
      </c>
      <c r="K517" s="11">
        <f>IF(B517&lt;&gt;"", IFERROR(SUMIF(ขายสินค้า!G:G,H517,ขายสินค้า!F:F)/(E517-I517),0),)</f>
        <v>0</v>
      </c>
      <c r="L517" s="12">
        <f t="shared" si="18"/>
        <v>0</v>
      </c>
      <c r="M517" s="13">
        <f t="shared" si="19"/>
        <v>0</v>
      </c>
    </row>
    <row r="518" spans="1:13">
      <c r="A518" s="14"/>
      <c r="B518" s="6"/>
      <c r="C518" s="7">
        <f>IFERROR(VLOOKUP(B518,ชื่อสินค้า!A:C,2,FALSE),)</f>
        <v>0</v>
      </c>
      <c r="D518" s="8" t="str">
        <f>IFERROR(VLOOKUP(B518,ชื่อสินค้า!A:D,4,FALSE),"")</f>
        <v/>
      </c>
      <c r="E518" s="9"/>
      <c r="F518" s="9"/>
      <c r="G518" s="8" t="str">
        <f t="shared" si="15"/>
        <v/>
      </c>
      <c r="H518" s="10">
        <f t="shared" si="16"/>
        <v>0</v>
      </c>
      <c r="I518" s="8">
        <f>IF(G518&lt;&gt;"",E518-SUMIFS(ขายสินค้า!E:E,ขายสินค้า!G:G,H518),)</f>
        <v>0</v>
      </c>
      <c r="J518" s="11">
        <f t="shared" si="17"/>
        <v>0</v>
      </c>
      <c r="K518" s="11">
        <f>IF(B518&lt;&gt;"", IFERROR(SUMIF(ขายสินค้า!G:G,H518,ขายสินค้า!F:F)/(E518-I518),0),)</f>
        <v>0</v>
      </c>
      <c r="L518" s="12">
        <f t="shared" si="18"/>
        <v>0</v>
      </c>
      <c r="M518" s="13">
        <f t="shared" si="19"/>
        <v>0</v>
      </c>
    </row>
    <row r="519" spans="1:13">
      <c r="A519" s="14"/>
      <c r="B519" s="6"/>
      <c r="C519" s="7">
        <f>IFERROR(VLOOKUP(B519,ชื่อสินค้า!A:C,2,FALSE),)</f>
        <v>0</v>
      </c>
      <c r="D519" s="8" t="str">
        <f>IFERROR(VLOOKUP(B519,ชื่อสินค้า!A:D,4,FALSE),"")</f>
        <v/>
      </c>
      <c r="E519" s="9"/>
      <c r="F519" s="9"/>
      <c r="G519" s="8" t="str">
        <f t="shared" si="15"/>
        <v/>
      </c>
      <c r="H519" s="10">
        <f t="shared" si="16"/>
        <v>0</v>
      </c>
      <c r="I519" s="8">
        <f>IF(G519&lt;&gt;"",E519-SUMIFS(ขายสินค้า!E:E,ขายสินค้า!G:G,H519),)</f>
        <v>0</v>
      </c>
      <c r="J519" s="11">
        <f t="shared" si="17"/>
        <v>0</v>
      </c>
      <c r="K519" s="11">
        <f>IF(B519&lt;&gt;"", IFERROR(SUMIF(ขายสินค้า!G:G,H519,ขายสินค้า!F:F)/(E519-I519),0),)</f>
        <v>0</v>
      </c>
      <c r="L519" s="12">
        <f t="shared" si="18"/>
        <v>0</v>
      </c>
      <c r="M519" s="13">
        <f t="shared" si="19"/>
        <v>0</v>
      </c>
    </row>
    <row r="520" spans="1:13">
      <c r="A520" s="14"/>
      <c r="B520" s="6"/>
      <c r="C520" s="7">
        <f>IFERROR(VLOOKUP(B520,ชื่อสินค้า!A:C,2,FALSE),)</f>
        <v>0</v>
      </c>
      <c r="D520" s="8" t="str">
        <f>IFERROR(VLOOKUP(B520,ชื่อสินค้า!A:D,4,FALSE),"")</f>
        <v/>
      </c>
      <c r="E520" s="9"/>
      <c r="F520" s="9"/>
      <c r="G520" s="8" t="str">
        <f t="shared" si="15"/>
        <v/>
      </c>
      <c r="H520" s="10">
        <f t="shared" si="16"/>
        <v>0</v>
      </c>
      <c r="I520" s="8">
        <f>IF(G520&lt;&gt;"",E520-SUMIFS(ขายสินค้า!E:E,ขายสินค้า!G:G,H520),)</f>
        <v>0</v>
      </c>
      <c r="J520" s="11">
        <f t="shared" si="17"/>
        <v>0</v>
      </c>
      <c r="K520" s="11">
        <f>IF(B520&lt;&gt;"", IFERROR(SUMIF(ขายสินค้า!G:G,H520,ขายสินค้า!F:F)/(E520-I520),0),)</f>
        <v>0</v>
      </c>
      <c r="L520" s="12">
        <f t="shared" si="18"/>
        <v>0</v>
      </c>
      <c r="M520" s="13">
        <f t="shared" si="19"/>
        <v>0</v>
      </c>
    </row>
    <row r="521" spans="1:13">
      <c r="A521" s="14"/>
      <c r="B521" s="6"/>
      <c r="C521" s="7">
        <f>IFERROR(VLOOKUP(B521,ชื่อสินค้า!A:C,2,FALSE),)</f>
        <v>0</v>
      </c>
      <c r="D521" s="8" t="str">
        <f>IFERROR(VLOOKUP(B521,ชื่อสินค้า!A:D,4,FALSE),"")</f>
        <v/>
      </c>
      <c r="E521" s="9"/>
      <c r="F521" s="9"/>
      <c r="G521" s="8" t="str">
        <f t="shared" si="15"/>
        <v/>
      </c>
      <c r="H521" s="10">
        <f t="shared" si="16"/>
        <v>0</v>
      </c>
      <c r="I521" s="8">
        <f>IF(G521&lt;&gt;"",E521-SUMIFS(ขายสินค้า!E:E,ขายสินค้า!G:G,H521),)</f>
        <v>0</v>
      </c>
      <c r="J521" s="11">
        <f t="shared" si="17"/>
        <v>0</v>
      </c>
      <c r="K521" s="11">
        <f>IF(B521&lt;&gt;"", IFERROR(SUMIF(ขายสินค้า!G:G,H521,ขายสินค้า!F:F)/(E521-I521),0),)</f>
        <v>0</v>
      </c>
      <c r="L521" s="12">
        <f t="shared" si="18"/>
        <v>0</v>
      </c>
      <c r="M521" s="13">
        <f t="shared" si="19"/>
        <v>0</v>
      </c>
    </row>
    <row r="522" spans="1:13">
      <c r="A522" s="14"/>
      <c r="B522" s="6"/>
      <c r="C522" s="7">
        <f>IFERROR(VLOOKUP(B522,ชื่อสินค้า!A:C,2,FALSE),)</f>
        <v>0</v>
      </c>
      <c r="D522" s="8" t="str">
        <f>IFERROR(VLOOKUP(B522,ชื่อสินค้า!A:D,4,FALSE),"")</f>
        <v/>
      </c>
      <c r="E522" s="9"/>
      <c r="F522" s="9"/>
      <c r="G522" s="8" t="str">
        <f t="shared" si="15"/>
        <v/>
      </c>
      <c r="H522" s="10">
        <f t="shared" si="16"/>
        <v>0</v>
      </c>
      <c r="I522" s="8">
        <f>IF(G522&lt;&gt;"",E522-SUMIFS(ขายสินค้า!E:E,ขายสินค้า!G:G,H522),)</f>
        <v>0</v>
      </c>
      <c r="J522" s="11">
        <f t="shared" si="17"/>
        <v>0</v>
      </c>
      <c r="K522" s="11">
        <f>IF(B522&lt;&gt;"", IFERROR(SUMIF(ขายสินค้า!G:G,H522,ขายสินค้า!F:F)/(E522-I522),0),)</f>
        <v>0</v>
      </c>
      <c r="L522" s="12">
        <f t="shared" si="18"/>
        <v>0</v>
      </c>
      <c r="M522" s="13">
        <f t="shared" si="19"/>
        <v>0</v>
      </c>
    </row>
    <row r="523" spans="1:13">
      <c r="A523" s="14"/>
      <c r="B523" s="6"/>
      <c r="C523" s="7">
        <f>IFERROR(VLOOKUP(B523,ชื่อสินค้า!A:C,2,FALSE),)</f>
        <v>0</v>
      </c>
      <c r="D523" s="8" t="str">
        <f>IFERROR(VLOOKUP(B523,ชื่อสินค้า!A:D,4,FALSE),"")</f>
        <v/>
      </c>
      <c r="E523" s="9"/>
      <c r="F523" s="9"/>
      <c r="G523" s="8" t="str">
        <f t="shared" si="15"/>
        <v/>
      </c>
      <c r="H523" s="10">
        <f t="shared" si="16"/>
        <v>0</v>
      </c>
      <c r="I523" s="8">
        <f>IF(G523&lt;&gt;"",E523-SUMIFS(ขายสินค้า!E:E,ขายสินค้า!G:G,H523),)</f>
        <v>0</v>
      </c>
      <c r="J523" s="11">
        <f t="shared" si="17"/>
        <v>0</v>
      </c>
      <c r="K523" s="11">
        <f>IF(B523&lt;&gt;"", IFERROR(SUMIF(ขายสินค้า!G:G,H523,ขายสินค้า!F:F)/(E523-I523),0),)</f>
        <v>0</v>
      </c>
      <c r="L523" s="12">
        <f t="shared" si="18"/>
        <v>0</v>
      </c>
      <c r="M523" s="13">
        <f t="shared" si="19"/>
        <v>0</v>
      </c>
    </row>
    <row r="524" spans="1:13">
      <c r="A524" s="14"/>
      <c r="B524" s="6"/>
      <c r="C524" s="7">
        <f>IFERROR(VLOOKUP(B524,ชื่อสินค้า!A:C,2,FALSE),)</f>
        <v>0</v>
      </c>
      <c r="D524" s="8" t="str">
        <f>IFERROR(VLOOKUP(B524,ชื่อสินค้า!A:D,4,FALSE),"")</f>
        <v/>
      </c>
      <c r="E524" s="9"/>
      <c r="F524" s="9"/>
      <c r="G524" s="8" t="str">
        <f t="shared" si="15"/>
        <v/>
      </c>
      <c r="H524" s="10">
        <f t="shared" si="16"/>
        <v>0</v>
      </c>
      <c r="I524" s="8">
        <f>IF(G524&lt;&gt;"",E524-SUMIFS(ขายสินค้า!E:E,ขายสินค้า!G:G,H524),)</f>
        <v>0</v>
      </c>
      <c r="J524" s="11">
        <f t="shared" si="17"/>
        <v>0</v>
      </c>
      <c r="K524" s="11">
        <f>IF(B524&lt;&gt;"", IFERROR(SUMIF(ขายสินค้า!G:G,H524,ขายสินค้า!F:F)/(E524-I524),0),)</f>
        <v>0</v>
      </c>
      <c r="L524" s="12">
        <f t="shared" si="18"/>
        <v>0</v>
      </c>
      <c r="M524" s="13">
        <f t="shared" si="19"/>
        <v>0</v>
      </c>
    </row>
    <row r="525" spans="1:13">
      <c r="A525" s="14"/>
      <c r="B525" s="6"/>
      <c r="C525" s="7">
        <f>IFERROR(VLOOKUP(B525,ชื่อสินค้า!A:C,2,FALSE),)</f>
        <v>0</v>
      </c>
      <c r="D525" s="8" t="str">
        <f>IFERROR(VLOOKUP(B525,ชื่อสินค้า!A:D,4,FALSE),"")</f>
        <v/>
      </c>
      <c r="E525" s="9"/>
      <c r="F525" s="9"/>
      <c r="G525" s="8" t="str">
        <f t="shared" si="15"/>
        <v/>
      </c>
      <c r="H525" s="10">
        <f t="shared" si="16"/>
        <v>0</v>
      </c>
      <c r="I525" s="8">
        <f>IF(G525&lt;&gt;"",E525-SUMIFS(ขายสินค้า!E:E,ขายสินค้า!G:G,H525),)</f>
        <v>0</v>
      </c>
      <c r="J525" s="11">
        <f t="shared" si="17"/>
        <v>0</v>
      </c>
      <c r="K525" s="11">
        <f>IF(B525&lt;&gt;"", IFERROR(SUMIF(ขายสินค้า!G:G,H525,ขายสินค้า!F:F)/(E525-I525),0),)</f>
        <v>0</v>
      </c>
      <c r="L525" s="12">
        <f t="shared" si="18"/>
        <v>0</v>
      </c>
      <c r="M525" s="13">
        <f t="shared" si="19"/>
        <v>0</v>
      </c>
    </row>
    <row r="526" spans="1:13">
      <c r="A526" s="14"/>
      <c r="B526" s="6"/>
      <c r="C526" s="7">
        <f>IFERROR(VLOOKUP(B526,ชื่อสินค้า!A:C,2,FALSE),)</f>
        <v>0</v>
      </c>
      <c r="D526" s="8" t="str">
        <f>IFERROR(VLOOKUP(B526,ชื่อสินค้า!A:D,4,FALSE),"")</f>
        <v/>
      </c>
      <c r="E526" s="9"/>
      <c r="F526" s="9"/>
      <c r="G526" s="8" t="str">
        <f t="shared" si="15"/>
        <v/>
      </c>
      <c r="H526" s="10">
        <f t="shared" si="16"/>
        <v>0</v>
      </c>
      <c r="I526" s="8">
        <f>IF(G526&lt;&gt;"",E526-SUMIFS(ขายสินค้า!E:E,ขายสินค้า!G:G,H526),)</f>
        <v>0</v>
      </c>
      <c r="J526" s="11">
        <f t="shared" si="17"/>
        <v>0</v>
      </c>
      <c r="K526" s="11">
        <f>IF(B526&lt;&gt;"", IFERROR(SUMIF(ขายสินค้า!G:G,H526,ขายสินค้า!F:F)/(E526-I526),0),)</f>
        <v>0</v>
      </c>
      <c r="L526" s="12">
        <f t="shared" si="18"/>
        <v>0</v>
      </c>
      <c r="M526" s="13">
        <f t="shared" si="19"/>
        <v>0</v>
      </c>
    </row>
    <row r="527" spans="1:13">
      <c r="A527" s="14"/>
      <c r="B527" s="6"/>
      <c r="C527" s="7">
        <f>IFERROR(VLOOKUP(B527,ชื่อสินค้า!A:C,2,FALSE),)</f>
        <v>0</v>
      </c>
      <c r="D527" s="8" t="str">
        <f>IFERROR(VLOOKUP(B527,ชื่อสินค้า!A:D,4,FALSE),"")</f>
        <v/>
      </c>
      <c r="E527" s="9"/>
      <c r="F527" s="9"/>
      <c r="G527" s="8" t="str">
        <f t="shared" si="15"/>
        <v/>
      </c>
      <c r="H527" s="10">
        <f t="shared" si="16"/>
        <v>0</v>
      </c>
      <c r="I527" s="8">
        <f>IF(G527&lt;&gt;"",E527-SUMIFS(ขายสินค้า!E:E,ขายสินค้า!G:G,H527),)</f>
        <v>0</v>
      </c>
      <c r="J527" s="11">
        <f t="shared" si="17"/>
        <v>0</v>
      </c>
      <c r="K527" s="11">
        <f>IF(B527&lt;&gt;"", IFERROR(SUMIF(ขายสินค้า!G:G,H527,ขายสินค้า!F:F)/(E527-I527),0),)</f>
        <v>0</v>
      </c>
      <c r="L527" s="12">
        <f t="shared" si="18"/>
        <v>0</v>
      </c>
      <c r="M527" s="13">
        <f t="shared" si="19"/>
        <v>0</v>
      </c>
    </row>
    <row r="528" spans="1:13">
      <c r="A528" s="14"/>
      <c r="B528" s="6"/>
      <c r="C528" s="7">
        <f>IFERROR(VLOOKUP(B528,ชื่อสินค้า!A:C,2,FALSE),)</f>
        <v>0</v>
      </c>
      <c r="D528" s="8" t="str">
        <f>IFERROR(VLOOKUP(B528,ชื่อสินค้า!A:D,4,FALSE),"")</f>
        <v/>
      </c>
      <c r="E528" s="9"/>
      <c r="F528" s="9"/>
      <c r="G528" s="8" t="str">
        <f t="shared" si="15"/>
        <v/>
      </c>
      <c r="H528" s="10">
        <f t="shared" si="16"/>
        <v>0</v>
      </c>
      <c r="I528" s="8">
        <f>IF(G528&lt;&gt;"",E528-SUMIFS(ขายสินค้า!E:E,ขายสินค้า!G:G,H528),)</f>
        <v>0</v>
      </c>
      <c r="J528" s="11">
        <f t="shared" si="17"/>
        <v>0</v>
      </c>
      <c r="K528" s="11">
        <f>IF(B528&lt;&gt;"", IFERROR(SUMIF(ขายสินค้า!G:G,H528,ขายสินค้า!F:F)/(E528-I528),0),)</f>
        <v>0</v>
      </c>
      <c r="L528" s="12">
        <f t="shared" si="18"/>
        <v>0</v>
      </c>
      <c r="M528" s="13">
        <f t="shared" si="19"/>
        <v>0</v>
      </c>
    </row>
    <row r="529" spans="1:13">
      <c r="A529" s="14"/>
      <c r="B529" s="6"/>
      <c r="C529" s="7">
        <f>IFERROR(VLOOKUP(B529,ชื่อสินค้า!A:C,2,FALSE),)</f>
        <v>0</v>
      </c>
      <c r="D529" s="8" t="str">
        <f>IFERROR(VLOOKUP(B529,ชื่อสินค้า!A:D,4,FALSE),"")</f>
        <v/>
      </c>
      <c r="E529" s="9"/>
      <c r="F529" s="9"/>
      <c r="G529" s="8" t="str">
        <f t="shared" si="15"/>
        <v/>
      </c>
      <c r="H529" s="10">
        <f t="shared" si="16"/>
        <v>0</v>
      </c>
      <c r="I529" s="8">
        <f>IF(G529&lt;&gt;"",E529-SUMIFS(ขายสินค้า!E:E,ขายสินค้า!G:G,H529),)</f>
        <v>0</v>
      </c>
      <c r="J529" s="11">
        <f t="shared" si="17"/>
        <v>0</v>
      </c>
      <c r="K529" s="11">
        <f>IF(B529&lt;&gt;"", IFERROR(SUMIF(ขายสินค้า!G:G,H529,ขายสินค้า!F:F)/(E529-I529),0),)</f>
        <v>0</v>
      </c>
      <c r="L529" s="12">
        <f t="shared" si="18"/>
        <v>0</v>
      </c>
      <c r="M529" s="13">
        <f t="shared" si="19"/>
        <v>0</v>
      </c>
    </row>
    <row r="530" spans="1:13">
      <c r="A530" s="14"/>
      <c r="B530" s="6"/>
      <c r="C530" s="7">
        <f>IFERROR(VLOOKUP(B530,ชื่อสินค้า!A:C,2,FALSE),)</f>
        <v>0</v>
      </c>
      <c r="D530" s="8" t="str">
        <f>IFERROR(VLOOKUP(B530,ชื่อสินค้า!A:D,4,FALSE),"")</f>
        <v/>
      </c>
      <c r="E530" s="9"/>
      <c r="F530" s="9"/>
      <c r="G530" s="8" t="str">
        <f t="shared" si="15"/>
        <v/>
      </c>
      <c r="H530" s="10">
        <f t="shared" si="16"/>
        <v>0</v>
      </c>
      <c r="I530" s="8">
        <f>IF(G530&lt;&gt;"",E530-SUMIFS(ขายสินค้า!E:E,ขายสินค้า!G:G,H530),)</f>
        <v>0</v>
      </c>
      <c r="J530" s="11">
        <f t="shared" si="17"/>
        <v>0</v>
      </c>
      <c r="K530" s="11">
        <f>IF(B530&lt;&gt;"", IFERROR(SUMIF(ขายสินค้า!G:G,H530,ขายสินค้า!F:F)/(E530-I530),0),)</f>
        <v>0</v>
      </c>
      <c r="L530" s="12">
        <f t="shared" si="18"/>
        <v>0</v>
      </c>
      <c r="M530" s="13">
        <f t="shared" si="19"/>
        <v>0</v>
      </c>
    </row>
    <row r="531" spans="1:13">
      <c r="A531" s="14"/>
      <c r="B531" s="6"/>
      <c r="C531" s="7">
        <f>IFERROR(VLOOKUP(B531,ชื่อสินค้า!A:C,2,FALSE),)</f>
        <v>0</v>
      </c>
      <c r="D531" s="8" t="str">
        <f>IFERROR(VLOOKUP(B531,ชื่อสินค้า!A:D,4,FALSE),"")</f>
        <v/>
      </c>
      <c r="E531" s="9"/>
      <c r="F531" s="9"/>
      <c r="G531" s="8" t="str">
        <f t="shared" si="15"/>
        <v/>
      </c>
      <c r="H531" s="10">
        <f t="shared" si="16"/>
        <v>0</v>
      </c>
      <c r="I531" s="8">
        <f>IF(G531&lt;&gt;"",E531-SUMIFS(ขายสินค้า!E:E,ขายสินค้า!G:G,H531),)</f>
        <v>0</v>
      </c>
      <c r="J531" s="11">
        <f t="shared" si="17"/>
        <v>0</v>
      </c>
      <c r="K531" s="11">
        <f>IF(B531&lt;&gt;"", IFERROR(SUMIF(ขายสินค้า!G:G,H531,ขายสินค้า!F:F)/(E531-I531),0),)</f>
        <v>0</v>
      </c>
      <c r="L531" s="12">
        <f t="shared" si="18"/>
        <v>0</v>
      </c>
      <c r="M531" s="13">
        <f t="shared" si="19"/>
        <v>0</v>
      </c>
    </row>
    <row r="532" spans="1:13">
      <c r="A532" s="14"/>
      <c r="B532" s="6"/>
      <c r="C532" s="7">
        <f>IFERROR(VLOOKUP(B532,ชื่อสินค้า!A:C,2,FALSE),)</f>
        <v>0</v>
      </c>
      <c r="D532" s="8" t="str">
        <f>IFERROR(VLOOKUP(B532,ชื่อสินค้า!A:D,4,FALSE),"")</f>
        <v/>
      </c>
      <c r="E532" s="9"/>
      <c r="F532" s="9"/>
      <c r="G532" s="8" t="str">
        <f t="shared" si="15"/>
        <v/>
      </c>
      <c r="H532" s="10">
        <f t="shared" si="16"/>
        <v>0</v>
      </c>
      <c r="I532" s="8">
        <f>IF(G532&lt;&gt;"",E532-SUMIFS(ขายสินค้า!E:E,ขายสินค้า!G:G,H532),)</f>
        <v>0</v>
      </c>
      <c r="J532" s="11">
        <f t="shared" si="17"/>
        <v>0</v>
      </c>
      <c r="K532" s="11">
        <f>IF(B532&lt;&gt;"", IFERROR(SUMIF(ขายสินค้า!G:G,H532,ขายสินค้า!F:F)/(E532-I532),0),)</f>
        <v>0</v>
      </c>
      <c r="L532" s="12">
        <f t="shared" si="18"/>
        <v>0</v>
      </c>
      <c r="M532" s="13">
        <f t="shared" si="19"/>
        <v>0</v>
      </c>
    </row>
    <row r="533" spans="1:13">
      <c r="A533" s="14"/>
      <c r="B533" s="6"/>
      <c r="C533" s="7">
        <f>IFERROR(VLOOKUP(B533,ชื่อสินค้า!A:C,2,FALSE),)</f>
        <v>0</v>
      </c>
      <c r="D533" s="8" t="str">
        <f>IFERROR(VLOOKUP(B533,ชื่อสินค้า!A:D,4,FALSE),"")</f>
        <v/>
      </c>
      <c r="E533" s="9"/>
      <c r="F533" s="9"/>
      <c r="G533" s="8" t="str">
        <f t="shared" si="15"/>
        <v/>
      </c>
      <c r="H533" s="10">
        <f t="shared" si="16"/>
        <v>0</v>
      </c>
      <c r="I533" s="8">
        <f>IF(G533&lt;&gt;"",E533-SUMIFS(ขายสินค้า!E:E,ขายสินค้า!G:G,H533),)</f>
        <v>0</v>
      </c>
      <c r="J533" s="11">
        <f t="shared" si="17"/>
        <v>0</v>
      </c>
      <c r="K533" s="11">
        <f>IF(B533&lt;&gt;"", IFERROR(SUMIF(ขายสินค้า!G:G,H533,ขายสินค้า!F:F)/(E533-I533),0),)</f>
        <v>0</v>
      </c>
      <c r="L533" s="12">
        <f t="shared" si="18"/>
        <v>0</v>
      </c>
      <c r="M533" s="13">
        <f t="shared" si="19"/>
        <v>0</v>
      </c>
    </row>
    <row r="534" spans="1:13">
      <c r="A534" s="14"/>
      <c r="B534" s="6"/>
      <c r="C534" s="7">
        <f>IFERROR(VLOOKUP(B534,ชื่อสินค้า!A:C,2,FALSE),)</f>
        <v>0</v>
      </c>
      <c r="D534" s="8" t="str">
        <f>IFERROR(VLOOKUP(B534,ชื่อสินค้า!A:D,4,FALSE),"")</f>
        <v/>
      </c>
      <c r="E534" s="9"/>
      <c r="F534" s="9"/>
      <c r="G534" s="8" t="str">
        <f t="shared" si="15"/>
        <v/>
      </c>
      <c r="H534" s="10">
        <f t="shared" si="16"/>
        <v>0</v>
      </c>
      <c r="I534" s="8">
        <f>IF(G534&lt;&gt;"",E534-SUMIFS(ขายสินค้า!E:E,ขายสินค้า!G:G,H534),)</f>
        <v>0</v>
      </c>
      <c r="J534" s="11">
        <f t="shared" si="17"/>
        <v>0</v>
      </c>
      <c r="K534" s="11">
        <f>IF(B534&lt;&gt;"", IFERROR(SUMIF(ขายสินค้า!G:G,H534,ขายสินค้า!F:F)/(E534-I534),0),)</f>
        <v>0</v>
      </c>
      <c r="L534" s="12">
        <f t="shared" si="18"/>
        <v>0</v>
      </c>
      <c r="M534" s="13">
        <f t="shared" si="19"/>
        <v>0</v>
      </c>
    </row>
    <row r="535" spans="1:13">
      <c r="A535" s="14"/>
      <c r="B535" s="6"/>
      <c r="C535" s="7">
        <f>IFERROR(VLOOKUP(B535,ชื่อสินค้า!A:C,2,FALSE),)</f>
        <v>0</v>
      </c>
      <c r="D535" s="8" t="str">
        <f>IFERROR(VLOOKUP(B535,ชื่อสินค้า!A:D,4,FALSE),"")</f>
        <v/>
      </c>
      <c r="E535" s="9"/>
      <c r="F535" s="9"/>
      <c r="G535" s="8" t="str">
        <f t="shared" si="15"/>
        <v/>
      </c>
      <c r="H535" s="10">
        <f t="shared" si="16"/>
        <v>0</v>
      </c>
      <c r="I535" s="8">
        <f>IF(G535&lt;&gt;"",E535-SUMIFS(ขายสินค้า!E:E,ขายสินค้า!G:G,H535),)</f>
        <v>0</v>
      </c>
      <c r="J535" s="11">
        <f t="shared" si="17"/>
        <v>0</v>
      </c>
      <c r="K535" s="11">
        <f>IF(B535&lt;&gt;"", IFERROR(SUMIF(ขายสินค้า!G:G,H535,ขายสินค้า!F:F)/(E535-I535),0),)</f>
        <v>0</v>
      </c>
      <c r="L535" s="12">
        <f t="shared" si="18"/>
        <v>0</v>
      </c>
      <c r="M535" s="13">
        <f t="shared" si="19"/>
        <v>0</v>
      </c>
    </row>
    <row r="536" spans="1:13">
      <c r="A536" s="14"/>
      <c r="B536" s="6"/>
      <c r="C536" s="7">
        <f>IFERROR(VLOOKUP(B536,ชื่อสินค้า!A:C,2,FALSE),)</f>
        <v>0</v>
      </c>
      <c r="D536" s="8" t="str">
        <f>IFERROR(VLOOKUP(B536,ชื่อสินค้า!A:D,4,FALSE),"")</f>
        <v/>
      </c>
      <c r="E536" s="9"/>
      <c r="F536" s="9"/>
      <c r="G536" s="8" t="str">
        <f t="shared" si="15"/>
        <v/>
      </c>
      <c r="H536" s="10">
        <f t="shared" si="16"/>
        <v>0</v>
      </c>
      <c r="I536" s="8">
        <f>IF(G536&lt;&gt;"",E536-SUMIFS(ขายสินค้า!E:E,ขายสินค้า!G:G,H536),)</f>
        <v>0</v>
      </c>
      <c r="J536" s="11">
        <f t="shared" si="17"/>
        <v>0</v>
      </c>
      <c r="K536" s="11">
        <f>IF(B536&lt;&gt;"", IFERROR(SUMIF(ขายสินค้า!G:G,H536,ขายสินค้า!F:F)/(E536-I536),0),)</f>
        <v>0</v>
      </c>
      <c r="L536" s="12">
        <f t="shared" si="18"/>
        <v>0</v>
      </c>
      <c r="M536" s="13">
        <f t="shared" si="19"/>
        <v>0</v>
      </c>
    </row>
    <row r="537" spans="1:13">
      <c r="A537" s="14"/>
      <c r="B537" s="6"/>
      <c r="C537" s="7">
        <f>IFERROR(VLOOKUP(B537,ชื่อสินค้า!A:C,2,FALSE),)</f>
        <v>0</v>
      </c>
      <c r="D537" s="8" t="str">
        <f>IFERROR(VLOOKUP(B537,ชื่อสินค้า!A:D,4,FALSE),"")</f>
        <v/>
      </c>
      <c r="E537" s="9"/>
      <c r="F537" s="9"/>
      <c r="G537" s="8" t="str">
        <f t="shared" si="15"/>
        <v/>
      </c>
      <c r="H537" s="10">
        <f t="shared" si="16"/>
        <v>0</v>
      </c>
      <c r="I537" s="8">
        <f>IF(G537&lt;&gt;"",E537-SUMIFS(ขายสินค้า!E:E,ขายสินค้า!G:G,H537),)</f>
        <v>0</v>
      </c>
      <c r="J537" s="11">
        <f t="shared" si="17"/>
        <v>0</v>
      </c>
      <c r="K537" s="11">
        <f>IF(B537&lt;&gt;"", IFERROR(SUMIF(ขายสินค้า!G:G,H537,ขายสินค้า!F:F)/(E537-I537),0),)</f>
        <v>0</v>
      </c>
      <c r="L537" s="12">
        <f t="shared" si="18"/>
        <v>0</v>
      </c>
      <c r="M537" s="13">
        <f t="shared" si="19"/>
        <v>0</v>
      </c>
    </row>
    <row r="538" spans="1:13">
      <c r="A538" s="14"/>
      <c r="B538" s="6"/>
      <c r="C538" s="7">
        <f>IFERROR(VLOOKUP(B538,ชื่อสินค้า!A:C,2,FALSE),)</f>
        <v>0</v>
      </c>
      <c r="D538" s="8" t="str">
        <f>IFERROR(VLOOKUP(B538,ชื่อสินค้า!A:D,4,FALSE),"")</f>
        <v/>
      </c>
      <c r="E538" s="9"/>
      <c r="F538" s="9"/>
      <c r="G538" s="8" t="str">
        <f t="shared" si="15"/>
        <v/>
      </c>
      <c r="H538" s="10">
        <f t="shared" si="16"/>
        <v>0</v>
      </c>
      <c r="I538" s="8">
        <f>IF(G538&lt;&gt;"",E538-SUMIFS(ขายสินค้า!E:E,ขายสินค้า!G:G,H538),)</f>
        <v>0</v>
      </c>
      <c r="J538" s="11">
        <f t="shared" si="17"/>
        <v>0</v>
      </c>
      <c r="K538" s="11">
        <f>IF(B538&lt;&gt;"", IFERROR(SUMIF(ขายสินค้า!G:G,H538,ขายสินค้า!F:F)/(E538-I538),0),)</f>
        <v>0</v>
      </c>
      <c r="L538" s="12">
        <f t="shared" si="18"/>
        <v>0</v>
      </c>
      <c r="M538" s="13">
        <f t="shared" si="19"/>
        <v>0</v>
      </c>
    </row>
    <row r="539" spans="1:13">
      <c r="A539" s="14"/>
      <c r="B539" s="6"/>
      <c r="C539" s="7">
        <f>IFERROR(VLOOKUP(B539,ชื่อสินค้า!A:C,2,FALSE),)</f>
        <v>0</v>
      </c>
      <c r="D539" s="8" t="str">
        <f>IFERROR(VLOOKUP(B539,ชื่อสินค้า!A:D,4,FALSE),"")</f>
        <v/>
      </c>
      <c r="E539" s="9"/>
      <c r="F539" s="9"/>
      <c r="G539" s="8" t="str">
        <f t="shared" si="15"/>
        <v/>
      </c>
      <c r="H539" s="10">
        <f t="shared" si="16"/>
        <v>0</v>
      </c>
      <c r="I539" s="8">
        <f>IF(G539&lt;&gt;"",E539-SUMIFS(ขายสินค้า!E:E,ขายสินค้า!G:G,H539),)</f>
        <v>0</v>
      </c>
      <c r="J539" s="11">
        <f t="shared" si="17"/>
        <v>0</v>
      </c>
      <c r="K539" s="11">
        <f>IF(B539&lt;&gt;"", IFERROR(SUMIF(ขายสินค้า!G:G,H539,ขายสินค้า!F:F)/(E539-I539),0),)</f>
        <v>0</v>
      </c>
      <c r="L539" s="12">
        <f t="shared" si="18"/>
        <v>0</v>
      </c>
      <c r="M539" s="13">
        <f t="shared" si="19"/>
        <v>0</v>
      </c>
    </row>
    <row r="540" spans="1:13">
      <c r="A540" s="14"/>
      <c r="B540" s="6"/>
      <c r="C540" s="7">
        <f>IFERROR(VLOOKUP(B540,ชื่อสินค้า!A:C,2,FALSE),)</f>
        <v>0</v>
      </c>
      <c r="D540" s="8" t="str">
        <f>IFERROR(VLOOKUP(B540,ชื่อสินค้า!A:D,4,FALSE),"")</f>
        <v/>
      </c>
      <c r="E540" s="9"/>
      <c r="F540" s="9"/>
      <c r="G540" s="8" t="str">
        <f t="shared" si="15"/>
        <v/>
      </c>
      <c r="H540" s="10">
        <f t="shared" si="16"/>
        <v>0</v>
      </c>
      <c r="I540" s="8">
        <f>IF(G540&lt;&gt;"",E540-SUMIFS(ขายสินค้า!E:E,ขายสินค้า!G:G,H540),)</f>
        <v>0</v>
      </c>
      <c r="J540" s="11">
        <f t="shared" si="17"/>
        <v>0</v>
      </c>
      <c r="K540" s="11">
        <f>IF(B540&lt;&gt;"", IFERROR(SUMIF(ขายสินค้า!G:G,H540,ขายสินค้า!F:F)/(E540-I540),0),)</f>
        <v>0</v>
      </c>
      <c r="L540" s="12">
        <f t="shared" si="18"/>
        <v>0</v>
      </c>
      <c r="M540" s="13">
        <f t="shared" si="19"/>
        <v>0</v>
      </c>
    </row>
    <row r="541" spans="1:13">
      <c r="A541" s="14"/>
      <c r="B541" s="6"/>
      <c r="C541" s="7">
        <f>IFERROR(VLOOKUP(B541,ชื่อสินค้า!A:C,2,FALSE),)</f>
        <v>0</v>
      </c>
      <c r="D541" s="8" t="str">
        <f>IFERROR(VLOOKUP(B541,ชื่อสินค้า!A:D,4,FALSE),"")</f>
        <v/>
      </c>
      <c r="E541" s="9"/>
      <c r="F541" s="9"/>
      <c r="G541" s="8" t="str">
        <f t="shared" si="15"/>
        <v/>
      </c>
      <c r="H541" s="10">
        <f t="shared" si="16"/>
        <v>0</v>
      </c>
      <c r="I541" s="8">
        <f>IF(G541&lt;&gt;"",E541-SUMIFS(ขายสินค้า!E:E,ขายสินค้า!G:G,H541),)</f>
        <v>0</v>
      </c>
      <c r="J541" s="11">
        <f t="shared" si="17"/>
        <v>0</v>
      </c>
      <c r="K541" s="11">
        <f>IF(B541&lt;&gt;"", IFERROR(SUMIF(ขายสินค้า!G:G,H541,ขายสินค้า!F:F)/(E541-I541),0),)</f>
        <v>0</v>
      </c>
      <c r="L541" s="12">
        <f t="shared" si="18"/>
        <v>0</v>
      </c>
      <c r="M541" s="13">
        <f t="shared" si="19"/>
        <v>0</v>
      </c>
    </row>
    <row r="542" spans="1:13">
      <c r="A542" s="14"/>
      <c r="B542" s="6"/>
      <c r="C542" s="7">
        <f>IFERROR(VLOOKUP(B542,ชื่อสินค้า!A:C,2,FALSE),)</f>
        <v>0</v>
      </c>
      <c r="D542" s="8" t="str">
        <f>IFERROR(VLOOKUP(B542,ชื่อสินค้า!A:D,4,FALSE),"")</f>
        <v/>
      </c>
      <c r="E542" s="9"/>
      <c r="F542" s="9"/>
      <c r="G542" s="8" t="str">
        <f t="shared" si="15"/>
        <v/>
      </c>
      <c r="H542" s="10">
        <f t="shared" si="16"/>
        <v>0</v>
      </c>
      <c r="I542" s="8">
        <f>IF(G542&lt;&gt;"",E542-SUMIFS(ขายสินค้า!E:E,ขายสินค้า!G:G,H542),)</f>
        <v>0</v>
      </c>
      <c r="J542" s="11">
        <f t="shared" si="17"/>
        <v>0</v>
      </c>
      <c r="K542" s="11">
        <f>IF(B542&lt;&gt;"", IFERROR(SUMIF(ขายสินค้า!G:G,H542,ขายสินค้า!F:F)/(E542-I542),0),)</f>
        <v>0</v>
      </c>
      <c r="L542" s="12">
        <f t="shared" si="18"/>
        <v>0</v>
      </c>
      <c r="M542" s="13">
        <f t="shared" si="19"/>
        <v>0</v>
      </c>
    </row>
    <row r="543" spans="1:13">
      <c r="A543" s="14"/>
      <c r="B543" s="6"/>
      <c r="C543" s="7">
        <f>IFERROR(VLOOKUP(B543,ชื่อสินค้า!A:C,2,FALSE),)</f>
        <v>0</v>
      </c>
      <c r="D543" s="8" t="str">
        <f>IFERROR(VLOOKUP(B543,ชื่อสินค้า!A:D,4,FALSE),"")</f>
        <v/>
      </c>
      <c r="E543" s="9"/>
      <c r="F543" s="9"/>
      <c r="G543" s="8" t="str">
        <f t="shared" si="15"/>
        <v/>
      </c>
      <c r="H543" s="10">
        <f t="shared" si="16"/>
        <v>0</v>
      </c>
      <c r="I543" s="8">
        <f>IF(G543&lt;&gt;"",E543-SUMIFS(ขายสินค้า!E:E,ขายสินค้า!G:G,H543),)</f>
        <v>0</v>
      </c>
      <c r="J543" s="11">
        <f t="shared" si="17"/>
        <v>0</v>
      </c>
      <c r="K543" s="11">
        <f>IF(B543&lt;&gt;"", IFERROR(SUMIF(ขายสินค้า!G:G,H543,ขายสินค้า!F:F)/(E543-I543),0),)</f>
        <v>0</v>
      </c>
      <c r="L543" s="12">
        <f t="shared" si="18"/>
        <v>0</v>
      </c>
      <c r="M543" s="13">
        <f t="shared" si="19"/>
        <v>0</v>
      </c>
    </row>
    <row r="544" spans="1:13">
      <c r="A544" s="14"/>
      <c r="B544" s="6"/>
      <c r="C544" s="7">
        <f>IFERROR(VLOOKUP(B544,ชื่อสินค้า!A:C,2,FALSE),)</f>
        <v>0</v>
      </c>
      <c r="D544" s="8" t="str">
        <f>IFERROR(VLOOKUP(B544,ชื่อสินค้า!A:D,4,FALSE),"")</f>
        <v/>
      </c>
      <c r="E544" s="9"/>
      <c r="F544" s="9"/>
      <c r="G544" s="8" t="str">
        <f t="shared" si="15"/>
        <v/>
      </c>
      <c r="H544" s="10">
        <f t="shared" si="16"/>
        <v>0</v>
      </c>
      <c r="I544" s="8">
        <f>IF(G544&lt;&gt;"",E544-SUMIFS(ขายสินค้า!E:E,ขายสินค้า!G:G,H544),)</f>
        <v>0</v>
      </c>
      <c r="J544" s="11">
        <f t="shared" si="17"/>
        <v>0</v>
      </c>
      <c r="K544" s="11">
        <f>IF(B544&lt;&gt;"", IFERROR(SUMIF(ขายสินค้า!G:G,H544,ขายสินค้า!F:F)/(E544-I544),0),)</f>
        <v>0</v>
      </c>
      <c r="L544" s="12">
        <f t="shared" si="18"/>
        <v>0</v>
      </c>
      <c r="M544" s="13">
        <f t="shared" si="19"/>
        <v>0</v>
      </c>
    </row>
    <row r="545" spans="1:13">
      <c r="A545" s="14"/>
      <c r="B545" s="6"/>
      <c r="C545" s="7">
        <f>IFERROR(VLOOKUP(B545,ชื่อสินค้า!A:C,2,FALSE),)</f>
        <v>0</v>
      </c>
      <c r="D545" s="8" t="str">
        <f>IFERROR(VLOOKUP(B545,ชื่อสินค้า!A:D,4,FALSE),"")</f>
        <v/>
      </c>
      <c r="E545" s="9"/>
      <c r="F545" s="9"/>
      <c r="G545" s="8" t="str">
        <f t="shared" si="15"/>
        <v/>
      </c>
      <c r="H545" s="10">
        <f t="shared" si="16"/>
        <v>0</v>
      </c>
      <c r="I545" s="8">
        <f>IF(G545&lt;&gt;"",E545-SUMIFS(ขายสินค้า!E:E,ขายสินค้า!G:G,H545),)</f>
        <v>0</v>
      </c>
      <c r="J545" s="11">
        <f t="shared" si="17"/>
        <v>0</v>
      </c>
      <c r="K545" s="11">
        <f>IF(B545&lt;&gt;"", IFERROR(SUMIF(ขายสินค้า!G:G,H545,ขายสินค้า!F:F)/(E545-I545),0),)</f>
        <v>0</v>
      </c>
      <c r="L545" s="12">
        <f t="shared" si="18"/>
        <v>0</v>
      </c>
      <c r="M545" s="13">
        <f t="shared" si="19"/>
        <v>0</v>
      </c>
    </row>
    <row r="546" spans="1:13">
      <c r="A546" s="14"/>
      <c r="B546" s="6"/>
      <c r="C546" s="7">
        <f>IFERROR(VLOOKUP(B546,ชื่อสินค้า!A:C,2,FALSE),)</f>
        <v>0</v>
      </c>
      <c r="D546" s="8" t="str">
        <f>IFERROR(VLOOKUP(B546,ชื่อสินค้า!A:D,4,FALSE),"")</f>
        <v/>
      </c>
      <c r="E546" s="9"/>
      <c r="F546" s="9"/>
      <c r="G546" s="8" t="str">
        <f t="shared" si="15"/>
        <v/>
      </c>
      <c r="H546" s="10">
        <f t="shared" si="16"/>
        <v>0</v>
      </c>
      <c r="I546" s="8">
        <f>IF(G546&lt;&gt;"",E546-SUMIFS(ขายสินค้า!E:E,ขายสินค้า!G:G,H546),)</f>
        <v>0</v>
      </c>
      <c r="J546" s="11">
        <f t="shared" si="17"/>
        <v>0</v>
      </c>
      <c r="K546" s="11">
        <f>IF(B546&lt;&gt;"", IFERROR(SUMIF(ขายสินค้า!G:G,H546,ขายสินค้า!F:F)/(E546-I546),0),)</f>
        <v>0</v>
      </c>
      <c r="L546" s="12">
        <f t="shared" si="18"/>
        <v>0</v>
      </c>
      <c r="M546" s="13">
        <f t="shared" si="19"/>
        <v>0</v>
      </c>
    </row>
    <row r="547" spans="1:13">
      <c r="A547" s="14"/>
      <c r="B547" s="6"/>
      <c r="C547" s="7">
        <f>IFERROR(VLOOKUP(B547,ชื่อสินค้า!A:C,2,FALSE),)</f>
        <v>0</v>
      </c>
      <c r="D547" s="8" t="str">
        <f>IFERROR(VLOOKUP(B547,ชื่อสินค้า!A:D,4,FALSE),"")</f>
        <v/>
      </c>
      <c r="E547" s="9"/>
      <c r="F547" s="9"/>
      <c r="G547" s="8" t="str">
        <f t="shared" si="15"/>
        <v/>
      </c>
      <c r="H547" s="10">
        <f t="shared" si="16"/>
        <v>0</v>
      </c>
      <c r="I547" s="8">
        <f>IF(G547&lt;&gt;"",E547-SUMIFS(ขายสินค้า!E:E,ขายสินค้า!G:G,H547),)</f>
        <v>0</v>
      </c>
      <c r="J547" s="11">
        <f t="shared" si="17"/>
        <v>0</v>
      </c>
      <c r="K547" s="11">
        <f>IF(B547&lt;&gt;"", IFERROR(SUMIF(ขายสินค้า!G:G,H547,ขายสินค้า!F:F)/(E547-I547),0),)</f>
        <v>0</v>
      </c>
      <c r="L547" s="12">
        <f t="shared" si="18"/>
        <v>0</v>
      </c>
      <c r="M547" s="13">
        <f t="shared" si="19"/>
        <v>0</v>
      </c>
    </row>
    <row r="548" spans="1:13">
      <c r="A548" s="14"/>
      <c r="B548" s="6"/>
      <c r="C548" s="7">
        <f>IFERROR(VLOOKUP(B548,ชื่อสินค้า!A:C,2,FALSE),)</f>
        <v>0</v>
      </c>
      <c r="D548" s="8" t="str">
        <f>IFERROR(VLOOKUP(B548,ชื่อสินค้า!A:D,4,FALSE),"")</f>
        <v/>
      </c>
      <c r="E548" s="9"/>
      <c r="F548" s="9"/>
      <c r="G548" s="8" t="str">
        <f t="shared" si="15"/>
        <v/>
      </c>
      <c r="H548" s="10">
        <f t="shared" si="16"/>
        <v>0</v>
      </c>
      <c r="I548" s="8">
        <f>IF(G548&lt;&gt;"",E548-SUMIFS(ขายสินค้า!E:E,ขายสินค้า!G:G,H548),)</f>
        <v>0</v>
      </c>
      <c r="J548" s="11">
        <f t="shared" si="17"/>
        <v>0</v>
      </c>
      <c r="K548" s="11">
        <f>IF(B548&lt;&gt;"", IFERROR(SUMIF(ขายสินค้า!G:G,H548,ขายสินค้า!F:F)/(E548-I548),0),)</f>
        <v>0</v>
      </c>
      <c r="L548" s="12">
        <f t="shared" si="18"/>
        <v>0</v>
      </c>
      <c r="M548" s="13">
        <f t="shared" si="19"/>
        <v>0</v>
      </c>
    </row>
    <row r="549" spans="1:13">
      <c r="A549" s="14"/>
      <c r="B549" s="6"/>
      <c r="C549" s="7">
        <f>IFERROR(VLOOKUP(B549,ชื่อสินค้า!A:C,2,FALSE),)</f>
        <v>0</v>
      </c>
      <c r="D549" s="8" t="str">
        <f>IFERROR(VLOOKUP(B549,ชื่อสินค้า!A:D,4,FALSE),"")</f>
        <v/>
      </c>
      <c r="E549" s="9"/>
      <c r="F549" s="9"/>
      <c r="G549" s="8" t="str">
        <f t="shared" si="15"/>
        <v/>
      </c>
      <c r="H549" s="10">
        <f t="shared" si="16"/>
        <v>0</v>
      </c>
      <c r="I549" s="8">
        <f>IF(G549&lt;&gt;"",E549-SUMIFS(ขายสินค้า!E:E,ขายสินค้า!G:G,H549),)</f>
        <v>0</v>
      </c>
      <c r="J549" s="11">
        <f t="shared" si="17"/>
        <v>0</v>
      </c>
      <c r="K549" s="11">
        <f>IF(B549&lt;&gt;"", IFERROR(SUMIF(ขายสินค้า!G:G,H549,ขายสินค้า!F:F)/(E549-I549),0),)</f>
        <v>0</v>
      </c>
      <c r="L549" s="12">
        <f t="shared" si="18"/>
        <v>0</v>
      </c>
      <c r="M549" s="13">
        <f t="shared" si="19"/>
        <v>0</v>
      </c>
    </row>
    <row r="550" spans="1:13">
      <c r="A550" s="14"/>
      <c r="B550" s="6"/>
      <c r="C550" s="7">
        <f>IFERROR(VLOOKUP(B550,ชื่อสินค้า!A:C,2,FALSE),)</f>
        <v>0</v>
      </c>
      <c r="D550" s="8" t="str">
        <f>IFERROR(VLOOKUP(B550,ชื่อสินค้า!A:D,4,FALSE),"")</f>
        <v/>
      </c>
      <c r="E550" s="9"/>
      <c r="F550" s="9"/>
      <c r="G550" s="8" t="str">
        <f t="shared" si="15"/>
        <v/>
      </c>
      <c r="H550" s="10">
        <f t="shared" si="16"/>
        <v>0</v>
      </c>
      <c r="I550" s="8">
        <f>IF(G550&lt;&gt;"",E550-SUMIFS(ขายสินค้า!E:E,ขายสินค้า!G:G,H550),)</f>
        <v>0</v>
      </c>
      <c r="J550" s="11">
        <f t="shared" si="17"/>
        <v>0</v>
      </c>
      <c r="K550" s="11">
        <f>IF(B550&lt;&gt;"", IFERROR(SUMIF(ขายสินค้า!G:G,H550,ขายสินค้า!F:F)/(E550-I550),0),)</f>
        <v>0</v>
      </c>
      <c r="L550" s="12">
        <f t="shared" si="18"/>
        <v>0</v>
      </c>
      <c r="M550" s="13">
        <f t="shared" si="19"/>
        <v>0</v>
      </c>
    </row>
    <row r="551" spans="1:13">
      <c r="A551" s="14"/>
      <c r="B551" s="6"/>
      <c r="C551" s="7">
        <f>IFERROR(VLOOKUP(B551,ชื่อสินค้า!A:C,2,FALSE),)</f>
        <v>0</v>
      </c>
      <c r="D551" s="8" t="str">
        <f>IFERROR(VLOOKUP(B551,ชื่อสินค้า!A:D,4,FALSE),"")</f>
        <v/>
      </c>
      <c r="E551" s="9"/>
      <c r="F551" s="9"/>
      <c r="G551" s="8" t="str">
        <f t="shared" si="15"/>
        <v/>
      </c>
      <c r="H551" s="10">
        <f t="shared" si="16"/>
        <v>0</v>
      </c>
      <c r="I551" s="8">
        <f>IF(G551&lt;&gt;"",E551-SUMIFS(ขายสินค้า!E:E,ขายสินค้า!G:G,H551),)</f>
        <v>0</v>
      </c>
      <c r="J551" s="11">
        <f t="shared" si="17"/>
        <v>0</v>
      </c>
      <c r="K551" s="11">
        <f>IF(B551&lt;&gt;"", IFERROR(SUMIF(ขายสินค้า!G:G,H551,ขายสินค้า!F:F)/(E551-I551),0),)</f>
        <v>0</v>
      </c>
      <c r="L551" s="12">
        <f t="shared" si="18"/>
        <v>0</v>
      </c>
      <c r="M551" s="13">
        <f t="shared" si="19"/>
        <v>0</v>
      </c>
    </row>
    <row r="552" spans="1:13">
      <c r="A552" s="14"/>
      <c r="B552" s="6"/>
      <c r="C552" s="7">
        <f>IFERROR(VLOOKUP(B552,ชื่อสินค้า!A:C,2,FALSE),)</f>
        <v>0</v>
      </c>
      <c r="D552" s="8" t="str">
        <f>IFERROR(VLOOKUP(B552,ชื่อสินค้า!A:D,4,FALSE),"")</f>
        <v/>
      </c>
      <c r="E552" s="9"/>
      <c r="F552" s="9"/>
      <c r="G552" s="8" t="str">
        <f t="shared" si="15"/>
        <v/>
      </c>
      <c r="H552" s="10">
        <f t="shared" si="16"/>
        <v>0</v>
      </c>
      <c r="I552" s="8">
        <f>IF(G552&lt;&gt;"",E552-SUMIFS(ขายสินค้า!E:E,ขายสินค้า!G:G,H552),)</f>
        <v>0</v>
      </c>
      <c r="J552" s="11">
        <f t="shared" si="17"/>
        <v>0</v>
      </c>
      <c r="K552" s="11">
        <f>IF(B552&lt;&gt;"", IFERROR(SUMIF(ขายสินค้า!G:G,H552,ขายสินค้า!F:F)/(E552-I552),0),)</f>
        <v>0</v>
      </c>
      <c r="L552" s="12">
        <f t="shared" si="18"/>
        <v>0</v>
      </c>
      <c r="M552" s="13">
        <f t="shared" si="19"/>
        <v>0</v>
      </c>
    </row>
    <row r="553" spans="1:13">
      <c r="A553" s="14"/>
      <c r="B553" s="6"/>
      <c r="C553" s="7">
        <f>IFERROR(VLOOKUP(B553,ชื่อสินค้า!A:C,2,FALSE),)</f>
        <v>0</v>
      </c>
      <c r="D553" s="8" t="str">
        <f>IFERROR(VLOOKUP(B553,ชื่อสินค้า!A:D,4,FALSE),"")</f>
        <v/>
      </c>
      <c r="E553" s="9"/>
      <c r="F553" s="9"/>
      <c r="G553" s="8" t="str">
        <f t="shared" si="15"/>
        <v/>
      </c>
      <c r="H553" s="10">
        <f t="shared" si="16"/>
        <v>0</v>
      </c>
      <c r="I553" s="8">
        <f>IF(G553&lt;&gt;"",E553-SUMIFS(ขายสินค้า!E:E,ขายสินค้า!G:G,H553),)</f>
        <v>0</v>
      </c>
      <c r="J553" s="11">
        <f t="shared" si="17"/>
        <v>0</v>
      </c>
      <c r="K553" s="11">
        <f>IF(B553&lt;&gt;"", IFERROR(SUMIF(ขายสินค้า!G:G,H553,ขายสินค้า!F:F)/(E553-I553),0),)</f>
        <v>0</v>
      </c>
      <c r="L553" s="12">
        <f t="shared" si="18"/>
        <v>0</v>
      </c>
      <c r="M553" s="13">
        <f t="shared" si="19"/>
        <v>0</v>
      </c>
    </row>
    <row r="554" spans="1:13">
      <c r="A554" s="14"/>
      <c r="B554" s="6"/>
      <c r="C554" s="7">
        <f>IFERROR(VLOOKUP(B554,ชื่อสินค้า!A:C,2,FALSE),)</f>
        <v>0</v>
      </c>
      <c r="D554" s="8" t="str">
        <f>IFERROR(VLOOKUP(B554,ชื่อสินค้า!A:D,4,FALSE),"")</f>
        <v/>
      </c>
      <c r="E554" s="9"/>
      <c r="F554" s="9"/>
      <c r="G554" s="8" t="str">
        <f t="shared" si="15"/>
        <v/>
      </c>
      <c r="H554" s="10">
        <f t="shared" si="16"/>
        <v>0</v>
      </c>
      <c r="I554" s="8">
        <f>IF(G554&lt;&gt;"",E554-SUMIFS(ขายสินค้า!E:E,ขายสินค้า!G:G,H554),)</f>
        <v>0</v>
      </c>
      <c r="J554" s="11">
        <f t="shared" si="17"/>
        <v>0</v>
      </c>
      <c r="K554" s="11">
        <f>IF(B554&lt;&gt;"", IFERROR(SUMIF(ขายสินค้า!G:G,H554,ขายสินค้า!F:F)/(E554-I554),0),)</f>
        <v>0</v>
      </c>
      <c r="L554" s="12">
        <f t="shared" si="18"/>
        <v>0</v>
      </c>
      <c r="M554" s="13">
        <f t="shared" si="19"/>
        <v>0</v>
      </c>
    </row>
    <row r="555" spans="1:13">
      <c r="A555" s="14"/>
      <c r="B555" s="6"/>
      <c r="C555" s="7">
        <f>IFERROR(VLOOKUP(B555,ชื่อสินค้า!A:C,2,FALSE),)</f>
        <v>0</v>
      </c>
      <c r="D555" s="8" t="str">
        <f>IFERROR(VLOOKUP(B555,ชื่อสินค้า!A:D,4,FALSE),"")</f>
        <v/>
      </c>
      <c r="E555" s="9"/>
      <c r="F555" s="9"/>
      <c r="G555" s="8" t="str">
        <f t="shared" si="15"/>
        <v/>
      </c>
      <c r="H555" s="10">
        <f t="shared" si="16"/>
        <v>0</v>
      </c>
      <c r="I555" s="8">
        <f>IF(G555&lt;&gt;"",E555-SUMIFS(ขายสินค้า!E:E,ขายสินค้า!G:G,H555),)</f>
        <v>0</v>
      </c>
      <c r="J555" s="11">
        <f t="shared" si="17"/>
        <v>0</v>
      </c>
      <c r="K555" s="11">
        <f>IF(B555&lt;&gt;"", IFERROR(SUMIF(ขายสินค้า!G:G,H555,ขายสินค้า!F:F)/(E555-I555),0),)</f>
        <v>0</v>
      </c>
      <c r="L555" s="12">
        <f t="shared" si="18"/>
        <v>0</v>
      </c>
      <c r="M555" s="13">
        <f t="shared" si="19"/>
        <v>0</v>
      </c>
    </row>
    <row r="556" spans="1:13">
      <c r="A556" s="14"/>
      <c r="B556" s="6"/>
      <c r="C556" s="7">
        <f>IFERROR(VLOOKUP(B556,ชื่อสินค้า!A:C,2,FALSE),)</f>
        <v>0</v>
      </c>
      <c r="D556" s="8" t="str">
        <f>IFERROR(VLOOKUP(B556,ชื่อสินค้า!A:D,4,FALSE),"")</f>
        <v/>
      </c>
      <c r="E556" s="9"/>
      <c r="F556" s="9"/>
      <c r="G556" s="8" t="str">
        <f t="shared" si="15"/>
        <v/>
      </c>
      <c r="H556" s="10">
        <f t="shared" si="16"/>
        <v>0</v>
      </c>
      <c r="I556" s="8">
        <f>IF(G556&lt;&gt;"",E556-SUMIFS(ขายสินค้า!E:E,ขายสินค้า!G:G,H556),)</f>
        <v>0</v>
      </c>
      <c r="J556" s="11">
        <f t="shared" si="17"/>
        <v>0</v>
      </c>
      <c r="K556" s="11">
        <f>IF(B556&lt;&gt;"", IFERROR(SUMIF(ขายสินค้า!G:G,H556,ขายสินค้า!F:F)/(E556-I556),0),)</f>
        <v>0</v>
      </c>
      <c r="L556" s="12">
        <f t="shared" si="18"/>
        <v>0</v>
      </c>
      <c r="M556" s="13">
        <f t="shared" si="19"/>
        <v>0</v>
      </c>
    </row>
    <row r="557" spans="1:13">
      <c r="A557" s="14"/>
      <c r="B557" s="6"/>
      <c r="C557" s="7">
        <f>IFERROR(VLOOKUP(B557,ชื่อสินค้า!A:C,2,FALSE),)</f>
        <v>0</v>
      </c>
      <c r="D557" s="8" t="str">
        <f>IFERROR(VLOOKUP(B557,ชื่อสินค้า!A:D,4,FALSE),"")</f>
        <v/>
      </c>
      <c r="E557" s="9"/>
      <c r="F557" s="9"/>
      <c r="G557" s="8" t="str">
        <f t="shared" si="15"/>
        <v/>
      </c>
      <c r="H557" s="10">
        <f t="shared" si="16"/>
        <v>0</v>
      </c>
      <c r="I557" s="8">
        <f>IF(G557&lt;&gt;"",E557-SUMIFS(ขายสินค้า!E:E,ขายสินค้า!G:G,H557),)</f>
        <v>0</v>
      </c>
      <c r="J557" s="11">
        <f t="shared" si="17"/>
        <v>0</v>
      </c>
      <c r="K557" s="11">
        <f>IF(B557&lt;&gt;"", IFERROR(SUMIF(ขายสินค้า!G:G,H557,ขายสินค้า!F:F)/(E557-I557),0),)</f>
        <v>0</v>
      </c>
      <c r="L557" s="12">
        <f t="shared" si="18"/>
        <v>0</v>
      </c>
      <c r="M557" s="13">
        <f t="shared" si="19"/>
        <v>0</v>
      </c>
    </row>
    <row r="558" spans="1:13">
      <c r="A558" s="14"/>
      <c r="B558" s="6"/>
      <c r="C558" s="7">
        <f>IFERROR(VLOOKUP(B558,ชื่อสินค้า!A:C,2,FALSE),)</f>
        <v>0</v>
      </c>
      <c r="D558" s="8" t="str">
        <f>IFERROR(VLOOKUP(B558,ชื่อสินค้า!A:D,4,FALSE),"")</f>
        <v/>
      </c>
      <c r="E558" s="9"/>
      <c r="F558" s="9"/>
      <c r="G558" s="8" t="str">
        <f t="shared" si="15"/>
        <v/>
      </c>
      <c r="H558" s="10">
        <f t="shared" si="16"/>
        <v>0</v>
      </c>
      <c r="I558" s="8">
        <f>IF(G558&lt;&gt;"",E558-SUMIFS(ขายสินค้า!E:E,ขายสินค้า!G:G,H558),)</f>
        <v>0</v>
      </c>
      <c r="J558" s="11">
        <f t="shared" si="17"/>
        <v>0</v>
      </c>
      <c r="K558" s="11">
        <f>IF(B558&lt;&gt;"", IFERROR(SUMIF(ขายสินค้า!G:G,H558,ขายสินค้า!F:F)/(E558-I558),0),)</f>
        <v>0</v>
      </c>
      <c r="L558" s="12">
        <f t="shared" si="18"/>
        <v>0</v>
      </c>
      <c r="M558" s="13">
        <f t="shared" si="19"/>
        <v>0</v>
      </c>
    </row>
    <row r="559" spans="1:13">
      <c r="A559" s="14"/>
      <c r="B559" s="6"/>
      <c r="C559" s="7">
        <f>IFERROR(VLOOKUP(B559,ชื่อสินค้า!A:C,2,FALSE),)</f>
        <v>0</v>
      </c>
      <c r="D559" s="8" t="str">
        <f>IFERROR(VLOOKUP(B559,ชื่อสินค้า!A:D,4,FALSE),"")</f>
        <v/>
      </c>
      <c r="E559" s="9"/>
      <c r="F559" s="9"/>
      <c r="G559" s="8" t="str">
        <f t="shared" si="15"/>
        <v/>
      </c>
      <c r="H559" s="10">
        <f t="shared" si="16"/>
        <v>0</v>
      </c>
      <c r="I559" s="8">
        <f>IF(G559&lt;&gt;"",E559-SUMIFS(ขายสินค้า!E:E,ขายสินค้า!G:G,H559),)</f>
        <v>0</v>
      </c>
      <c r="J559" s="11">
        <f t="shared" si="17"/>
        <v>0</v>
      </c>
      <c r="K559" s="11">
        <f>IF(B559&lt;&gt;"", IFERROR(SUMIF(ขายสินค้า!G:G,H559,ขายสินค้า!F:F)/(E559-I559),0),)</f>
        <v>0</v>
      </c>
      <c r="L559" s="12">
        <f t="shared" si="18"/>
        <v>0</v>
      </c>
      <c r="M559" s="13">
        <f t="shared" si="19"/>
        <v>0</v>
      </c>
    </row>
    <row r="560" spans="1:13">
      <c r="A560" s="14"/>
      <c r="B560" s="6"/>
      <c r="C560" s="7">
        <f>IFERROR(VLOOKUP(B560,ชื่อสินค้า!A:C,2,FALSE),)</f>
        <v>0</v>
      </c>
      <c r="D560" s="8" t="str">
        <f>IFERROR(VLOOKUP(B560,ชื่อสินค้า!A:D,4,FALSE),"")</f>
        <v/>
      </c>
      <c r="E560" s="9"/>
      <c r="F560" s="9"/>
      <c r="G560" s="8" t="str">
        <f t="shared" si="15"/>
        <v/>
      </c>
      <c r="H560" s="10">
        <f t="shared" si="16"/>
        <v>0</v>
      </c>
      <c r="I560" s="8">
        <f>IF(G560&lt;&gt;"",E560-SUMIFS(ขายสินค้า!E:E,ขายสินค้า!G:G,H560),)</f>
        <v>0</v>
      </c>
      <c r="J560" s="11">
        <f t="shared" si="17"/>
        <v>0</v>
      </c>
      <c r="K560" s="11">
        <f>IF(B560&lt;&gt;"", IFERROR(SUMIF(ขายสินค้า!G:G,H560,ขายสินค้า!F:F)/(E560-I560),0),)</f>
        <v>0</v>
      </c>
      <c r="L560" s="12">
        <f t="shared" si="18"/>
        <v>0</v>
      </c>
      <c r="M560" s="13">
        <f t="shared" si="19"/>
        <v>0</v>
      </c>
    </row>
    <row r="561" spans="1:13">
      <c r="A561" s="14"/>
      <c r="B561" s="6"/>
      <c r="C561" s="7">
        <f>IFERROR(VLOOKUP(B561,ชื่อสินค้า!A:C,2,FALSE),)</f>
        <v>0</v>
      </c>
      <c r="D561" s="8" t="str">
        <f>IFERROR(VLOOKUP(B561,ชื่อสินค้า!A:D,4,FALSE),"")</f>
        <v/>
      </c>
      <c r="E561" s="9"/>
      <c r="F561" s="9"/>
      <c r="G561" s="8" t="str">
        <f t="shared" si="15"/>
        <v/>
      </c>
      <c r="H561" s="10">
        <f t="shared" si="16"/>
        <v>0</v>
      </c>
      <c r="I561" s="8">
        <f>IF(G561&lt;&gt;"",E561-SUMIFS(ขายสินค้า!E:E,ขายสินค้า!G:G,H561),)</f>
        <v>0</v>
      </c>
      <c r="J561" s="11">
        <f t="shared" si="17"/>
        <v>0</v>
      </c>
      <c r="K561" s="11">
        <f>IF(B561&lt;&gt;"", IFERROR(SUMIF(ขายสินค้า!G:G,H561,ขายสินค้า!F:F)/(E561-I561),0),)</f>
        <v>0</v>
      </c>
      <c r="L561" s="12">
        <f t="shared" si="18"/>
        <v>0</v>
      </c>
      <c r="M561" s="13">
        <f t="shared" si="19"/>
        <v>0</v>
      </c>
    </row>
    <row r="562" spans="1:13">
      <c r="A562" s="14"/>
      <c r="B562" s="6"/>
      <c r="C562" s="7">
        <f>IFERROR(VLOOKUP(B562,ชื่อสินค้า!A:C,2,FALSE),)</f>
        <v>0</v>
      </c>
      <c r="D562" s="8" t="str">
        <f>IFERROR(VLOOKUP(B562,ชื่อสินค้า!A:D,4,FALSE),"")</f>
        <v/>
      </c>
      <c r="E562" s="9"/>
      <c r="F562" s="9"/>
      <c r="G562" s="8" t="str">
        <f t="shared" si="15"/>
        <v/>
      </c>
      <c r="H562" s="10">
        <f t="shared" si="16"/>
        <v>0</v>
      </c>
      <c r="I562" s="8">
        <f>IF(G562&lt;&gt;"",E562-SUMIFS(ขายสินค้า!E:E,ขายสินค้า!G:G,H562),)</f>
        <v>0</v>
      </c>
      <c r="J562" s="11">
        <f t="shared" si="17"/>
        <v>0</v>
      </c>
      <c r="K562" s="11">
        <f>IF(B562&lt;&gt;"", IFERROR(SUMIF(ขายสินค้า!G:G,H562,ขายสินค้า!F:F)/(E562-I562),0),)</f>
        <v>0</v>
      </c>
      <c r="L562" s="12">
        <f t="shared" si="18"/>
        <v>0</v>
      </c>
      <c r="M562" s="13">
        <f t="shared" si="19"/>
        <v>0</v>
      </c>
    </row>
    <row r="563" spans="1:13">
      <c r="A563" s="14"/>
      <c r="B563" s="6"/>
      <c r="C563" s="7">
        <f>IFERROR(VLOOKUP(B563,ชื่อสินค้า!A:C,2,FALSE),)</f>
        <v>0</v>
      </c>
      <c r="D563" s="8" t="str">
        <f>IFERROR(VLOOKUP(B563,ชื่อสินค้า!A:D,4,FALSE),"")</f>
        <v/>
      </c>
      <c r="E563" s="9"/>
      <c r="F563" s="9"/>
      <c r="G563" s="8" t="str">
        <f t="shared" si="15"/>
        <v/>
      </c>
      <c r="H563" s="10">
        <f t="shared" si="16"/>
        <v>0</v>
      </c>
      <c r="I563" s="8">
        <f>IF(G563&lt;&gt;"",E563-SUMIFS(ขายสินค้า!E:E,ขายสินค้า!G:G,H563),)</f>
        <v>0</v>
      </c>
      <c r="J563" s="11">
        <f t="shared" si="17"/>
        <v>0</v>
      </c>
      <c r="K563" s="11">
        <f>IF(B563&lt;&gt;"", IFERROR(SUMIF(ขายสินค้า!G:G,H563,ขายสินค้า!F:F)/(E563-I563),0),)</f>
        <v>0</v>
      </c>
      <c r="L563" s="12">
        <f t="shared" si="18"/>
        <v>0</v>
      </c>
      <c r="M563" s="13">
        <f t="shared" si="19"/>
        <v>0</v>
      </c>
    </row>
    <row r="564" spans="1:13">
      <c r="A564" s="14"/>
      <c r="B564" s="6"/>
      <c r="C564" s="7">
        <f>IFERROR(VLOOKUP(B564,ชื่อสินค้า!A:C,2,FALSE),)</f>
        <v>0</v>
      </c>
      <c r="D564" s="8" t="str">
        <f>IFERROR(VLOOKUP(B564,ชื่อสินค้า!A:D,4,FALSE),"")</f>
        <v/>
      </c>
      <c r="E564" s="9"/>
      <c r="F564" s="9"/>
      <c r="G564" s="8" t="str">
        <f t="shared" si="15"/>
        <v/>
      </c>
      <c r="H564" s="10">
        <f t="shared" si="16"/>
        <v>0</v>
      </c>
      <c r="I564" s="8">
        <f>IF(G564&lt;&gt;"",E564-SUMIFS(ขายสินค้า!E:E,ขายสินค้า!G:G,H564),)</f>
        <v>0</v>
      </c>
      <c r="J564" s="11">
        <f t="shared" si="17"/>
        <v>0</v>
      </c>
      <c r="K564" s="11">
        <f>IF(B564&lt;&gt;"", IFERROR(SUMIF(ขายสินค้า!G:G,H564,ขายสินค้า!F:F)/(E564-I564),0),)</f>
        <v>0</v>
      </c>
      <c r="L564" s="12">
        <f t="shared" si="18"/>
        <v>0</v>
      </c>
      <c r="M564" s="13">
        <f t="shared" si="19"/>
        <v>0</v>
      </c>
    </row>
    <row r="565" spans="1:13">
      <c r="A565" s="14"/>
      <c r="B565" s="6"/>
      <c r="C565" s="7">
        <f>IFERROR(VLOOKUP(B565,ชื่อสินค้า!A:C,2,FALSE),)</f>
        <v>0</v>
      </c>
      <c r="D565" s="8" t="str">
        <f>IFERROR(VLOOKUP(B565,ชื่อสินค้า!A:D,4,FALSE),"")</f>
        <v/>
      </c>
      <c r="E565" s="9"/>
      <c r="F565" s="9"/>
      <c r="G565" s="8" t="str">
        <f t="shared" si="15"/>
        <v/>
      </c>
      <c r="H565" s="10">
        <f t="shared" si="16"/>
        <v>0</v>
      </c>
      <c r="I565" s="8">
        <f>IF(G565&lt;&gt;"",E565-SUMIFS(ขายสินค้า!E:E,ขายสินค้า!G:G,H565),)</f>
        <v>0</v>
      </c>
      <c r="J565" s="11">
        <f t="shared" si="17"/>
        <v>0</v>
      </c>
      <c r="K565" s="11">
        <f>IF(B565&lt;&gt;"", IFERROR(SUMIF(ขายสินค้า!G:G,H565,ขายสินค้า!F:F)/(E565-I565),0),)</f>
        <v>0</v>
      </c>
      <c r="L565" s="12">
        <f t="shared" si="18"/>
        <v>0</v>
      </c>
      <c r="M565" s="13">
        <f t="shared" si="19"/>
        <v>0</v>
      </c>
    </row>
    <row r="566" spans="1:13">
      <c r="A566" s="14"/>
      <c r="B566" s="6"/>
      <c r="C566" s="7">
        <f>IFERROR(VLOOKUP(B566,ชื่อสินค้า!A:C,2,FALSE),)</f>
        <v>0</v>
      </c>
      <c r="D566" s="8" t="str">
        <f>IFERROR(VLOOKUP(B566,ชื่อสินค้า!A:D,4,FALSE),"")</f>
        <v/>
      </c>
      <c r="E566" s="9"/>
      <c r="F566" s="9"/>
      <c r="G566" s="8" t="str">
        <f t="shared" si="15"/>
        <v/>
      </c>
      <c r="H566" s="10">
        <f t="shared" si="16"/>
        <v>0</v>
      </c>
      <c r="I566" s="8">
        <f>IF(G566&lt;&gt;"",E566-SUMIFS(ขายสินค้า!E:E,ขายสินค้า!G:G,H566),)</f>
        <v>0</v>
      </c>
      <c r="J566" s="11">
        <f t="shared" si="17"/>
        <v>0</v>
      </c>
      <c r="K566" s="11">
        <f>IF(B566&lt;&gt;"", IFERROR(SUMIF(ขายสินค้า!G:G,H566,ขายสินค้า!F:F)/(E566-I566),0),)</f>
        <v>0</v>
      </c>
      <c r="L566" s="12">
        <f t="shared" si="18"/>
        <v>0</v>
      </c>
      <c r="M566" s="13">
        <f t="shared" si="19"/>
        <v>0</v>
      </c>
    </row>
    <row r="567" spans="1:13">
      <c r="A567" s="14"/>
      <c r="B567" s="6"/>
      <c r="C567" s="7">
        <f>IFERROR(VLOOKUP(B567,ชื่อสินค้า!A:C,2,FALSE),)</f>
        <v>0</v>
      </c>
      <c r="D567" s="8" t="str">
        <f>IFERROR(VLOOKUP(B567,ชื่อสินค้า!A:D,4,FALSE),"")</f>
        <v/>
      </c>
      <c r="E567" s="9"/>
      <c r="F567" s="9"/>
      <c r="G567" s="8" t="str">
        <f t="shared" si="15"/>
        <v/>
      </c>
      <c r="H567" s="10">
        <f t="shared" si="16"/>
        <v>0</v>
      </c>
      <c r="I567" s="8">
        <f>IF(G567&lt;&gt;"",E567-SUMIFS(ขายสินค้า!E:E,ขายสินค้า!G:G,H567),)</f>
        <v>0</v>
      </c>
      <c r="J567" s="11">
        <f t="shared" si="17"/>
        <v>0</v>
      </c>
      <c r="K567" s="11">
        <f>IF(B567&lt;&gt;"", IFERROR(SUMIF(ขายสินค้า!G:G,H567,ขายสินค้า!F:F)/(E567-I567),0),)</f>
        <v>0</v>
      </c>
      <c r="L567" s="12">
        <f t="shared" si="18"/>
        <v>0</v>
      </c>
      <c r="M567" s="13">
        <f t="shared" si="19"/>
        <v>0</v>
      </c>
    </row>
    <row r="568" spans="1:13">
      <c r="A568" s="14"/>
      <c r="B568" s="6"/>
      <c r="C568" s="7">
        <f>IFERROR(VLOOKUP(B568,ชื่อสินค้า!A:C,2,FALSE),)</f>
        <v>0</v>
      </c>
      <c r="D568" s="8" t="str">
        <f>IFERROR(VLOOKUP(B568,ชื่อสินค้า!A:D,4,FALSE),"")</f>
        <v/>
      </c>
      <c r="E568" s="9"/>
      <c r="F568" s="9"/>
      <c r="G568" s="8" t="str">
        <f t="shared" si="15"/>
        <v/>
      </c>
      <c r="H568" s="10">
        <f t="shared" si="16"/>
        <v>0</v>
      </c>
      <c r="I568" s="8">
        <f>IF(G568&lt;&gt;"",E568-SUMIFS(ขายสินค้า!E:E,ขายสินค้า!G:G,H568),)</f>
        <v>0</v>
      </c>
      <c r="J568" s="11">
        <f t="shared" si="17"/>
        <v>0</v>
      </c>
      <c r="K568" s="11">
        <f>IF(B568&lt;&gt;"", IFERROR(SUMIF(ขายสินค้า!G:G,H568,ขายสินค้า!F:F)/(E568-I568),0),)</f>
        <v>0</v>
      </c>
      <c r="L568" s="12">
        <f t="shared" si="18"/>
        <v>0</v>
      </c>
      <c r="M568" s="13">
        <f t="shared" si="19"/>
        <v>0</v>
      </c>
    </row>
    <row r="569" spans="1:13">
      <c r="A569" s="14"/>
      <c r="B569" s="6"/>
      <c r="C569" s="7">
        <f>IFERROR(VLOOKUP(B569,ชื่อสินค้า!A:C,2,FALSE),)</f>
        <v>0</v>
      </c>
      <c r="D569" s="8" t="str">
        <f>IFERROR(VLOOKUP(B569,ชื่อสินค้า!A:D,4,FALSE),"")</f>
        <v/>
      </c>
      <c r="E569" s="9"/>
      <c r="F569" s="9"/>
      <c r="G569" s="8" t="str">
        <f t="shared" si="15"/>
        <v/>
      </c>
      <c r="H569" s="10">
        <f t="shared" si="16"/>
        <v>0</v>
      </c>
      <c r="I569" s="8">
        <f>IF(G569&lt;&gt;"",E569-SUMIFS(ขายสินค้า!E:E,ขายสินค้า!G:G,H569),)</f>
        <v>0</v>
      </c>
      <c r="J569" s="11">
        <f t="shared" si="17"/>
        <v>0</v>
      </c>
      <c r="K569" s="11">
        <f>IF(B569&lt;&gt;"", IFERROR(SUMIF(ขายสินค้า!G:G,H569,ขายสินค้า!F:F)/(E569-I569),0),)</f>
        <v>0</v>
      </c>
      <c r="L569" s="12">
        <f t="shared" si="18"/>
        <v>0</v>
      </c>
      <c r="M569" s="13">
        <f t="shared" si="19"/>
        <v>0</v>
      </c>
    </row>
    <row r="570" spans="1:13">
      <c r="A570" s="14"/>
      <c r="B570" s="6"/>
      <c r="C570" s="7">
        <f>IFERROR(VLOOKUP(B570,ชื่อสินค้า!A:C,2,FALSE),)</f>
        <v>0</v>
      </c>
      <c r="D570" s="8" t="str">
        <f>IFERROR(VLOOKUP(B570,ชื่อสินค้า!A:D,4,FALSE),"")</f>
        <v/>
      </c>
      <c r="E570" s="9"/>
      <c r="F570" s="9"/>
      <c r="G570" s="8" t="str">
        <f t="shared" si="15"/>
        <v/>
      </c>
      <c r="H570" s="10">
        <f t="shared" si="16"/>
        <v>0</v>
      </c>
      <c r="I570" s="8">
        <f>IF(G570&lt;&gt;"",E570-SUMIFS(ขายสินค้า!E:E,ขายสินค้า!G:G,H570),)</f>
        <v>0</v>
      </c>
      <c r="J570" s="11">
        <f t="shared" si="17"/>
        <v>0</v>
      </c>
      <c r="K570" s="11">
        <f>IF(B570&lt;&gt;"", IFERROR(SUMIF(ขายสินค้า!G:G,H570,ขายสินค้า!F:F)/(E570-I570),0),)</f>
        <v>0</v>
      </c>
      <c r="L570" s="12">
        <f t="shared" si="18"/>
        <v>0</v>
      </c>
      <c r="M570" s="13">
        <f t="shared" si="19"/>
        <v>0</v>
      </c>
    </row>
    <row r="571" spans="1:13">
      <c r="A571" s="14"/>
      <c r="B571" s="6"/>
      <c r="C571" s="7">
        <f>IFERROR(VLOOKUP(B571,ชื่อสินค้า!A:C,2,FALSE),)</f>
        <v>0</v>
      </c>
      <c r="D571" s="8" t="str">
        <f>IFERROR(VLOOKUP(B571,ชื่อสินค้า!A:D,4,FALSE),"")</f>
        <v/>
      </c>
      <c r="E571" s="9"/>
      <c r="F571" s="9"/>
      <c r="G571" s="8" t="str">
        <f t="shared" si="15"/>
        <v/>
      </c>
      <c r="H571" s="10">
        <f t="shared" si="16"/>
        <v>0</v>
      </c>
      <c r="I571" s="8">
        <f>IF(G571&lt;&gt;"",E571-SUMIFS(ขายสินค้า!E:E,ขายสินค้า!G:G,H571),)</f>
        <v>0</v>
      </c>
      <c r="J571" s="11">
        <f t="shared" si="17"/>
        <v>0</v>
      </c>
      <c r="K571" s="11">
        <f>IF(B571&lt;&gt;"", IFERROR(SUMIF(ขายสินค้า!G:G,H571,ขายสินค้า!F:F)/(E571-I571),0),)</f>
        <v>0</v>
      </c>
      <c r="L571" s="12">
        <f t="shared" si="18"/>
        <v>0</v>
      </c>
      <c r="M571" s="13">
        <f t="shared" si="19"/>
        <v>0</v>
      </c>
    </row>
    <row r="572" spans="1:13">
      <c r="A572" s="14"/>
      <c r="B572" s="6"/>
      <c r="C572" s="7">
        <f>IFERROR(VLOOKUP(B572,ชื่อสินค้า!A:C,2,FALSE),)</f>
        <v>0</v>
      </c>
      <c r="D572" s="8" t="str">
        <f>IFERROR(VLOOKUP(B572,ชื่อสินค้า!A:D,4,FALSE),"")</f>
        <v/>
      </c>
      <c r="E572" s="9"/>
      <c r="F572" s="9"/>
      <c r="G572" s="8" t="str">
        <f t="shared" si="15"/>
        <v/>
      </c>
      <c r="H572" s="10">
        <f t="shared" si="16"/>
        <v>0</v>
      </c>
      <c r="I572" s="8">
        <f>IF(G572&lt;&gt;"",E572-SUMIFS(ขายสินค้า!E:E,ขายสินค้า!G:G,H572),)</f>
        <v>0</v>
      </c>
      <c r="J572" s="11">
        <f t="shared" si="17"/>
        <v>0</v>
      </c>
      <c r="K572" s="11">
        <f>IF(B572&lt;&gt;"", IFERROR(SUMIF(ขายสินค้า!G:G,H572,ขายสินค้า!F:F)/(E572-I572),0),)</f>
        <v>0</v>
      </c>
      <c r="L572" s="12">
        <f t="shared" si="18"/>
        <v>0</v>
      </c>
      <c r="M572" s="13">
        <f t="shared" si="19"/>
        <v>0</v>
      </c>
    </row>
    <row r="573" spans="1:13">
      <c r="A573" s="14"/>
      <c r="B573" s="6"/>
      <c r="C573" s="7">
        <f>IFERROR(VLOOKUP(B573,ชื่อสินค้า!A:C,2,FALSE),)</f>
        <v>0</v>
      </c>
      <c r="D573" s="8" t="str">
        <f>IFERROR(VLOOKUP(B573,ชื่อสินค้า!A:D,4,FALSE),"")</f>
        <v/>
      </c>
      <c r="E573" s="9"/>
      <c r="F573" s="9"/>
      <c r="G573" s="8" t="str">
        <f t="shared" si="15"/>
        <v/>
      </c>
      <c r="H573" s="10">
        <f t="shared" si="16"/>
        <v>0</v>
      </c>
      <c r="I573" s="8">
        <f>IF(G573&lt;&gt;"",E573-SUMIFS(ขายสินค้า!E:E,ขายสินค้า!G:G,H573),)</f>
        <v>0</v>
      </c>
      <c r="J573" s="11">
        <f t="shared" si="17"/>
        <v>0</v>
      </c>
      <c r="K573" s="11">
        <f>IF(B573&lt;&gt;"", IFERROR(SUMIF(ขายสินค้า!G:G,H573,ขายสินค้า!F:F)/(E573-I573),0),)</f>
        <v>0</v>
      </c>
      <c r="L573" s="12">
        <f t="shared" si="18"/>
        <v>0</v>
      </c>
      <c r="M573" s="13">
        <f t="shared" si="19"/>
        <v>0</v>
      </c>
    </row>
    <row r="574" spans="1:13">
      <c r="A574" s="14"/>
      <c r="B574" s="6"/>
      <c r="C574" s="7">
        <f>IFERROR(VLOOKUP(B574,ชื่อสินค้า!A:C,2,FALSE),)</f>
        <v>0</v>
      </c>
      <c r="D574" s="8" t="str">
        <f>IFERROR(VLOOKUP(B574,ชื่อสินค้า!A:D,4,FALSE),"")</f>
        <v/>
      </c>
      <c r="E574" s="9"/>
      <c r="F574" s="9"/>
      <c r="G574" s="8" t="str">
        <f t="shared" si="15"/>
        <v/>
      </c>
      <c r="H574" s="10">
        <f t="shared" si="16"/>
        <v>0</v>
      </c>
      <c r="I574" s="8">
        <f>IF(G574&lt;&gt;"",E574-SUMIFS(ขายสินค้า!E:E,ขายสินค้า!G:G,H574),)</f>
        <v>0</v>
      </c>
      <c r="J574" s="11">
        <f t="shared" si="17"/>
        <v>0</v>
      </c>
      <c r="K574" s="11">
        <f>IF(B574&lt;&gt;"", IFERROR(SUMIF(ขายสินค้า!G:G,H574,ขายสินค้า!F:F)/(E574-I574),0),)</f>
        <v>0</v>
      </c>
      <c r="L574" s="12">
        <f t="shared" si="18"/>
        <v>0</v>
      </c>
      <c r="M574" s="13">
        <f t="shared" si="19"/>
        <v>0</v>
      </c>
    </row>
    <row r="575" spans="1:13">
      <c r="A575" s="14"/>
      <c r="B575" s="6"/>
      <c r="C575" s="7">
        <f>IFERROR(VLOOKUP(B575,ชื่อสินค้า!A:C,2,FALSE),)</f>
        <v>0</v>
      </c>
      <c r="D575" s="8" t="str">
        <f>IFERROR(VLOOKUP(B575,ชื่อสินค้า!A:D,4,FALSE),"")</f>
        <v/>
      </c>
      <c r="E575" s="9"/>
      <c r="F575" s="9"/>
      <c r="G575" s="8" t="str">
        <f t="shared" si="15"/>
        <v/>
      </c>
      <c r="H575" s="10">
        <f t="shared" si="16"/>
        <v>0</v>
      </c>
      <c r="I575" s="8">
        <f>IF(G575&lt;&gt;"",E575-SUMIFS(ขายสินค้า!E:E,ขายสินค้า!G:G,H575),)</f>
        <v>0</v>
      </c>
      <c r="J575" s="11">
        <f t="shared" si="17"/>
        <v>0</v>
      </c>
      <c r="K575" s="11">
        <f>IF(B575&lt;&gt;"", IFERROR(SUMIF(ขายสินค้า!G:G,H575,ขายสินค้า!F:F)/(E575-I575),0),)</f>
        <v>0</v>
      </c>
      <c r="L575" s="12">
        <f t="shared" si="18"/>
        <v>0</v>
      </c>
      <c r="M575" s="13">
        <f t="shared" si="19"/>
        <v>0</v>
      </c>
    </row>
    <row r="576" spans="1:13">
      <c r="A576" s="14"/>
      <c r="B576" s="6"/>
      <c r="C576" s="7">
        <f>IFERROR(VLOOKUP(B576,ชื่อสินค้า!A:C,2,FALSE),)</f>
        <v>0</v>
      </c>
      <c r="D576" s="8" t="str">
        <f>IFERROR(VLOOKUP(B576,ชื่อสินค้า!A:D,4,FALSE),"")</f>
        <v/>
      </c>
      <c r="E576" s="9"/>
      <c r="F576" s="9"/>
      <c r="G576" s="8" t="str">
        <f t="shared" si="15"/>
        <v/>
      </c>
      <c r="H576" s="10">
        <f t="shared" si="16"/>
        <v>0</v>
      </c>
      <c r="I576" s="8">
        <f>IF(G576&lt;&gt;"",E576-SUMIFS(ขายสินค้า!E:E,ขายสินค้า!G:G,H576),)</f>
        <v>0</v>
      </c>
      <c r="J576" s="11">
        <f t="shared" si="17"/>
        <v>0</v>
      </c>
      <c r="K576" s="11">
        <f>IF(B576&lt;&gt;"", IFERROR(SUMIF(ขายสินค้า!G:G,H576,ขายสินค้า!F:F)/(E576-I576),0),)</f>
        <v>0</v>
      </c>
      <c r="L576" s="12">
        <f t="shared" si="18"/>
        <v>0</v>
      </c>
      <c r="M576" s="13">
        <f t="shared" si="19"/>
        <v>0</v>
      </c>
    </row>
    <row r="577" spans="1:13">
      <c r="A577" s="14"/>
      <c r="B577" s="6"/>
      <c r="C577" s="7">
        <f>IFERROR(VLOOKUP(B577,ชื่อสินค้า!A:C,2,FALSE),)</f>
        <v>0</v>
      </c>
      <c r="D577" s="8" t="str">
        <f>IFERROR(VLOOKUP(B577,ชื่อสินค้า!A:D,4,FALSE),"")</f>
        <v/>
      </c>
      <c r="E577" s="9"/>
      <c r="F577" s="9"/>
      <c r="G577" s="8" t="str">
        <f t="shared" si="15"/>
        <v/>
      </c>
      <c r="H577" s="10">
        <f t="shared" si="16"/>
        <v>0</v>
      </c>
      <c r="I577" s="8">
        <f>IF(G577&lt;&gt;"",E577-SUMIFS(ขายสินค้า!E:E,ขายสินค้า!G:G,H577),)</f>
        <v>0</v>
      </c>
      <c r="J577" s="11">
        <f t="shared" si="17"/>
        <v>0</v>
      </c>
      <c r="K577" s="11">
        <f>IF(B577&lt;&gt;"", IFERROR(SUMIF(ขายสินค้า!G:G,H577,ขายสินค้า!F:F)/(E577-I577),0),)</f>
        <v>0</v>
      </c>
      <c r="L577" s="12">
        <f t="shared" si="18"/>
        <v>0</v>
      </c>
      <c r="M577" s="13">
        <f t="shared" si="19"/>
        <v>0</v>
      </c>
    </row>
    <row r="578" spans="1:13">
      <c r="A578" s="14"/>
      <c r="B578" s="6"/>
      <c r="C578" s="7">
        <f>IFERROR(VLOOKUP(B578,ชื่อสินค้า!A:C,2,FALSE),)</f>
        <v>0</v>
      </c>
      <c r="D578" s="8" t="str">
        <f>IFERROR(VLOOKUP(B578,ชื่อสินค้า!A:D,4,FALSE),"")</f>
        <v/>
      </c>
      <c r="E578" s="9"/>
      <c r="F578" s="9"/>
      <c r="G578" s="8" t="str">
        <f t="shared" si="15"/>
        <v/>
      </c>
      <c r="H578" s="10">
        <f t="shared" si="16"/>
        <v>0</v>
      </c>
      <c r="I578" s="8">
        <f>IF(G578&lt;&gt;"",E578-SUMIFS(ขายสินค้า!E:E,ขายสินค้า!G:G,H578),)</f>
        <v>0</v>
      </c>
      <c r="J578" s="11">
        <f t="shared" si="17"/>
        <v>0</v>
      </c>
      <c r="K578" s="11">
        <f>IF(B578&lt;&gt;"", IFERROR(SUMIF(ขายสินค้า!G:G,H578,ขายสินค้า!F:F)/(E578-I578),0),)</f>
        <v>0</v>
      </c>
      <c r="L578" s="12">
        <f t="shared" si="18"/>
        <v>0</v>
      </c>
      <c r="M578" s="13">
        <f t="shared" si="19"/>
        <v>0</v>
      </c>
    </row>
    <row r="579" spans="1:13">
      <c r="A579" s="14"/>
      <c r="B579" s="6"/>
      <c r="C579" s="7">
        <f>IFERROR(VLOOKUP(B579,ชื่อสินค้า!A:C,2,FALSE),)</f>
        <v>0</v>
      </c>
      <c r="D579" s="8" t="str">
        <f>IFERROR(VLOOKUP(B579,ชื่อสินค้า!A:D,4,FALSE),"")</f>
        <v/>
      </c>
      <c r="E579" s="9"/>
      <c r="F579" s="9"/>
      <c r="G579" s="8" t="str">
        <f t="shared" si="15"/>
        <v/>
      </c>
      <c r="H579" s="10">
        <f t="shared" si="16"/>
        <v>0</v>
      </c>
      <c r="I579" s="8">
        <f>IF(G579&lt;&gt;"",E579-SUMIFS(ขายสินค้า!E:E,ขายสินค้า!G:G,H579),)</f>
        <v>0</v>
      </c>
      <c r="J579" s="11">
        <f t="shared" si="17"/>
        <v>0</v>
      </c>
      <c r="K579" s="11">
        <f>IF(B579&lt;&gt;"", IFERROR(SUMIF(ขายสินค้า!G:G,H579,ขายสินค้า!F:F)/(E579-I579),0),)</f>
        <v>0</v>
      </c>
      <c r="L579" s="12">
        <f t="shared" si="18"/>
        <v>0</v>
      </c>
      <c r="M579" s="13">
        <f t="shared" si="19"/>
        <v>0</v>
      </c>
    </row>
    <row r="580" spans="1:13">
      <c r="A580" s="14"/>
      <c r="B580" s="6"/>
      <c r="C580" s="7">
        <f>IFERROR(VLOOKUP(B580,ชื่อสินค้า!A:C,2,FALSE),)</f>
        <v>0</v>
      </c>
      <c r="D580" s="8" t="str">
        <f>IFERROR(VLOOKUP(B580,ชื่อสินค้า!A:D,4,FALSE),"")</f>
        <v/>
      </c>
      <c r="E580" s="9"/>
      <c r="F580" s="9"/>
      <c r="G580" s="8" t="str">
        <f t="shared" si="15"/>
        <v/>
      </c>
      <c r="H580" s="10">
        <f t="shared" si="16"/>
        <v>0</v>
      </c>
      <c r="I580" s="8">
        <f>IF(G580&lt;&gt;"",E580-SUMIFS(ขายสินค้า!E:E,ขายสินค้า!G:G,H580),)</f>
        <v>0</v>
      </c>
      <c r="J580" s="11">
        <f t="shared" si="17"/>
        <v>0</v>
      </c>
      <c r="K580" s="11">
        <f>IF(B580&lt;&gt;"", IFERROR(SUMIF(ขายสินค้า!G:G,H580,ขายสินค้า!F:F)/(E580-I580),0),)</f>
        <v>0</v>
      </c>
      <c r="L580" s="12">
        <f t="shared" si="18"/>
        <v>0</v>
      </c>
      <c r="M580" s="13">
        <f t="shared" si="19"/>
        <v>0</v>
      </c>
    </row>
    <row r="581" spans="1:13">
      <c r="A581" s="14"/>
      <c r="B581" s="6"/>
      <c r="C581" s="7">
        <f>IFERROR(VLOOKUP(B581,ชื่อสินค้า!A:C,2,FALSE),)</f>
        <v>0</v>
      </c>
      <c r="D581" s="8" t="str">
        <f>IFERROR(VLOOKUP(B581,ชื่อสินค้า!A:D,4,FALSE),"")</f>
        <v/>
      </c>
      <c r="E581" s="9"/>
      <c r="F581" s="9"/>
      <c r="G581" s="8" t="str">
        <f t="shared" si="15"/>
        <v/>
      </c>
      <c r="H581" s="10">
        <f t="shared" si="16"/>
        <v>0</v>
      </c>
      <c r="I581" s="8">
        <f>IF(G581&lt;&gt;"",E581-SUMIFS(ขายสินค้า!E:E,ขายสินค้า!G:G,H581),)</f>
        <v>0</v>
      </c>
      <c r="J581" s="11">
        <f t="shared" si="17"/>
        <v>0</v>
      </c>
      <c r="K581" s="11">
        <f>IF(B581&lt;&gt;"", IFERROR(SUMIF(ขายสินค้า!G:G,H581,ขายสินค้า!F:F)/(E581-I581),0),)</f>
        <v>0</v>
      </c>
      <c r="L581" s="12">
        <f t="shared" si="18"/>
        <v>0</v>
      </c>
      <c r="M581" s="13">
        <f t="shared" si="19"/>
        <v>0</v>
      </c>
    </row>
    <row r="582" spans="1:13">
      <c r="A582" s="14"/>
      <c r="B582" s="6"/>
      <c r="C582" s="7">
        <f>IFERROR(VLOOKUP(B582,ชื่อสินค้า!A:C,2,FALSE),)</f>
        <v>0</v>
      </c>
      <c r="D582" s="8" t="str">
        <f>IFERROR(VLOOKUP(B582,ชื่อสินค้า!A:D,4,FALSE),"")</f>
        <v/>
      </c>
      <c r="E582" s="9"/>
      <c r="F582" s="9"/>
      <c r="G582" s="8" t="str">
        <f t="shared" si="15"/>
        <v/>
      </c>
      <c r="H582" s="10">
        <f t="shared" si="16"/>
        <v>0</v>
      </c>
      <c r="I582" s="8">
        <f>IF(G582&lt;&gt;"",E582-SUMIFS(ขายสินค้า!E:E,ขายสินค้า!G:G,H582),)</f>
        <v>0</v>
      </c>
      <c r="J582" s="11">
        <f t="shared" si="17"/>
        <v>0</v>
      </c>
      <c r="K582" s="11">
        <f>IF(B582&lt;&gt;"", IFERROR(SUMIF(ขายสินค้า!G:G,H582,ขายสินค้า!F:F)/(E582-I582),0),)</f>
        <v>0</v>
      </c>
      <c r="L582" s="12">
        <f t="shared" si="18"/>
        <v>0</v>
      </c>
      <c r="M582" s="13">
        <f t="shared" si="19"/>
        <v>0</v>
      </c>
    </row>
    <row r="583" spans="1:13">
      <c r="A583" s="14"/>
      <c r="B583" s="6"/>
      <c r="C583" s="7">
        <f>IFERROR(VLOOKUP(B583,ชื่อสินค้า!A:C,2,FALSE),)</f>
        <v>0</v>
      </c>
      <c r="D583" s="8" t="str">
        <f>IFERROR(VLOOKUP(B583,ชื่อสินค้า!A:D,4,FALSE),"")</f>
        <v/>
      </c>
      <c r="E583" s="9"/>
      <c r="F583" s="9"/>
      <c r="G583" s="8" t="str">
        <f t="shared" si="15"/>
        <v/>
      </c>
      <c r="H583" s="10">
        <f t="shared" si="16"/>
        <v>0</v>
      </c>
      <c r="I583" s="8">
        <f>IF(G583&lt;&gt;"",E583-SUMIFS(ขายสินค้า!E:E,ขายสินค้า!G:G,H583),)</f>
        <v>0</v>
      </c>
      <c r="J583" s="11">
        <f t="shared" si="17"/>
        <v>0</v>
      </c>
      <c r="K583" s="11">
        <f>IF(B583&lt;&gt;"", IFERROR(SUMIF(ขายสินค้า!G:G,H583,ขายสินค้า!F:F)/(E583-I583),0),)</f>
        <v>0</v>
      </c>
      <c r="L583" s="12">
        <f t="shared" si="18"/>
        <v>0</v>
      </c>
      <c r="M583" s="13">
        <f t="shared" si="19"/>
        <v>0</v>
      </c>
    </row>
    <row r="584" spans="1:13">
      <c r="A584" s="14"/>
      <c r="B584" s="6"/>
      <c r="C584" s="7">
        <f>IFERROR(VLOOKUP(B584,ชื่อสินค้า!A:C,2,FALSE),)</f>
        <v>0</v>
      </c>
      <c r="D584" s="8" t="str">
        <f>IFERROR(VLOOKUP(B584,ชื่อสินค้า!A:D,4,FALSE),"")</f>
        <v/>
      </c>
      <c r="E584" s="9"/>
      <c r="F584" s="9"/>
      <c r="G584" s="8" t="str">
        <f t="shared" si="15"/>
        <v/>
      </c>
      <c r="H584" s="10">
        <f t="shared" si="16"/>
        <v>0</v>
      </c>
      <c r="I584" s="8">
        <f>IF(G584&lt;&gt;"",E584-SUMIFS(ขายสินค้า!E:E,ขายสินค้า!G:G,H584),)</f>
        <v>0</v>
      </c>
      <c r="J584" s="11">
        <f t="shared" si="17"/>
        <v>0</v>
      </c>
      <c r="K584" s="11">
        <f>IF(B584&lt;&gt;"", IFERROR(SUMIF(ขายสินค้า!G:G,H584,ขายสินค้า!F:F)/(E584-I584),0),)</f>
        <v>0</v>
      </c>
      <c r="L584" s="12">
        <f t="shared" si="18"/>
        <v>0</v>
      </c>
      <c r="M584" s="13">
        <f t="shared" si="19"/>
        <v>0</v>
      </c>
    </row>
    <row r="585" spans="1:13">
      <c r="A585" s="14"/>
      <c r="B585" s="6"/>
      <c r="C585" s="7">
        <f>IFERROR(VLOOKUP(B585,ชื่อสินค้า!A:C,2,FALSE),)</f>
        <v>0</v>
      </c>
      <c r="D585" s="8" t="str">
        <f>IFERROR(VLOOKUP(B585,ชื่อสินค้า!A:D,4,FALSE),"")</f>
        <v/>
      </c>
      <c r="E585" s="9"/>
      <c r="F585" s="9"/>
      <c r="G585" s="8" t="str">
        <f t="shared" si="15"/>
        <v/>
      </c>
      <c r="H585" s="10">
        <f t="shared" si="16"/>
        <v>0</v>
      </c>
      <c r="I585" s="8">
        <f>IF(G585&lt;&gt;"",E585-SUMIFS(ขายสินค้า!E:E,ขายสินค้า!G:G,H585),)</f>
        <v>0</v>
      </c>
      <c r="J585" s="11">
        <f t="shared" si="17"/>
        <v>0</v>
      </c>
      <c r="K585" s="11">
        <f>IF(B585&lt;&gt;"", IFERROR(SUMIF(ขายสินค้า!G:G,H585,ขายสินค้า!F:F)/(E585-I585),0),)</f>
        <v>0</v>
      </c>
      <c r="L585" s="12">
        <f t="shared" si="18"/>
        <v>0</v>
      </c>
      <c r="M585" s="13">
        <f t="shared" si="19"/>
        <v>0</v>
      </c>
    </row>
    <row r="586" spans="1:13">
      <c r="A586" s="14"/>
      <c r="B586" s="6"/>
      <c r="C586" s="7">
        <f>IFERROR(VLOOKUP(B586,ชื่อสินค้า!A:C,2,FALSE),)</f>
        <v>0</v>
      </c>
      <c r="D586" s="8" t="str">
        <f>IFERROR(VLOOKUP(B586,ชื่อสินค้า!A:D,4,FALSE),"")</f>
        <v/>
      </c>
      <c r="E586" s="9"/>
      <c r="F586" s="9"/>
      <c r="G586" s="8" t="str">
        <f t="shared" si="15"/>
        <v/>
      </c>
      <c r="H586" s="10">
        <f t="shared" si="16"/>
        <v>0</v>
      </c>
      <c r="I586" s="8">
        <f>IF(G586&lt;&gt;"",E586-SUMIFS(ขายสินค้า!E:E,ขายสินค้า!G:G,H586),)</f>
        <v>0</v>
      </c>
      <c r="J586" s="11">
        <f t="shared" si="17"/>
        <v>0</v>
      </c>
      <c r="K586" s="11">
        <f>IF(B586&lt;&gt;"", IFERROR(SUMIF(ขายสินค้า!G:G,H586,ขายสินค้า!F:F)/(E586-I586),0),)</f>
        <v>0</v>
      </c>
      <c r="L586" s="12">
        <f t="shared" si="18"/>
        <v>0</v>
      </c>
      <c r="M586" s="13">
        <f t="shared" si="19"/>
        <v>0</v>
      </c>
    </row>
    <row r="587" spans="1:13">
      <c r="A587" s="14"/>
      <c r="B587" s="6"/>
      <c r="C587" s="7">
        <f>IFERROR(VLOOKUP(B587,ชื่อสินค้า!A:C,2,FALSE),)</f>
        <v>0</v>
      </c>
      <c r="D587" s="8" t="str">
        <f>IFERROR(VLOOKUP(B587,ชื่อสินค้า!A:D,4,FALSE),"")</f>
        <v/>
      </c>
      <c r="E587" s="9"/>
      <c r="F587" s="9"/>
      <c r="G587" s="8" t="str">
        <f t="shared" si="15"/>
        <v/>
      </c>
      <c r="H587" s="10">
        <f t="shared" si="16"/>
        <v>0</v>
      </c>
      <c r="I587" s="8">
        <f>IF(G587&lt;&gt;"",E587-SUMIFS(ขายสินค้า!E:E,ขายสินค้า!G:G,H587),)</f>
        <v>0</v>
      </c>
      <c r="J587" s="11">
        <f t="shared" si="17"/>
        <v>0</v>
      </c>
      <c r="K587" s="11">
        <f>IF(B587&lt;&gt;"", IFERROR(SUMIF(ขายสินค้า!G:G,H587,ขายสินค้า!F:F)/(E587-I587),0),)</f>
        <v>0</v>
      </c>
      <c r="L587" s="12">
        <f t="shared" si="18"/>
        <v>0</v>
      </c>
      <c r="M587" s="13">
        <f t="shared" si="19"/>
        <v>0</v>
      </c>
    </row>
    <row r="588" spans="1:13">
      <c r="A588" s="14"/>
      <c r="B588" s="6"/>
      <c r="C588" s="7">
        <f>IFERROR(VLOOKUP(B588,ชื่อสินค้า!A:C,2,FALSE),)</f>
        <v>0</v>
      </c>
      <c r="D588" s="8" t="str">
        <f>IFERROR(VLOOKUP(B588,ชื่อสินค้า!A:D,4,FALSE),"")</f>
        <v/>
      </c>
      <c r="E588" s="9"/>
      <c r="F588" s="9"/>
      <c r="G588" s="8" t="str">
        <f t="shared" si="15"/>
        <v/>
      </c>
      <c r="H588" s="10">
        <f t="shared" si="16"/>
        <v>0</v>
      </c>
      <c r="I588" s="8">
        <f>IF(G588&lt;&gt;"",E588-SUMIFS(ขายสินค้า!E:E,ขายสินค้า!G:G,H588),)</f>
        <v>0</v>
      </c>
      <c r="J588" s="11">
        <f t="shared" si="17"/>
        <v>0</v>
      </c>
      <c r="K588" s="11">
        <f>IF(B588&lt;&gt;"", IFERROR(SUMIF(ขายสินค้า!G:G,H588,ขายสินค้า!F:F)/(E588-I588),0),)</f>
        <v>0</v>
      </c>
      <c r="L588" s="12">
        <f t="shared" si="18"/>
        <v>0</v>
      </c>
      <c r="M588" s="13">
        <f t="shared" si="19"/>
        <v>0</v>
      </c>
    </row>
    <row r="589" spans="1:13">
      <c r="A589" s="14"/>
      <c r="B589" s="6"/>
      <c r="C589" s="7">
        <f>IFERROR(VLOOKUP(B589,ชื่อสินค้า!A:C,2,FALSE),)</f>
        <v>0</v>
      </c>
      <c r="D589" s="8" t="str">
        <f>IFERROR(VLOOKUP(B589,ชื่อสินค้า!A:D,4,FALSE),"")</f>
        <v/>
      </c>
      <c r="E589" s="9"/>
      <c r="F589" s="9"/>
      <c r="G589" s="8" t="str">
        <f t="shared" si="15"/>
        <v/>
      </c>
      <c r="H589" s="10">
        <f t="shared" si="16"/>
        <v>0</v>
      </c>
      <c r="I589" s="8">
        <f>IF(G589&lt;&gt;"",E589-SUMIFS(ขายสินค้า!E:E,ขายสินค้า!G:G,H589),)</f>
        <v>0</v>
      </c>
      <c r="J589" s="11">
        <f t="shared" si="17"/>
        <v>0</v>
      </c>
      <c r="K589" s="11">
        <f>IF(B589&lt;&gt;"", IFERROR(SUMIF(ขายสินค้า!G:G,H589,ขายสินค้า!F:F)/(E589-I589),0),)</f>
        <v>0</v>
      </c>
      <c r="L589" s="12">
        <f t="shared" si="18"/>
        <v>0</v>
      </c>
      <c r="M589" s="13">
        <f t="shared" si="19"/>
        <v>0</v>
      </c>
    </row>
    <row r="590" spans="1:13">
      <c r="A590" s="14"/>
      <c r="B590" s="6"/>
      <c r="C590" s="7">
        <f>IFERROR(VLOOKUP(B590,ชื่อสินค้า!A:C,2,FALSE),)</f>
        <v>0</v>
      </c>
      <c r="D590" s="8" t="str">
        <f>IFERROR(VLOOKUP(B590,ชื่อสินค้า!A:D,4,FALSE),"")</f>
        <v/>
      </c>
      <c r="E590" s="9"/>
      <c r="F590" s="9"/>
      <c r="G590" s="8" t="str">
        <f t="shared" si="15"/>
        <v/>
      </c>
      <c r="H590" s="10">
        <f t="shared" si="16"/>
        <v>0</v>
      </c>
      <c r="I590" s="8">
        <f>IF(G590&lt;&gt;"",E590-SUMIFS(ขายสินค้า!E:E,ขายสินค้า!G:G,H590),)</f>
        <v>0</v>
      </c>
      <c r="J590" s="11">
        <f t="shared" si="17"/>
        <v>0</v>
      </c>
      <c r="K590" s="11">
        <f>IF(B590&lt;&gt;"", IFERROR(SUMIF(ขายสินค้า!G:G,H590,ขายสินค้า!F:F)/(E590-I590),0),)</f>
        <v>0</v>
      </c>
      <c r="L590" s="12">
        <f t="shared" si="18"/>
        <v>0</v>
      </c>
      <c r="M590" s="13">
        <f t="shared" si="19"/>
        <v>0</v>
      </c>
    </row>
    <row r="591" spans="1:13">
      <c r="A591" s="14"/>
      <c r="B591" s="6"/>
      <c r="C591" s="7">
        <f>IFERROR(VLOOKUP(B591,ชื่อสินค้า!A:C,2,FALSE),)</f>
        <v>0</v>
      </c>
      <c r="D591" s="8" t="str">
        <f>IFERROR(VLOOKUP(B591,ชื่อสินค้า!A:D,4,FALSE),"")</f>
        <v/>
      </c>
      <c r="E591" s="9"/>
      <c r="F591" s="9"/>
      <c r="G591" s="8" t="str">
        <f t="shared" si="15"/>
        <v/>
      </c>
      <c r="H591" s="10">
        <f t="shared" si="16"/>
        <v>0</v>
      </c>
      <c r="I591" s="8">
        <f>IF(G591&lt;&gt;"",E591-SUMIFS(ขายสินค้า!E:E,ขายสินค้า!G:G,H591),)</f>
        <v>0</v>
      </c>
      <c r="J591" s="11">
        <f t="shared" si="17"/>
        <v>0</v>
      </c>
      <c r="K591" s="11">
        <f>IF(B591&lt;&gt;"", IFERROR(SUMIF(ขายสินค้า!G:G,H591,ขายสินค้า!F:F)/(E591-I591),0),)</f>
        <v>0</v>
      </c>
      <c r="L591" s="12">
        <f t="shared" si="18"/>
        <v>0</v>
      </c>
      <c r="M591" s="13">
        <f t="shared" si="19"/>
        <v>0</v>
      </c>
    </row>
    <row r="592" spans="1:13">
      <c r="A592" s="14"/>
      <c r="B592" s="6"/>
      <c r="C592" s="7">
        <f>IFERROR(VLOOKUP(B592,ชื่อสินค้า!A:C,2,FALSE),)</f>
        <v>0</v>
      </c>
      <c r="D592" s="8" t="str">
        <f>IFERROR(VLOOKUP(B592,ชื่อสินค้า!A:D,4,FALSE),"")</f>
        <v/>
      </c>
      <c r="E592" s="9"/>
      <c r="F592" s="9"/>
      <c r="G592" s="8" t="str">
        <f t="shared" si="15"/>
        <v/>
      </c>
      <c r="H592" s="10">
        <f t="shared" si="16"/>
        <v>0</v>
      </c>
      <c r="I592" s="8">
        <f>IF(G592&lt;&gt;"",E592-SUMIFS(ขายสินค้า!E:E,ขายสินค้า!G:G,H592),)</f>
        <v>0</v>
      </c>
      <c r="J592" s="11">
        <f t="shared" si="17"/>
        <v>0</v>
      </c>
      <c r="K592" s="11">
        <f>IF(B592&lt;&gt;"", IFERROR(SUMIF(ขายสินค้า!G:G,H592,ขายสินค้า!F:F)/(E592-I592),0),)</f>
        <v>0</v>
      </c>
      <c r="L592" s="12">
        <f t="shared" si="18"/>
        <v>0</v>
      </c>
      <c r="M592" s="13">
        <f t="shared" si="19"/>
        <v>0</v>
      </c>
    </row>
    <row r="593" spans="1:13">
      <c r="A593" s="14"/>
      <c r="B593" s="6"/>
      <c r="C593" s="7">
        <f>IFERROR(VLOOKUP(B593,ชื่อสินค้า!A:C,2,FALSE),)</f>
        <v>0</v>
      </c>
      <c r="D593" s="8" t="str">
        <f>IFERROR(VLOOKUP(B593,ชื่อสินค้า!A:D,4,FALSE),"")</f>
        <v/>
      </c>
      <c r="E593" s="9"/>
      <c r="F593" s="9"/>
      <c r="G593" s="8" t="str">
        <f t="shared" si="15"/>
        <v/>
      </c>
      <c r="H593" s="10">
        <f t="shared" si="16"/>
        <v>0</v>
      </c>
      <c r="I593" s="8">
        <f>IF(G593&lt;&gt;"",E593-SUMIFS(ขายสินค้า!E:E,ขายสินค้า!G:G,H593),)</f>
        <v>0</v>
      </c>
      <c r="J593" s="11">
        <f t="shared" si="17"/>
        <v>0</v>
      </c>
      <c r="K593" s="11">
        <f>IF(B593&lt;&gt;"", IFERROR(SUMIF(ขายสินค้า!G:G,H593,ขายสินค้า!F:F)/(E593-I593),0),)</f>
        <v>0</v>
      </c>
      <c r="L593" s="12">
        <f t="shared" si="18"/>
        <v>0</v>
      </c>
      <c r="M593" s="13">
        <f t="shared" si="19"/>
        <v>0</v>
      </c>
    </row>
    <row r="594" spans="1:13">
      <c r="A594" s="14"/>
      <c r="B594" s="6"/>
      <c r="C594" s="7">
        <f>IFERROR(VLOOKUP(B594,ชื่อสินค้า!A:C,2,FALSE),)</f>
        <v>0</v>
      </c>
      <c r="D594" s="8" t="str">
        <f>IFERROR(VLOOKUP(B594,ชื่อสินค้า!A:D,4,FALSE),"")</f>
        <v/>
      </c>
      <c r="E594" s="9"/>
      <c r="F594" s="9"/>
      <c r="G594" s="8" t="str">
        <f t="shared" si="15"/>
        <v/>
      </c>
      <c r="H594" s="10">
        <f t="shared" si="16"/>
        <v>0</v>
      </c>
      <c r="I594" s="8">
        <f>IF(G594&lt;&gt;"",E594-SUMIFS(ขายสินค้า!E:E,ขายสินค้า!G:G,H594),)</f>
        <v>0</v>
      </c>
      <c r="J594" s="11">
        <f t="shared" si="17"/>
        <v>0</v>
      </c>
      <c r="K594" s="11">
        <f>IF(B594&lt;&gt;"", IFERROR(SUMIF(ขายสินค้า!G:G,H594,ขายสินค้า!F:F)/(E594-I594),0),)</f>
        <v>0</v>
      </c>
      <c r="L594" s="12">
        <f t="shared" si="18"/>
        <v>0</v>
      </c>
      <c r="M594" s="13">
        <f t="shared" si="19"/>
        <v>0</v>
      </c>
    </row>
    <row r="595" spans="1:13">
      <c r="A595" s="14"/>
      <c r="B595" s="6"/>
      <c r="C595" s="7">
        <f>IFERROR(VLOOKUP(B595,ชื่อสินค้า!A:C,2,FALSE),)</f>
        <v>0</v>
      </c>
      <c r="D595" s="8" t="str">
        <f>IFERROR(VLOOKUP(B595,ชื่อสินค้า!A:D,4,FALSE),"")</f>
        <v/>
      </c>
      <c r="E595" s="9"/>
      <c r="F595" s="9"/>
      <c r="G595" s="8" t="str">
        <f t="shared" si="15"/>
        <v/>
      </c>
      <c r="H595" s="10">
        <f t="shared" si="16"/>
        <v>0</v>
      </c>
      <c r="I595" s="8">
        <f>IF(G595&lt;&gt;"",E595-SUMIFS(ขายสินค้า!E:E,ขายสินค้า!G:G,H595),)</f>
        <v>0</v>
      </c>
      <c r="J595" s="11">
        <f t="shared" si="17"/>
        <v>0</v>
      </c>
      <c r="K595" s="11">
        <f>IF(B595&lt;&gt;"", IFERROR(SUMIF(ขายสินค้า!G:G,H595,ขายสินค้า!F:F)/(E595-I595),0),)</f>
        <v>0</v>
      </c>
      <c r="L595" s="12">
        <f t="shared" si="18"/>
        <v>0</v>
      </c>
      <c r="M595" s="13">
        <f t="shared" si="19"/>
        <v>0</v>
      </c>
    </row>
    <row r="596" spans="1:13">
      <c r="A596" s="14"/>
      <c r="B596" s="6"/>
      <c r="C596" s="7">
        <f>IFERROR(VLOOKUP(B596,ชื่อสินค้า!A:C,2,FALSE),)</f>
        <v>0</v>
      </c>
      <c r="D596" s="8" t="str">
        <f>IFERROR(VLOOKUP(B596,ชื่อสินค้า!A:D,4,FALSE),"")</f>
        <v/>
      </c>
      <c r="E596" s="9"/>
      <c r="F596" s="9"/>
      <c r="G596" s="8" t="str">
        <f t="shared" si="15"/>
        <v/>
      </c>
      <c r="H596" s="10">
        <f t="shared" si="16"/>
        <v>0</v>
      </c>
      <c r="I596" s="8">
        <f>IF(G596&lt;&gt;"",E596-SUMIFS(ขายสินค้า!E:E,ขายสินค้า!G:G,H596),)</f>
        <v>0</v>
      </c>
      <c r="J596" s="11">
        <f t="shared" si="17"/>
        <v>0</v>
      </c>
      <c r="K596" s="11">
        <f>IF(B596&lt;&gt;"", IFERROR(SUMIF(ขายสินค้า!G:G,H596,ขายสินค้า!F:F)/(E596-I596),0),)</f>
        <v>0</v>
      </c>
      <c r="L596" s="12">
        <f t="shared" si="18"/>
        <v>0</v>
      </c>
      <c r="M596" s="13">
        <f t="shared" si="19"/>
        <v>0</v>
      </c>
    </row>
    <row r="597" spans="1:13">
      <c r="A597" s="14"/>
      <c r="B597" s="6"/>
      <c r="C597" s="7">
        <f>IFERROR(VLOOKUP(B597,ชื่อสินค้า!A:C,2,FALSE),)</f>
        <v>0</v>
      </c>
      <c r="D597" s="8" t="str">
        <f>IFERROR(VLOOKUP(B597,ชื่อสินค้า!A:D,4,FALSE),"")</f>
        <v/>
      </c>
      <c r="E597" s="9"/>
      <c r="F597" s="9"/>
      <c r="G597" s="8" t="str">
        <f t="shared" si="15"/>
        <v/>
      </c>
      <c r="H597" s="10">
        <f t="shared" si="16"/>
        <v>0</v>
      </c>
      <c r="I597" s="8">
        <f>IF(G597&lt;&gt;"",E597-SUMIFS(ขายสินค้า!E:E,ขายสินค้า!G:G,H597),)</f>
        <v>0</v>
      </c>
      <c r="J597" s="11">
        <f t="shared" si="17"/>
        <v>0</v>
      </c>
      <c r="K597" s="11">
        <f>IF(B597&lt;&gt;"", IFERROR(SUMIF(ขายสินค้า!G:G,H597,ขายสินค้า!F:F)/(E597-I597),0),)</f>
        <v>0</v>
      </c>
      <c r="L597" s="12">
        <f t="shared" si="18"/>
        <v>0</v>
      </c>
      <c r="M597" s="13">
        <f t="shared" si="19"/>
        <v>0</v>
      </c>
    </row>
    <row r="598" spans="1:13">
      <c r="A598" s="14"/>
      <c r="B598" s="6"/>
      <c r="C598" s="7">
        <f>IFERROR(VLOOKUP(B598,ชื่อสินค้า!A:C,2,FALSE),)</f>
        <v>0</v>
      </c>
      <c r="D598" s="8" t="str">
        <f>IFERROR(VLOOKUP(B598,ชื่อสินค้า!A:D,4,FALSE),"")</f>
        <v/>
      </c>
      <c r="E598" s="9"/>
      <c r="F598" s="9"/>
      <c r="G598" s="8" t="str">
        <f t="shared" si="15"/>
        <v/>
      </c>
      <c r="H598" s="10">
        <f t="shared" si="16"/>
        <v>0</v>
      </c>
      <c r="I598" s="8">
        <f>IF(G598&lt;&gt;"",E598-SUMIFS(ขายสินค้า!E:E,ขายสินค้า!G:G,H598),)</f>
        <v>0</v>
      </c>
      <c r="J598" s="11">
        <f t="shared" si="17"/>
        <v>0</v>
      </c>
      <c r="K598" s="11">
        <f>IF(B598&lt;&gt;"", IFERROR(SUMIF(ขายสินค้า!G:G,H598,ขายสินค้า!F:F)/(E598-I598),0),)</f>
        <v>0</v>
      </c>
      <c r="L598" s="12">
        <f t="shared" si="18"/>
        <v>0</v>
      </c>
      <c r="M598" s="13">
        <f t="shared" si="19"/>
        <v>0</v>
      </c>
    </row>
    <row r="599" spans="1:13">
      <c r="A599" s="14"/>
      <c r="B599" s="6"/>
      <c r="C599" s="7">
        <f>IFERROR(VLOOKUP(B599,ชื่อสินค้า!A:C,2,FALSE),)</f>
        <v>0</v>
      </c>
      <c r="D599" s="8" t="str">
        <f>IFERROR(VLOOKUP(B599,ชื่อสินค้า!A:D,4,FALSE),"")</f>
        <v/>
      </c>
      <c r="E599" s="9"/>
      <c r="F599" s="9"/>
      <c r="G599" s="8" t="str">
        <f t="shared" si="15"/>
        <v/>
      </c>
      <c r="H599" s="10">
        <f t="shared" si="16"/>
        <v>0</v>
      </c>
      <c r="I599" s="8">
        <f>IF(G599&lt;&gt;"",E599-SUMIFS(ขายสินค้า!E:E,ขายสินค้า!G:G,H599),)</f>
        <v>0</v>
      </c>
      <c r="J599" s="11">
        <f t="shared" si="17"/>
        <v>0</v>
      </c>
      <c r="K599" s="11">
        <f>IF(B599&lt;&gt;"", IFERROR(SUMIF(ขายสินค้า!G:G,H599,ขายสินค้า!F:F)/(E599-I599),0),)</f>
        <v>0</v>
      </c>
      <c r="L599" s="12">
        <f t="shared" si="18"/>
        <v>0</v>
      </c>
      <c r="M599" s="13">
        <f t="shared" si="19"/>
        <v>0</v>
      </c>
    </row>
    <row r="600" spans="1:13">
      <c r="A600" s="14"/>
      <c r="B600" s="6"/>
      <c r="C600" s="7">
        <f>IFERROR(VLOOKUP(B600,ชื่อสินค้า!A:C,2,FALSE),)</f>
        <v>0</v>
      </c>
      <c r="D600" s="8" t="str">
        <f>IFERROR(VLOOKUP(B600,ชื่อสินค้า!A:D,4,FALSE),"")</f>
        <v/>
      </c>
      <c r="E600" s="9"/>
      <c r="F600" s="9"/>
      <c r="G600" s="8" t="str">
        <f t="shared" si="15"/>
        <v/>
      </c>
      <c r="H600" s="10">
        <f t="shared" si="16"/>
        <v>0</v>
      </c>
      <c r="I600" s="8">
        <f>IF(G600&lt;&gt;"",E600-SUMIFS(ขายสินค้า!E:E,ขายสินค้า!G:G,H600),)</f>
        <v>0</v>
      </c>
      <c r="J600" s="11">
        <f t="shared" si="17"/>
        <v>0</v>
      </c>
      <c r="K600" s="11">
        <f>IF(B600&lt;&gt;"", IFERROR(SUMIF(ขายสินค้า!G:G,H600,ขายสินค้า!F:F)/(E600-I600),0),)</f>
        <v>0</v>
      </c>
      <c r="L600" s="12">
        <f t="shared" si="18"/>
        <v>0</v>
      </c>
      <c r="M600" s="13">
        <f t="shared" si="19"/>
        <v>0</v>
      </c>
    </row>
    <row r="601" spans="1:13">
      <c r="A601" s="14"/>
      <c r="B601" s="6"/>
      <c r="C601" s="7">
        <f>IFERROR(VLOOKUP(B601,ชื่อสินค้า!A:C,2,FALSE),)</f>
        <v>0</v>
      </c>
      <c r="D601" s="8" t="str">
        <f>IFERROR(VLOOKUP(B601,ชื่อสินค้า!A:D,4,FALSE),"")</f>
        <v/>
      </c>
      <c r="E601" s="9"/>
      <c r="F601" s="9"/>
      <c r="G601" s="8" t="str">
        <f t="shared" si="15"/>
        <v/>
      </c>
      <c r="H601" s="10">
        <f t="shared" si="16"/>
        <v>0</v>
      </c>
      <c r="I601" s="8">
        <f>IF(G601&lt;&gt;"",E601-SUMIFS(ขายสินค้า!E:E,ขายสินค้า!G:G,H601),)</f>
        <v>0</v>
      </c>
      <c r="J601" s="11">
        <f t="shared" si="17"/>
        <v>0</v>
      </c>
      <c r="K601" s="11">
        <f>IF(B601&lt;&gt;"", IFERROR(SUMIF(ขายสินค้า!G:G,H601,ขายสินค้า!F:F)/(E601-I601),0),)</f>
        <v>0</v>
      </c>
      <c r="L601" s="12">
        <f t="shared" si="18"/>
        <v>0</v>
      </c>
      <c r="M601" s="13">
        <f t="shared" si="19"/>
        <v>0</v>
      </c>
    </row>
    <row r="602" spans="1:13">
      <c r="A602" s="14"/>
      <c r="B602" s="6"/>
      <c r="C602" s="7">
        <f>IFERROR(VLOOKUP(B602,ชื่อสินค้า!A:C,2,FALSE),)</f>
        <v>0</v>
      </c>
      <c r="D602" s="8" t="str">
        <f>IFERROR(VLOOKUP(B602,ชื่อสินค้า!A:D,4,FALSE),"")</f>
        <v/>
      </c>
      <c r="E602" s="9"/>
      <c r="F602" s="9"/>
      <c r="G602" s="8" t="str">
        <f t="shared" si="15"/>
        <v/>
      </c>
      <c r="H602" s="10">
        <f t="shared" si="16"/>
        <v>0</v>
      </c>
      <c r="I602" s="8">
        <f>IF(G602&lt;&gt;"",E602-SUMIFS(ขายสินค้า!E:E,ขายสินค้า!G:G,H602),)</f>
        <v>0</v>
      </c>
      <c r="J602" s="11">
        <f t="shared" si="17"/>
        <v>0</v>
      </c>
      <c r="K602" s="11">
        <f>IF(B602&lt;&gt;"", IFERROR(SUMIF(ขายสินค้า!G:G,H602,ขายสินค้า!F:F)/(E602-I602),0),)</f>
        <v>0</v>
      </c>
      <c r="L602" s="12">
        <f t="shared" si="18"/>
        <v>0</v>
      </c>
      <c r="M602" s="13">
        <f t="shared" si="19"/>
        <v>0</v>
      </c>
    </row>
    <row r="603" spans="1:13">
      <c r="A603" s="14"/>
      <c r="B603" s="6"/>
      <c r="C603" s="7">
        <f>IFERROR(VLOOKUP(B603,ชื่อสินค้า!A:C,2,FALSE),)</f>
        <v>0</v>
      </c>
      <c r="D603" s="8" t="str">
        <f>IFERROR(VLOOKUP(B603,ชื่อสินค้า!A:D,4,FALSE),"")</f>
        <v/>
      </c>
      <c r="E603" s="9"/>
      <c r="F603" s="9"/>
      <c r="G603" s="8" t="str">
        <f t="shared" si="15"/>
        <v/>
      </c>
      <c r="H603" s="10">
        <f t="shared" si="16"/>
        <v>0</v>
      </c>
      <c r="I603" s="8">
        <f>IF(G603&lt;&gt;"",E603-SUMIFS(ขายสินค้า!E:E,ขายสินค้า!G:G,H603),)</f>
        <v>0</v>
      </c>
      <c r="J603" s="11">
        <f t="shared" si="17"/>
        <v>0</v>
      </c>
      <c r="K603" s="11">
        <f>IF(B603&lt;&gt;"", IFERROR(SUMIF(ขายสินค้า!G:G,H603,ขายสินค้า!F:F)/(E603-I603),0),)</f>
        <v>0</v>
      </c>
      <c r="L603" s="12">
        <f t="shared" si="18"/>
        <v>0</v>
      </c>
      <c r="M603" s="13">
        <f t="shared" si="19"/>
        <v>0</v>
      </c>
    </row>
    <row r="604" spans="1:13">
      <c r="A604" s="14"/>
      <c r="B604" s="6"/>
      <c r="C604" s="7">
        <f>IFERROR(VLOOKUP(B604,ชื่อสินค้า!A:C,2,FALSE),)</f>
        <v>0</v>
      </c>
      <c r="D604" s="8" t="str">
        <f>IFERROR(VLOOKUP(B604,ชื่อสินค้า!A:D,4,FALSE),"")</f>
        <v/>
      </c>
      <c r="E604" s="9"/>
      <c r="F604" s="9"/>
      <c r="G604" s="8" t="str">
        <f t="shared" si="15"/>
        <v/>
      </c>
      <c r="H604" s="10">
        <f t="shared" si="16"/>
        <v>0</v>
      </c>
      <c r="I604" s="8">
        <f>IF(G604&lt;&gt;"",E604-SUMIFS(ขายสินค้า!E:E,ขายสินค้า!G:G,H604),)</f>
        <v>0</v>
      </c>
      <c r="J604" s="11">
        <f t="shared" si="17"/>
        <v>0</v>
      </c>
      <c r="K604" s="11">
        <f>IF(B604&lt;&gt;"", IFERROR(SUMIF(ขายสินค้า!G:G,H604,ขายสินค้า!F:F)/(E604-I604),0),)</f>
        <v>0</v>
      </c>
      <c r="L604" s="12">
        <f t="shared" si="18"/>
        <v>0</v>
      </c>
      <c r="M604" s="13">
        <f t="shared" si="19"/>
        <v>0</v>
      </c>
    </row>
    <row r="605" spans="1:13">
      <c r="A605" s="14"/>
      <c r="B605" s="6"/>
      <c r="C605" s="7">
        <f>IFERROR(VLOOKUP(B605,ชื่อสินค้า!A:C,2,FALSE),)</f>
        <v>0</v>
      </c>
      <c r="D605" s="8" t="str">
        <f>IFERROR(VLOOKUP(B605,ชื่อสินค้า!A:D,4,FALSE),"")</f>
        <v/>
      </c>
      <c r="E605" s="9"/>
      <c r="F605" s="9"/>
      <c r="G605" s="8" t="str">
        <f t="shared" si="15"/>
        <v/>
      </c>
      <c r="H605" s="10">
        <f t="shared" si="16"/>
        <v>0</v>
      </c>
      <c r="I605" s="8">
        <f>IF(G605&lt;&gt;"",E605-SUMIFS(ขายสินค้า!E:E,ขายสินค้า!G:G,H605),)</f>
        <v>0</v>
      </c>
      <c r="J605" s="11">
        <f t="shared" si="17"/>
        <v>0</v>
      </c>
      <c r="K605" s="11">
        <f>IF(B605&lt;&gt;"", IFERROR(SUMIF(ขายสินค้า!G:G,H605,ขายสินค้า!F:F)/(E605-I605),0),)</f>
        <v>0</v>
      </c>
      <c r="L605" s="12">
        <f t="shared" si="18"/>
        <v>0</v>
      </c>
      <c r="M605" s="13">
        <f t="shared" si="19"/>
        <v>0</v>
      </c>
    </row>
    <row r="606" spans="1:13">
      <c r="A606" s="14"/>
      <c r="B606" s="6"/>
      <c r="C606" s="7">
        <f>IFERROR(VLOOKUP(B606,ชื่อสินค้า!A:C,2,FALSE),)</f>
        <v>0</v>
      </c>
      <c r="D606" s="8" t="str">
        <f>IFERROR(VLOOKUP(B606,ชื่อสินค้า!A:D,4,FALSE),"")</f>
        <v/>
      </c>
      <c r="E606" s="9"/>
      <c r="F606" s="9"/>
      <c r="G606" s="8" t="str">
        <f t="shared" si="15"/>
        <v/>
      </c>
      <c r="H606" s="10">
        <f t="shared" si="16"/>
        <v>0</v>
      </c>
      <c r="I606" s="8">
        <f>IF(G606&lt;&gt;"",E606-SUMIFS(ขายสินค้า!E:E,ขายสินค้า!G:G,H606),)</f>
        <v>0</v>
      </c>
      <c r="J606" s="11">
        <f t="shared" si="17"/>
        <v>0</v>
      </c>
      <c r="K606" s="11">
        <f>IF(B606&lt;&gt;"", IFERROR(SUMIF(ขายสินค้า!G:G,H606,ขายสินค้า!F:F)/(E606-I606),0),)</f>
        <v>0</v>
      </c>
      <c r="L606" s="12">
        <f t="shared" si="18"/>
        <v>0</v>
      </c>
      <c r="M606" s="13">
        <f t="shared" si="19"/>
        <v>0</v>
      </c>
    </row>
    <row r="607" spans="1:13">
      <c r="A607" s="14"/>
      <c r="B607" s="6"/>
      <c r="C607" s="7">
        <f>IFERROR(VLOOKUP(B607,ชื่อสินค้า!A:C,2,FALSE),)</f>
        <v>0</v>
      </c>
      <c r="D607" s="8" t="str">
        <f>IFERROR(VLOOKUP(B607,ชื่อสินค้า!A:D,4,FALSE),"")</f>
        <v/>
      </c>
      <c r="E607" s="9"/>
      <c r="F607" s="9"/>
      <c r="G607" s="8" t="str">
        <f t="shared" si="15"/>
        <v/>
      </c>
      <c r="H607" s="10">
        <f t="shared" si="16"/>
        <v>0</v>
      </c>
      <c r="I607" s="8">
        <f>IF(G607&lt;&gt;"",E607-SUMIFS(ขายสินค้า!E:E,ขายสินค้า!G:G,H607),)</f>
        <v>0</v>
      </c>
      <c r="J607" s="11">
        <f t="shared" si="17"/>
        <v>0</v>
      </c>
      <c r="K607" s="11">
        <f>IF(B607&lt;&gt;"", IFERROR(SUMIF(ขายสินค้า!G:G,H607,ขายสินค้า!F:F)/(E607-I607),0),)</f>
        <v>0</v>
      </c>
      <c r="L607" s="12">
        <f t="shared" si="18"/>
        <v>0</v>
      </c>
      <c r="M607" s="13">
        <f t="shared" si="19"/>
        <v>0</v>
      </c>
    </row>
    <row r="608" spans="1:13">
      <c r="A608" s="14"/>
      <c r="B608" s="6"/>
      <c r="C608" s="7">
        <f>IFERROR(VLOOKUP(B608,ชื่อสินค้า!A:C,2,FALSE),)</f>
        <v>0</v>
      </c>
      <c r="D608" s="8" t="str">
        <f>IFERROR(VLOOKUP(B608,ชื่อสินค้า!A:D,4,FALSE),"")</f>
        <v/>
      </c>
      <c r="E608" s="9"/>
      <c r="F608" s="9"/>
      <c r="G608" s="8" t="str">
        <f t="shared" si="15"/>
        <v/>
      </c>
      <c r="H608" s="10">
        <f t="shared" si="16"/>
        <v>0</v>
      </c>
      <c r="I608" s="8">
        <f>IF(G608&lt;&gt;"",E608-SUMIFS(ขายสินค้า!E:E,ขายสินค้า!G:G,H608),)</f>
        <v>0</v>
      </c>
      <c r="J608" s="11">
        <f t="shared" si="17"/>
        <v>0</v>
      </c>
      <c r="K608" s="11">
        <f>IF(B608&lt;&gt;"", IFERROR(SUMIF(ขายสินค้า!G:G,H608,ขายสินค้า!F:F)/(E608-I608),0),)</f>
        <v>0</v>
      </c>
      <c r="L608" s="12">
        <f t="shared" si="18"/>
        <v>0</v>
      </c>
      <c r="M608" s="13">
        <f t="shared" si="19"/>
        <v>0</v>
      </c>
    </row>
    <row r="609" spans="1:13">
      <c r="A609" s="14"/>
      <c r="B609" s="6"/>
      <c r="C609" s="7">
        <f>IFERROR(VLOOKUP(B609,ชื่อสินค้า!A:C,2,FALSE),)</f>
        <v>0</v>
      </c>
      <c r="D609" s="8" t="str">
        <f>IFERROR(VLOOKUP(B609,ชื่อสินค้า!A:D,4,FALSE),"")</f>
        <v/>
      </c>
      <c r="E609" s="9"/>
      <c r="F609" s="9"/>
      <c r="G609" s="8" t="str">
        <f t="shared" si="15"/>
        <v/>
      </c>
      <c r="H609" s="10">
        <f t="shared" si="16"/>
        <v>0</v>
      </c>
      <c r="I609" s="8">
        <f>IF(G609&lt;&gt;"",E609-SUMIFS(ขายสินค้า!E:E,ขายสินค้า!G:G,H609),)</f>
        <v>0</v>
      </c>
      <c r="J609" s="11">
        <f t="shared" si="17"/>
        <v>0</v>
      </c>
      <c r="K609" s="11">
        <f>IF(B609&lt;&gt;"", IFERROR(SUMIF(ขายสินค้า!G:G,H609,ขายสินค้า!F:F)/(E609-I609),0),)</f>
        <v>0</v>
      </c>
      <c r="L609" s="12">
        <f t="shared" si="18"/>
        <v>0</v>
      </c>
      <c r="M609" s="13">
        <f t="shared" si="19"/>
        <v>0</v>
      </c>
    </row>
    <row r="610" spans="1:13">
      <c r="A610" s="14"/>
      <c r="B610" s="6"/>
      <c r="C610" s="7">
        <f>IFERROR(VLOOKUP(B610,ชื่อสินค้า!A:C,2,FALSE),)</f>
        <v>0</v>
      </c>
      <c r="D610" s="8" t="str">
        <f>IFERROR(VLOOKUP(B610,ชื่อสินค้า!A:D,4,FALSE),"")</f>
        <v/>
      </c>
      <c r="E610" s="9"/>
      <c r="F610" s="9"/>
      <c r="G610" s="8" t="str">
        <f t="shared" si="15"/>
        <v/>
      </c>
      <c r="H610" s="10">
        <f t="shared" si="16"/>
        <v>0</v>
      </c>
      <c r="I610" s="8">
        <f>IF(G610&lt;&gt;"",E610-SUMIFS(ขายสินค้า!E:E,ขายสินค้า!G:G,H610),)</f>
        <v>0</v>
      </c>
      <c r="J610" s="11">
        <f t="shared" si="17"/>
        <v>0</v>
      </c>
      <c r="K610" s="11">
        <f>IF(B610&lt;&gt;"", IFERROR(SUMIF(ขายสินค้า!G:G,H610,ขายสินค้า!F:F)/(E610-I610),0),)</f>
        <v>0</v>
      </c>
      <c r="L610" s="12">
        <f t="shared" si="18"/>
        <v>0</v>
      </c>
      <c r="M610" s="13">
        <f t="shared" si="19"/>
        <v>0</v>
      </c>
    </row>
    <row r="611" spans="1:13">
      <c r="A611" s="14"/>
      <c r="B611" s="6"/>
      <c r="C611" s="7">
        <f>IFERROR(VLOOKUP(B611,ชื่อสินค้า!A:C,2,FALSE),)</f>
        <v>0</v>
      </c>
      <c r="D611" s="8" t="str">
        <f>IFERROR(VLOOKUP(B611,ชื่อสินค้า!A:D,4,FALSE),"")</f>
        <v/>
      </c>
      <c r="E611" s="9"/>
      <c r="F611" s="9"/>
      <c r="G611" s="8" t="str">
        <f t="shared" si="15"/>
        <v/>
      </c>
      <c r="H611" s="10">
        <f t="shared" si="16"/>
        <v>0</v>
      </c>
      <c r="I611" s="8">
        <f>IF(G611&lt;&gt;"",E611-SUMIFS(ขายสินค้า!E:E,ขายสินค้า!G:G,H611),)</f>
        <v>0</v>
      </c>
      <c r="J611" s="11">
        <f t="shared" si="17"/>
        <v>0</v>
      </c>
      <c r="K611" s="11">
        <f>IF(B611&lt;&gt;"", IFERROR(SUMIF(ขายสินค้า!G:G,H611,ขายสินค้า!F:F)/(E611-I611),0),)</f>
        <v>0</v>
      </c>
      <c r="L611" s="12">
        <f t="shared" si="18"/>
        <v>0</v>
      </c>
      <c r="M611" s="13">
        <f t="shared" si="19"/>
        <v>0</v>
      </c>
    </row>
    <row r="612" spans="1:13">
      <c r="A612" s="14"/>
      <c r="B612" s="6"/>
      <c r="C612" s="7">
        <f>IFERROR(VLOOKUP(B612,ชื่อสินค้า!A:C,2,FALSE),)</f>
        <v>0</v>
      </c>
      <c r="D612" s="8" t="str">
        <f>IFERROR(VLOOKUP(B612,ชื่อสินค้า!A:D,4,FALSE),"")</f>
        <v/>
      </c>
      <c r="E612" s="9"/>
      <c r="F612" s="9"/>
      <c r="G612" s="8" t="str">
        <f t="shared" si="15"/>
        <v/>
      </c>
      <c r="H612" s="10">
        <f t="shared" si="16"/>
        <v>0</v>
      </c>
      <c r="I612" s="8">
        <f>IF(G612&lt;&gt;"",E612-SUMIFS(ขายสินค้า!E:E,ขายสินค้า!G:G,H612),)</f>
        <v>0</v>
      </c>
      <c r="J612" s="11">
        <f t="shared" si="17"/>
        <v>0</v>
      </c>
      <c r="K612" s="11">
        <f>IF(B612&lt;&gt;"", IFERROR(SUMIF(ขายสินค้า!G:G,H612,ขายสินค้า!F:F)/(E612-I612),0),)</f>
        <v>0</v>
      </c>
      <c r="L612" s="12">
        <f t="shared" si="18"/>
        <v>0</v>
      </c>
      <c r="M612" s="13">
        <f t="shared" si="19"/>
        <v>0</v>
      </c>
    </row>
    <row r="613" spans="1:13">
      <c r="A613" s="14"/>
      <c r="B613" s="6"/>
      <c r="C613" s="7">
        <f>IFERROR(VLOOKUP(B613,ชื่อสินค้า!A:C,2,FALSE),)</f>
        <v>0</v>
      </c>
      <c r="D613" s="8" t="str">
        <f>IFERROR(VLOOKUP(B613,ชื่อสินค้า!A:D,4,FALSE),"")</f>
        <v/>
      </c>
      <c r="E613" s="9"/>
      <c r="F613" s="9"/>
      <c r="G613" s="8" t="str">
        <f t="shared" si="15"/>
        <v/>
      </c>
      <c r="H613" s="10">
        <f t="shared" si="16"/>
        <v>0</v>
      </c>
      <c r="I613" s="8">
        <f>IF(G613&lt;&gt;"",E613-SUMIFS(ขายสินค้า!E:E,ขายสินค้า!G:G,H613),)</f>
        <v>0</v>
      </c>
      <c r="J613" s="11">
        <f t="shared" si="17"/>
        <v>0</v>
      </c>
      <c r="K613" s="11">
        <f>IF(B613&lt;&gt;"", IFERROR(SUMIF(ขายสินค้า!G:G,H613,ขายสินค้า!F:F)/(E613-I613),0),)</f>
        <v>0</v>
      </c>
      <c r="L613" s="12">
        <f t="shared" si="18"/>
        <v>0</v>
      </c>
      <c r="M613" s="13">
        <f t="shared" si="19"/>
        <v>0</v>
      </c>
    </row>
    <row r="614" spans="1:13">
      <c r="A614" s="14"/>
      <c r="B614" s="6"/>
      <c r="C614" s="7">
        <f>IFERROR(VLOOKUP(B614,ชื่อสินค้า!A:C,2,FALSE),)</f>
        <v>0</v>
      </c>
      <c r="D614" s="8" t="str">
        <f>IFERROR(VLOOKUP(B614,ชื่อสินค้า!A:D,4,FALSE),"")</f>
        <v/>
      </c>
      <c r="E614" s="9"/>
      <c r="F614" s="9"/>
      <c r="G614" s="8" t="str">
        <f t="shared" si="15"/>
        <v/>
      </c>
      <c r="H614" s="10">
        <f t="shared" si="16"/>
        <v>0</v>
      </c>
      <c r="I614" s="8">
        <f>IF(G614&lt;&gt;"",E614-SUMIFS(ขายสินค้า!E:E,ขายสินค้า!G:G,H614),)</f>
        <v>0</v>
      </c>
      <c r="J614" s="11">
        <f t="shared" si="17"/>
        <v>0</v>
      </c>
      <c r="K614" s="11">
        <f>IF(B614&lt;&gt;"", IFERROR(SUMIF(ขายสินค้า!G:G,H614,ขายสินค้า!F:F)/(E614-I614),0),)</f>
        <v>0</v>
      </c>
      <c r="L614" s="12">
        <f t="shared" si="18"/>
        <v>0</v>
      </c>
      <c r="M614" s="13">
        <f t="shared" si="19"/>
        <v>0</v>
      </c>
    </row>
    <row r="615" spans="1:13">
      <c r="A615" s="14"/>
      <c r="B615" s="6"/>
      <c r="C615" s="7">
        <f>IFERROR(VLOOKUP(B615,ชื่อสินค้า!A:C,2,FALSE),)</f>
        <v>0</v>
      </c>
      <c r="D615" s="8" t="str">
        <f>IFERROR(VLOOKUP(B615,ชื่อสินค้า!A:D,4,FALSE),"")</f>
        <v/>
      </c>
      <c r="E615" s="9"/>
      <c r="F615" s="9"/>
      <c r="G615" s="8" t="str">
        <f t="shared" si="15"/>
        <v/>
      </c>
      <c r="H615" s="10">
        <f t="shared" si="16"/>
        <v>0</v>
      </c>
      <c r="I615" s="8">
        <f>IF(G615&lt;&gt;"",E615-SUMIFS(ขายสินค้า!E:E,ขายสินค้า!G:G,H615),)</f>
        <v>0</v>
      </c>
      <c r="J615" s="11">
        <f t="shared" si="17"/>
        <v>0</v>
      </c>
      <c r="K615" s="11">
        <f>IF(B615&lt;&gt;"", IFERROR(SUMIF(ขายสินค้า!G:G,H615,ขายสินค้า!F:F)/(E615-I615),0),)</f>
        <v>0</v>
      </c>
      <c r="L615" s="12">
        <f t="shared" si="18"/>
        <v>0</v>
      </c>
      <c r="M615" s="13">
        <f t="shared" si="19"/>
        <v>0</v>
      </c>
    </row>
    <row r="616" spans="1:13">
      <c r="A616" s="14"/>
      <c r="B616" s="6"/>
      <c r="C616" s="7">
        <f>IFERROR(VLOOKUP(B616,ชื่อสินค้า!A:C,2,FALSE),)</f>
        <v>0</v>
      </c>
      <c r="D616" s="8" t="str">
        <f>IFERROR(VLOOKUP(B616,ชื่อสินค้า!A:D,4,FALSE),"")</f>
        <v/>
      </c>
      <c r="E616" s="9"/>
      <c r="F616" s="9"/>
      <c r="G616" s="8" t="str">
        <f t="shared" si="15"/>
        <v/>
      </c>
      <c r="H616" s="10">
        <f t="shared" si="16"/>
        <v>0</v>
      </c>
      <c r="I616" s="8">
        <f>IF(G616&lt;&gt;"",E616-SUMIFS(ขายสินค้า!E:E,ขายสินค้า!G:G,H616),)</f>
        <v>0</v>
      </c>
      <c r="J616" s="11">
        <f t="shared" si="17"/>
        <v>0</v>
      </c>
      <c r="K616" s="11">
        <f>IF(B616&lt;&gt;"", IFERROR(SUMIF(ขายสินค้า!G:G,H616,ขายสินค้า!F:F)/(E616-I616),0),)</f>
        <v>0</v>
      </c>
      <c r="L616" s="12">
        <f t="shared" si="18"/>
        <v>0</v>
      </c>
      <c r="M616" s="13">
        <f t="shared" si="19"/>
        <v>0</v>
      </c>
    </row>
    <row r="617" spans="1:13">
      <c r="A617" s="14"/>
      <c r="B617" s="6"/>
      <c r="C617" s="7">
        <f>IFERROR(VLOOKUP(B617,ชื่อสินค้า!A:C,2,FALSE),)</f>
        <v>0</v>
      </c>
      <c r="D617" s="8" t="str">
        <f>IFERROR(VLOOKUP(B617,ชื่อสินค้า!A:D,4,FALSE),"")</f>
        <v/>
      </c>
      <c r="E617" s="9"/>
      <c r="F617" s="9"/>
      <c r="G617" s="8" t="str">
        <f t="shared" si="15"/>
        <v/>
      </c>
      <c r="H617" s="10">
        <f t="shared" si="16"/>
        <v>0</v>
      </c>
      <c r="I617" s="8">
        <f>IF(G617&lt;&gt;"",E617-SUMIFS(ขายสินค้า!E:E,ขายสินค้า!G:G,H617),)</f>
        <v>0</v>
      </c>
      <c r="J617" s="11">
        <f t="shared" si="17"/>
        <v>0</v>
      </c>
      <c r="K617" s="11">
        <f>IF(B617&lt;&gt;"", IFERROR(SUMIF(ขายสินค้า!G:G,H617,ขายสินค้า!F:F)/(E617-I617),0),)</f>
        <v>0</v>
      </c>
      <c r="L617" s="12">
        <f t="shared" si="18"/>
        <v>0</v>
      </c>
      <c r="M617" s="13">
        <f t="shared" si="19"/>
        <v>0</v>
      </c>
    </row>
    <row r="618" spans="1:13">
      <c r="A618" s="14"/>
      <c r="B618" s="6"/>
      <c r="C618" s="7">
        <f>IFERROR(VLOOKUP(B618,ชื่อสินค้า!A:C,2,FALSE),)</f>
        <v>0</v>
      </c>
      <c r="D618" s="8" t="str">
        <f>IFERROR(VLOOKUP(B618,ชื่อสินค้า!A:D,4,FALSE),"")</f>
        <v/>
      </c>
      <c r="E618" s="9"/>
      <c r="F618" s="9"/>
      <c r="G618" s="8" t="str">
        <f t="shared" si="15"/>
        <v/>
      </c>
      <c r="H618" s="10">
        <f t="shared" si="16"/>
        <v>0</v>
      </c>
      <c r="I618" s="8">
        <f>IF(G618&lt;&gt;"",E618-SUMIFS(ขายสินค้า!E:E,ขายสินค้า!G:G,H618),)</f>
        <v>0</v>
      </c>
      <c r="J618" s="11">
        <f t="shared" si="17"/>
        <v>0</v>
      </c>
      <c r="K618" s="11">
        <f>IF(B618&lt;&gt;"", IFERROR(SUMIF(ขายสินค้า!G:G,H618,ขายสินค้า!F:F)/(E618-I618),0),)</f>
        <v>0</v>
      </c>
      <c r="L618" s="12">
        <f t="shared" si="18"/>
        <v>0</v>
      </c>
      <c r="M618" s="13">
        <f t="shared" si="19"/>
        <v>0</v>
      </c>
    </row>
    <row r="619" spans="1:13">
      <c r="A619" s="14"/>
      <c r="B619" s="6"/>
      <c r="C619" s="7">
        <f>IFERROR(VLOOKUP(B619,ชื่อสินค้า!A:C,2,FALSE),)</f>
        <v>0</v>
      </c>
      <c r="D619" s="8" t="str">
        <f>IFERROR(VLOOKUP(B619,ชื่อสินค้า!A:D,4,FALSE),"")</f>
        <v/>
      </c>
      <c r="E619" s="9"/>
      <c r="F619" s="9"/>
      <c r="G619" s="8" t="str">
        <f t="shared" si="15"/>
        <v/>
      </c>
      <c r="H619" s="10">
        <f t="shared" si="16"/>
        <v>0</v>
      </c>
      <c r="I619" s="8">
        <f>IF(G619&lt;&gt;"",E619-SUMIFS(ขายสินค้า!E:E,ขายสินค้า!G:G,H619),)</f>
        <v>0</v>
      </c>
      <c r="J619" s="11">
        <f t="shared" si="17"/>
        <v>0</v>
      </c>
      <c r="K619" s="11">
        <f>IF(B619&lt;&gt;"", IFERROR(SUMIF(ขายสินค้า!G:G,H619,ขายสินค้า!F:F)/(E619-I619),0),)</f>
        <v>0</v>
      </c>
      <c r="L619" s="12">
        <f t="shared" si="18"/>
        <v>0</v>
      </c>
      <c r="M619" s="13">
        <f t="shared" si="19"/>
        <v>0</v>
      </c>
    </row>
    <row r="620" spans="1:13">
      <c r="A620" s="14"/>
      <c r="B620" s="6"/>
      <c r="C620" s="7">
        <f>IFERROR(VLOOKUP(B620,ชื่อสินค้า!A:C,2,FALSE),)</f>
        <v>0</v>
      </c>
      <c r="D620" s="8" t="str">
        <f>IFERROR(VLOOKUP(B620,ชื่อสินค้า!A:D,4,FALSE),"")</f>
        <v/>
      </c>
      <c r="E620" s="9"/>
      <c r="F620" s="9"/>
      <c r="G620" s="8" t="str">
        <f t="shared" si="15"/>
        <v/>
      </c>
      <c r="H620" s="10">
        <f t="shared" si="16"/>
        <v>0</v>
      </c>
      <c r="I620" s="8">
        <f>IF(G620&lt;&gt;"",E620-SUMIFS(ขายสินค้า!E:E,ขายสินค้า!G:G,H620),)</f>
        <v>0</v>
      </c>
      <c r="J620" s="11">
        <f t="shared" si="17"/>
        <v>0</v>
      </c>
      <c r="K620" s="11">
        <f>IF(B620&lt;&gt;"", IFERROR(SUMIF(ขายสินค้า!G:G,H620,ขายสินค้า!F:F)/(E620-I620),0),)</f>
        <v>0</v>
      </c>
      <c r="L620" s="12">
        <f t="shared" si="18"/>
        <v>0</v>
      </c>
      <c r="M620" s="13">
        <f t="shared" si="19"/>
        <v>0</v>
      </c>
    </row>
    <row r="621" spans="1:13">
      <c r="A621" s="14"/>
      <c r="B621" s="6"/>
      <c r="C621" s="7">
        <f>IFERROR(VLOOKUP(B621,ชื่อสินค้า!A:C,2,FALSE),)</f>
        <v>0</v>
      </c>
      <c r="D621" s="8" t="str">
        <f>IFERROR(VLOOKUP(B621,ชื่อสินค้า!A:D,4,FALSE),"")</f>
        <v/>
      </c>
      <c r="E621" s="9"/>
      <c r="F621" s="9"/>
      <c r="G621" s="8" t="str">
        <f t="shared" si="15"/>
        <v/>
      </c>
      <c r="H621" s="10">
        <f t="shared" si="16"/>
        <v>0</v>
      </c>
      <c r="I621" s="8">
        <f>IF(G621&lt;&gt;"",E621-SUMIFS(ขายสินค้า!E:E,ขายสินค้า!G:G,H621),)</f>
        <v>0</v>
      </c>
      <c r="J621" s="11">
        <f t="shared" si="17"/>
        <v>0</v>
      </c>
      <c r="K621" s="11">
        <f>IF(B621&lt;&gt;"", IFERROR(SUMIF(ขายสินค้า!G:G,H621,ขายสินค้า!F:F)/(E621-I621),0),)</f>
        <v>0</v>
      </c>
      <c r="L621" s="12">
        <f t="shared" si="18"/>
        <v>0</v>
      </c>
      <c r="M621" s="13">
        <f t="shared" si="19"/>
        <v>0</v>
      </c>
    </row>
    <row r="622" spans="1:13">
      <c r="A622" s="14"/>
      <c r="B622" s="6"/>
      <c r="C622" s="7">
        <f>IFERROR(VLOOKUP(B622,ชื่อสินค้า!A:C,2,FALSE),)</f>
        <v>0</v>
      </c>
      <c r="D622" s="8" t="str">
        <f>IFERROR(VLOOKUP(B622,ชื่อสินค้า!A:D,4,FALSE),"")</f>
        <v/>
      </c>
      <c r="E622" s="9"/>
      <c r="F622" s="9"/>
      <c r="G622" s="8" t="str">
        <f t="shared" si="15"/>
        <v/>
      </c>
      <c r="H622" s="10">
        <f t="shared" si="16"/>
        <v>0</v>
      </c>
      <c r="I622" s="8">
        <f>IF(G622&lt;&gt;"",E622-SUMIFS(ขายสินค้า!E:E,ขายสินค้า!G:G,H622),)</f>
        <v>0</v>
      </c>
      <c r="J622" s="11">
        <f t="shared" si="17"/>
        <v>0</v>
      </c>
      <c r="K622" s="11">
        <f>IF(B622&lt;&gt;"", IFERROR(SUMIF(ขายสินค้า!G:G,H622,ขายสินค้า!F:F)/(E622-I622),0),)</f>
        <v>0</v>
      </c>
      <c r="L622" s="12">
        <f t="shared" si="18"/>
        <v>0</v>
      </c>
      <c r="M622" s="13">
        <f t="shared" si="19"/>
        <v>0</v>
      </c>
    </row>
    <row r="623" spans="1:13">
      <c r="A623" s="14"/>
      <c r="B623" s="6"/>
      <c r="C623" s="7">
        <f>IFERROR(VLOOKUP(B623,ชื่อสินค้า!A:C,2,FALSE),)</f>
        <v>0</v>
      </c>
      <c r="D623" s="8" t="str">
        <f>IFERROR(VLOOKUP(B623,ชื่อสินค้า!A:D,4,FALSE),"")</f>
        <v/>
      </c>
      <c r="E623" s="9"/>
      <c r="F623" s="9"/>
      <c r="G623" s="8" t="str">
        <f t="shared" si="15"/>
        <v/>
      </c>
      <c r="H623" s="10">
        <f t="shared" si="16"/>
        <v>0</v>
      </c>
      <c r="I623" s="8">
        <f>IF(G623&lt;&gt;"",E623-SUMIFS(ขายสินค้า!E:E,ขายสินค้า!G:G,H623),)</f>
        <v>0</v>
      </c>
      <c r="J623" s="11">
        <f t="shared" si="17"/>
        <v>0</v>
      </c>
      <c r="K623" s="11">
        <f>IF(B623&lt;&gt;"", IFERROR(SUMIF(ขายสินค้า!G:G,H623,ขายสินค้า!F:F)/(E623-I623),0),)</f>
        <v>0</v>
      </c>
      <c r="L623" s="12">
        <f t="shared" si="18"/>
        <v>0</v>
      </c>
      <c r="M623" s="13">
        <f t="shared" si="19"/>
        <v>0</v>
      </c>
    </row>
    <row r="624" spans="1:13">
      <c r="A624" s="14"/>
      <c r="B624" s="6"/>
      <c r="C624" s="7">
        <f>IFERROR(VLOOKUP(B624,ชื่อสินค้า!A:C,2,FALSE),)</f>
        <v>0</v>
      </c>
      <c r="D624" s="8" t="str">
        <f>IFERROR(VLOOKUP(B624,ชื่อสินค้า!A:D,4,FALSE),"")</f>
        <v/>
      </c>
      <c r="E624" s="9"/>
      <c r="F624" s="9"/>
      <c r="G624" s="8" t="str">
        <f t="shared" si="15"/>
        <v/>
      </c>
      <c r="H624" s="10">
        <f t="shared" si="16"/>
        <v>0</v>
      </c>
      <c r="I624" s="8">
        <f>IF(G624&lt;&gt;"",E624-SUMIFS(ขายสินค้า!E:E,ขายสินค้า!G:G,H624),)</f>
        <v>0</v>
      </c>
      <c r="J624" s="11">
        <f t="shared" si="17"/>
        <v>0</v>
      </c>
      <c r="K624" s="11">
        <f>IF(B624&lt;&gt;"", IFERROR(SUMIF(ขายสินค้า!G:G,H624,ขายสินค้า!F:F)/(E624-I624),0),)</f>
        <v>0</v>
      </c>
      <c r="L624" s="12">
        <f t="shared" si="18"/>
        <v>0</v>
      </c>
      <c r="M624" s="13">
        <f t="shared" si="19"/>
        <v>0</v>
      </c>
    </row>
    <row r="625" spans="1:13">
      <c r="A625" s="14"/>
      <c r="B625" s="6"/>
      <c r="C625" s="7">
        <f>IFERROR(VLOOKUP(B625,ชื่อสินค้า!A:C,2,FALSE),)</f>
        <v>0</v>
      </c>
      <c r="D625" s="8" t="str">
        <f>IFERROR(VLOOKUP(B625,ชื่อสินค้า!A:D,4,FALSE),"")</f>
        <v/>
      </c>
      <c r="E625" s="9"/>
      <c r="F625" s="9"/>
      <c r="G625" s="8" t="str">
        <f t="shared" si="15"/>
        <v/>
      </c>
      <c r="H625" s="10">
        <f t="shared" si="16"/>
        <v>0</v>
      </c>
      <c r="I625" s="8">
        <f>IF(G625&lt;&gt;"",E625-SUMIFS(ขายสินค้า!E:E,ขายสินค้า!G:G,H625),)</f>
        <v>0</v>
      </c>
      <c r="J625" s="11">
        <f t="shared" si="17"/>
        <v>0</v>
      </c>
      <c r="K625" s="11">
        <f>IF(B625&lt;&gt;"", IFERROR(SUMIF(ขายสินค้า!G:G,H625,ขายสินค้า!F:F)/(E625-I625),0),)</f>
        <v>0</v>
      </c>
      <c r="L625" s="12">
        <f t="shared" si="18"/>
        <v>0</v>
      </c>
      <c r="M625" s="13">
        <f t="shared" si="19"/>
        <v>0</v>
      </c>
    </row>
    <row r="626" spans="1:13">
      <c r="A626" s="14"/>
      <c r="B626" s="6"/>
      <c r="C626" s="7">
        <f>IFERROR(VLOOKUP(B626,ชื่อสินค้า!A:C,2,FALSE),)</f>
        <v>0</v>
      </c>
      <c r="D626" s="8" t="str">
        <f>IFERROR(VLOOKUP(B626,ชื่อสินค้า!A:D,4,FALSE),"")</f>
        <v/>
      </c>
      <c r="E626" s="9"/>
      <c r="F626" s="9"/>
      <c r="G626" s="8" t="str">
        <f t="shared" si="15"/>
        <v/>
      </c>
      <c r="H626" s="10">
        <f t="shared" si="16"/>
        <v>0</v>
      </c>
      <c r="I626" s="8">
        <f>IF(G626&lt;&gt;"",E626-SUMIFS(ขายสินค้า!E:E,ขายสินค้า!G:G,H626),)</f>
        <v>0</v>
      </c>
      <c r="J626" s="11">
        <f t="shared" si="17"/>
        <v>0</v>
      </c>
      <c r="K626" s="11">
        <f>IF(B626&lt;&gt;"", IFERROR(SUMIF(ขายสินค้า!G:G,H626,ขายสินค้า!F:F)/(E626-I626),0),)</f>
        <v>0</v>
      </c>
      <c r="L626" s="12">
        <f t="shared" si="18"/>
        <v>0</v>
      </c>
      <c r="M626" s="13">
        <f t="shared" si="19"/>
        <v>0</v>
      </c>
    </row>
    <row r="627" spans="1:13">
      <c r="A627" s="14"/>
      <c r="B627" s="6"/>
      <c r="C627" s="7">
        <f>IFERROR(VLOOKUP(B627,ชื่อสินค้า!A:C,2,FALSE),)</f>
        <v>0</v>
      </c>
      <c r="D627" s="8" t="str">
        <f>IFERROR(VLOOKUP(B627,ชื่อสินค้า!A:D,4,FALSE),"")</f>
        <v/>
      </c>
      <c r="E627" s="9"/>
      <c r="F627" s="9"/>
      <c r="G627" s="8" t="str">
        <f t="shared" si="15"/>
        <v/>
      </c>
      <c r="H627" s="10">
        <f t="shared" si="16"/>
        <v>0</v>
      </c>
      <c r="I627" s="8">
        <f>IF(G627&lt;&gt;"",E627-SUMIFS(ขายสินค้า!E:E,ขายสินค้า!G:G,H627),)</f>
        <v>0</v>
      </c>
      <c r="J627" s="11">
        <f t="shared" si="17"/>
        <v>0</v>
      </c>
      <c r="K627" s="11">
        <f>IF(B627&lt;&gt;"", IFERROR(SUMIF(ขายสินค้า!G:G,H627,ขายสินค้า!F:F)/(E627-I627),0),)</f>
        <v>0</v>
      </c>
      <c r="L627" s="12">
        <f t="shared" si="18"/>
        <v>0</v>
      </c>
      <c r="M627" s="13">
        <f t="shared" si="19"/>
        <v>0</v>
      </c>
    </row>
    <row r="628" spans="1:13">
      <c r="A628" s="14"/>
      <c r="B628" s="6"/>
      <c r="C628" s="7">
        <f>IFERROR(VLOOKUP(B628,ชื่อสินค้า!A:C,2,FALSE),)</f>
        <v>0</v>
      </c>
      <c r="D628" s="8" t="str">
        <f>IFERROR(VLOOKUP(B628,ชื่อสินค้า!A:D,4,FALSE),"")</f>
        <v/>
      </c>
      <c r="E628" s="9"/>
      <c r="F628" s="9"/>
      <c r="G628" s="8" t="str">
        <f t="shared" si="15"/>
        <v/>
      </c>
      <c r="H628" s="10">
        <f t="shared" si="16"/>
        <v>0</v>
      </c>
      <c r="I628" s="8">
        <f>IF(G628&lt;&gt;"",E628-SUMIFS(ขายสินค้า!E:E,ขายสินค้า!G:G,H628),)</f>
        <v>0</v>
      </c>
      <c r="J628" s="11">
        <f t="shared" si="17"/>
        <v>0</v>
      </c>
      <c r="K628" s="11">
        <f>IF(B628&lt;&gt;"", IFERROR(SUMIF(ขายสินค้า!G:G,H628,ขายสินค้า!F:F)/(E628-I628),0),)</f>
        <v>0</v>
      </c>
      <c r="L628" s="12">
        <f t="shared" si="18"/>
        <v>0</v>
      </c>
      <c r="M628" s="13">
        <f t="shared" si="19"/>
        <v>0</v>
      </c>
    </row>
    <row r="629" spans="1:13">
      <c r="A629" s="14"/>
      <c r="B629" s="6"/>
      <c r="C629" s="7">
        <f>IFERROR(VLOOKUP(B629,ชื่อสินค้า!A:C,2,FALSE),)</f>
        <v>0</v>
      </c>
      <c r="D629" s="8" t="str">
        <f>IFERROR(VLOOKUP(B629,ชื่อสินค้า!A:D,4,FALSE),"")</f>
        <v/>
      </c>
      <c r="E629" s="9"/>
      <c r="F629" s="9"/>
      <c r="G629" s="8" t="str">
        <f t="shared" si="15"/>
        <v/>
      </c>
      <c r="H629" s="10">
        <f t="shared" si="16"/>
        <v>0</v>
      </c>
      <c r="I629" s="8">
        <f>IF(G629&lt;&gt;"",E629-SUMIFS(ขายสินค้า!E:E,ขายสินค้า!G:G,H629),)</f>
        <v>0</v>
      </c>
      <c r="J629" s="11">
        <f t="shared" si="17"/>
        <v>0</v>
      </c>
      <c r="K629" s="11">
        <f>IF(B629&lt;&gt;"", IFERROR(SUMIF(ขายสินค้า!G:G,H629,ขายสินค้า!F:F)/(E629-I629),0),)</f>
        <v>0</v>
      </c>
      <c r="L629" s="12">
        <f t="shared" si="18"/>
        <v>0</v>
      </c>
      <c r="M629" s="13">
        <f t="shared" si="19"/>
        <v>0</v>
      </c>
    </row>
    <row r="630" spans="1:13">
      <c r="A630" s="14"/>
      <c r="B630" s="6"/>
      <c r="C630" s="7">
        <f>IFERROR(VLOOKUP(B630,ชื่อสินค้า!A:C,2,FALSE),)</f>
        <v>0</v>
      </c>
      <c r="D630" s="8" t="str">
        <f>IFERROR(VLOOKUP(B630,ชื่อสินค้า!A:D,4,FALSE),"")</f>
        <v/>
      </c>
      <c r="E630" s="9"/>
      <c r="F630" s="9"/>
      <c r="G630" s="8" t="str">
        <f t="shared" si="15"/>
        <v/>
      </c>
      <c r="H630" s="10">
        <f t="shared" si="16"/>
        <v>0</v>
      </c>
      <c r="I630" s="8">
        <f>IF(G630&lt;&gt;"",E630-SUMIFS(ขายสินค้า!E:E,ขายสินค้า!G:G,H630),)</f>
        <v>0</v>
      </c>
      <c r="J630" s="11">
        <f t="shared" si="17"/>
        <v>0</v>
      </c>
      <c r="K630" s="11">
        <f>IF(B630&lt;&gt;"", IFERROR(SUMIF(ขายสินค้า!G:G,H630,ขายสินค้า!F:F)/(E630-I630),0),)</f>
        <v>0</v>
      </c>
      <c r="L630" s="12">
        <f t="shared" si="18"/>
        <v>0</v>
      </c>
      <c r="M630" s="13">
        <f t="shared" si="19"/>
        <v>0</v>
      </c>
    </row>
    <row r="631" spans="1:13">
      <c r="A631" s="14"/>
      <c r="B631" s="6"/>
      <c r="C631" s="7">
        <f>IFERROR(VLOOKUP(B631,ชื่อสินค้า!A:C,2,FALSE),)</f>
        <v>0</v>
      </c>
      <c r="D631" s="8" t="str">
        <f>IFERROR(VLOOKUP(B631,ชื่อสินค้า!A:D,4,FALSE),"")</f>
        <v/>
      </c>
      <c r="E631" s="9"/>
      <c r="F631" s="9"/>
      <c r="G631" s="8" t="str">
        <f t="shared" si="15"/>
        <v/>
      </c>
      <c r="H631" s="10">
        <f t="shared" si="16"/>
        <v>0</v>
      </c>
      <c r="I631" s="8">
        <f>IF(G631&lt;&gt;"",E631-SUMIFS(ขายสินค้า!E:E,ขายสินค้า!G:G,H631),)</f>
        <v>0</v>
      </c>
      <c r="J631" s="11">
        <f t="shared" si="17"/>
        <v>0</v>
      </c>
      <c r="K631" s="11">
        <f>IF(B631&lt;&gt;"", IFERROR(SUMIF(ขายสินค้า!G:G,H631,ขายสินค้า!F:F)/(E631-I631),0),)</f>
        <v>0</v>
      </c>
      <c r="L631" s="12">
        <f t="shared" si="18"/>
        <v>0</v>
      </c>
      <c r="M631" s="13">
        <f t="shared" si="19"/>
        <v>0</v>
      </c>
    </row>
    <row r="632" spans="1:13">
      <c r="A632" s="14"/>
      <c r="B632" s="6"/>
      <c r="C632" s="7">
        <f>IFERROR(VLOOKUP(B632,ชื่อสินค้า!A:C,2,FALSE),)</f>
        <v>0</v>
      </c>
      <c r="D632" s="8" t="str">
        <f>IFERROR(VLOOKUP(B632,ชื่อสินค้า!A:D,4,FALSE),"")</f>
        <v/>
      </c>
      <c r="E632" s="9"/>
      <c r="F632" s="9"/>
      <c r="G632" s="8" t="str">
        <f t="shared" si="15"/>
        <v/>
      </c>
      <c r="H632" s="10">
        <f t="shared" si="16"/>
        <v>0</v>
      </c>
      <c r="I632" s="8">
        <f>IF(G632&lt;&gt;"",E632-SUMIFS(ขายสินค้า!E:E,ขายสินค้า!G:G,H632),)</f>
        <v>0</v>
      </c>
      <c r="J632" s="11">
        <f t="shared" si="17"/>
        <v>0</v>
      </c>
      <c r="K632" s="11">
        <f>IF(B632&lt;&gt;"", IFERROR(SUMIF(ขายสินค้า!G:G,H632,ขายสินค้า!F:F)/(E632-I632),0),)</f>
        <v>0</v>
      </c>
      <c r="L632" s="12">
        <f t="shared" si="18"/>
        <v>0</v>
      </c>
      <c r="M632" s="13">
        <f t="shared" si="19"/>
        <v>0</v>
      </c>
    </row>
    <row r="633" spans="1:13">
      <c r="A633" s="14"/>
      <c r="B633" s="6"/>
      <c r="C633" s="7">
        <f>IFERROR(VLOOKUP(B633,ชื่อสินค้า!A:C,2,FALSE),)</f>
        <v>0</v>
      </c>
      <c r="D633" s="8" t="str">
        <f>IFERROR(VLOOKUP(B633,ชื่อสินค้า!A:D,4,FALSE),"")</f>
        <v/>
      </c>
      <c r="E633" s="9"/>
      <c r="F633" s="9"/>
      <c r="G633" s="8" t="str">
        <f t="shared" si="15"/>
        <v/>
      </c>
      <c r="H633" s="10">
        <f t="shared" si="16"/>
        <v>0</v>
      </c>
      <c r="I633" s="8">
        <f>IF(G633&lt;&gt;"",E633-SUMIFS(ขายสินค้า!E:E,ขายสินค้า!G:G,H633),)</f>
        <v>0</v>
      </c>
      <c r="J633" s="11">
        <f t="shared" si="17"/>
        <v>0</v>
      </c>
      <c r="K633" s="11">
        <f>IF(B633&lt;&gt;"", IFERROR(SUMIF(ขายสินค้า!G:G,H633,ขายสินค้า!F:F)/(E633-I633),0),)</f>
        <v>0</v>
      </c>
      <c r="L633" s="12">
        <f t="shared" si="18"/>
        <v>0</v>
      </c>
      <c r="M633" s="13">
        <f t="shared" si="19"/>
        <v>0</v>
      </c>
    </row>
    <row r="634" spans="1:13">
      <c r="A634" s="14"/>
      <c r="B634" s="6"/>
      <c r="C634" s="7">
        <f>IFERROR(VLOOKUP(B634,ชื่อสินค้า!A:C,2,FALSE),)</f>
        <v>0</v>
      </c>
      <c r="D634" s="8" t="str">
        <f>IFERROR(VLOOKUP(B634,ชื่อสินค้า!A:D,4,FALSE),"")</f>
        <v/>
      </c>
      <c r="E634" s="9"/>
      <c r="F634" s="9"/>
      <c r="G634" s="8" t="str">
        <f t="shared" si="15"/>
        <v/>
      </c>
      <c r="H634" s="10">
        <f t="shared" si="16"/>
        <v>0</v>
      </c>
      <c r="I634" s="8">
        <f>IF(G634&lt;&gt;"",E634-SUMIFS(ขายสินค้า!E:E,ขายสินค้า!G:G,H634),)</f>
        <v>0</v>
      </c>
      <c r="J634" s="11">
        <f t="shared" si="17"/>
        <v>0</v>
      </c>
      <c r="K634" s="11">
        <f>IF(B634&lt;&gt;"", IFERROR(SUMIF(ขายสินค้า!G:G,H634,ขายสินค้า!F:F)/(E634-I634),0),)</f>
        <v>0</v>
      </c>
      <c r="L634" s="12">
        <f t="shared" si="18"/>
        <v>0</v>
      </c>
      <c r="M634" s="13">
        <f t="shared" si="19"/>
        <v>0</v>
      </c>
    </row>
    <row r="635" spans="1:13">
      <c r="A635" s="14"/>
      <c r="B635" s="6"/>
      <c r="C635" s="7">
        <f>IFERROR(VLOOKUP(B635,ชื่อสินค้า!A:C,2,FALSE),)</f>
        <v>0</v>
      </c>
      <c r="D635" s="8" t="str">
        <f>IFERROR(VLOOKUP(B635,ชื่อสินค้า!A:D,4,FALSE),"")</f>
        <v/>
      </c>
      <c r="E635" s="9"/>
      <c r="F635" s="9"/>
      <c r="G635" s="8" t="str">
        <f t="shared" si="15"/>
        <v/>
      </c>
      <c r="H635" s="10">
        <f t="shared" si="16"/>
        <v>0</v>
      </c>
      <c r="I635" s="8">
        <f>IF(G635&lt;&gt;"",E635-SUMIFS(ขายสินค้า!E:E,ขายสินค้า!G:G,H635),)</f>
        <v>0</v>
      </c>
      <c r="J635" s="11">
        <f t="shared" si="17"/>
        <v>0</v>
      </c>
      <c r="K635" s="11">
        <f>IF(B635&lt;&gt;"", IFERROR(SUMIF(ขายสินค้า!G:G,H635,ขายสินค้า!F:F)/(E635-I635),0),)</f>
        <v>0</v>
      </c>
      <c r="L635" s="12">
        <f t="shared" si="18"/>
        <v>0</v>
      </c>
      <c r="M635" s="13">
        <f t="shared" si="19"/>
        <v>0</v>
      </c>
    </row>
    <row r="636" spans="1:13">
      <c r="A636" s="14"/>
      <c r="B636" s="6"/>
      <c r="C636" s="7">
        <f>IFERROR(VLOOKUP(B636,ชื่อสินค้า!A:C,2,FALSE),)</f>
        <v>0</v>
      </c>
      <c r="D636" s="8" t="str">
        <f>IFERROR(VLOOKUP(B636,ชื่อสินค้า!A:D,4,FALSE),"")</f>
        <v/>
      </c>
      <c r="E636" s="9"/>
      <c r="F636" s="9"/>
      <c r="G636" s="8" t="str">
        <f t="shared" si="15"/>
        <v/>
      </c>
      <c r="H636" s="10">
        <f t="shared" si="16"/>
        <v>0</v>
      </c>
      <c r="I636" s="8">
        <f>IF(G636&lt;&gt;"",E636-SUMIFS(ขายสินค้า!E:E,ขายสินค้า!G:G,H636),)</f>
        <v>0</v>
      </c>
      <c r="J636" s="11">
        <f t="shared" si="17"/>
        <v>0</v>
      </c>
      <c r="K636" s="11">
        <f>IF(B636&lt;&gt;"", IFERROR(SUMIF(ขายสินค้า!G:G,H636,ขายสินค้า!F:F)/(E636-I636),0),)</f>
        <v>0</v>
      </c>
      <c r="L636" s="12">
        <f t="shared" si="18"/>
        <v>0</v>
      </c>
      <c r="M636" s="13">
        <f t="shared" si="19"/>
        <v>0</v>
      </c>
    </row>
    <row r="637" spans="1:13">
      <c r="A637" s="14"/>
      <c r="B637" s="6"/>
      <c r="C637" s="7">
        <f>IFERROR(VLOOKUP(B637,ชื่อสินค้า!A:C,2,FALSE),)</f>
        <v>0</v>
      </c>
      <c r="D637" s="8" t="str">
        <f>IFERROR(VLOOKUP(B637,ชื่อสินค้า!A:D,4,FALSE),"")</f>
        <v/>
      </c>
      <c r="E637" s="9"/>
      <c r="F637" s="9"/>
      <c r="G637" s="8" t="str">
        <f t="shared" si="15"/>
        <v/>
      </c>
      <c r="H637" s="10">
        <f t="shared" si="16"/>
        <v>0</v>
      </c>
      <c r="I637" s="8">
        <f>IF(G637&lt;&gt;"",E637-SUMIFS(ขายสินค้า!E:E,ขายสินค้า!G:G,H637),)</f>
        <v>0</v>
      </c>
      <c r="J637" s="11">
        <f t="shared" si="17"/>
        <v>0</v>
      </c>
      <c r="K637" s="11">
        <f>IF(B637&lt;&gt;"", IFERROR(SUMIF(ขายสินค้า!G:G,H637,ขายสินค้า!F:F)/(E637-I637),0),)</f>
        <v>0</v>
      </c>
      <c r="L637" s="12">
        <f t="shared" si="18"/>
        <v>0</v>
      </c>
      <c r="M637" s="13">
        <f t="shared" si="19"/>
        <v>0</v>
      </c>
    </row>
    <row r="638" spans="1:13">
      <c r="A638" s="14"/>
      <c r="B638" s="6"/>
      <c r="C638" s="7">
        <f>IFERROR(VLOOKUP(B638,ชื่อสินค้า!A:C,2,FALSE),)</f>
        <v>0</v>
      </c>
      <c r="D638" s="8" t="str">
        <f>IFERROR(VLOOKUP(B638,ชื่อสินค้า!A:D,4,FALSE),"")</f>
        <v/>
      </c>
      <c r="E638" s="9"/>
      <c r="F638" s="9"/>
      <c r="G638" s="8" t="str">
        <f t="shared" si="15"/>
        <v/>
      </c>
      <c r="H638" s="10">
        <f t="shared" si="16"/>
        <v>0</v>
      </c>
      <c r="I638" s="8">
        <f>IF(G638&lt;&gt;"",E638-SUMIFS(ขายสินค้า!E:E,ขายสินค้า!G:G,H638),)</f>
        <v>0</v>
      </c>
      <c r="J638" s="11">
        <f t="shared" si="17"/>
        <v>0</v>
      </c>
      <c r="K638" s="11">
        <f>IF(B638&lt;&gt;"", IFERROR(SUMIF(ขายสินค้า!G:G,H638,ขายสินค้า!F:F)/(E638-I638),0),)</f>
        <v>0</v>
      </c>
      <c r="L638" s="12">
        <f t="shared" si="18"/>
        <v>0</v>
      </c>
      <c r="M638" s="13">
        <f t="shared" si="19"/>
        <v>0</v>
      </c>
    </row>
    <row r="639" spans="1:13">
      <c r="A639" s="14"/>
      <c r="B639" s="6"/>
      <c r="C639" s="7">
        <f>IFERROR(VLOOKUP(B639,ชื่อสินค้า!A:C,2,FALSE),)</f>
        <v>0</v>
      </c>
      <c r="D639" s="8" t="str">
        <f>IFERROR(VLOOKUP(B639,ชื่อสินค้า!A:D,4,FALSE),"")</f>
        <v/>
      </c>
      <c r="E639" s="9"/>
      <c r="F639" s="9"/>
      <c r="G639" s="8" t="str">
        <f t="shared" si="15"/>
        <v/>
      </c>
      <c r="H639" s="10">
        <f t="shared" si="16"/>
        <v>0</v>
      </c>
      <c r="I639" s="8">
        <f>IF(G639&lt;&gt;"",E639-SUMIFS(ขายสินค้า!E:E,ขายสินค้า!G:G,H639),)</f>
        <v>0</v>
      </c>
      <c r="J639" s="11">
        <f t="shared" si="17"/>
        <v>0</v>
      </c>
      <c r="K639" s="11">
        <f>IF(B639&lt;&gt;"", IFERROR(SUMIF(ขายสินค้า!G:G,H639,ขายสินค้า!F:F)/(E639-I639),0),)</f>
        <v>0</v>
      </c>
      <c r="L639" s="12">
        <f t="shared" si="18"/>
        <v>0</v>
      </c>
      <c r="M639" s="13">
        <f t="shared" si="19"/>
        <v>0</v>
      </c>
    </row>
    <row r="640" spans="1:13">
      <c r="A640" s="14"/>
      <c r="B640" s="6"/>
      <c r="C640" s="7">
        <f>IFERROR(VLOOKUP(B640,ชื่อสินค้า!A:C,2,FALSE),)</f>
        <v>0</v>
      </c>
      <c r="D640" s="8" t="str">
        <f>IFERROR(VLOOKUP(B640,ชื่อสินค้า!A:D,4,FALSE),"")</f>
        <v/>
      </c>
      <c r="E640" s="9"/>
      <c r="F640" s="9"/>
      <c r="G640" s="8" t="str">
        <f t="shared" si="15"/>
        <v/>
      </c>
      <c r="H640" s="10">
        <f t="shared" si="16"/>
        <v>0</v>
      </c>
      <c r="I640" s="8">
        <f>IF(G640&lt;&gt;"",E640-SUMIFS(ขายสินค้า!E:E,ขายสินค้า!G:G,H640),)</f>
        <v>0</v>
      </c>
      <c r="J640" s="11">
        <f t="shared" si="17"/>
        <v>0</v>
      </c>
      <c r="K640" s="11">
        <f>IF(B640&lt;&gt;"", IFERROR(SUMIF(ขายสินค้า!G:G,H640,ขายสินค้า!F:F)/(E640-I640),0),)</f>
        <v>0</v>
      </c>
      <c r="L640" s="12">
        <f t="shared" si="18"/>
        <v>0</v>
      </c>
      <c r="M640" s="13">
        <f t="shared" si="19"/>
        <v>0</v>
      </c>
    </row>
    <row r="641" spans="1:13">
      <c r="A641" s="14"/>
      <c r="B641" s="6"/>
      <c r="C641" s="7">
        <f>IFERROR(VLOOKUP(B641,ชื่อสินค้า!A:C,2,FALSE),)</f>
        <v>0</v>
      </c>
      <c r="D641" s="8" t="str">
        <f>IFERROR(VLOOKUP(B641,ชื่อสินค้า!A:D,4,FALSE),"")</f>
        <v/>
      </c>
      <c r="E641" s="9"/>
      <c r="F641" s="9"/>
      <c r="G641" s="8" t="str">
        <f t="shared" si="15"/>
        <v/>
      </c>
      <c r="H641" s="10">
        <f t="shared" si="16"/>
        <v>0</v>
      </c>
      <c r="I641" s="8">
        <f>IF(G641&lt;&gt;"",E641-SUMIFS(ขายสินค้า!E:E,ขายสินค้า!G:G,H641),)</f>
        <v>0</v>
      </c>
      <c r="J641" s="11">
        <f t="shared" si="17"/>
        <v>0</v>
      </c>
      <c r="K641" s="11">
        <f>IF(B641&lt;&gt;"", IFERROR(SUMIF(ขายสินค้า!G:G,H641,ขายสินค้า!F:F)/(E641-I641),0),)</f>
        <v>0</v>
      </c>
      <c r="L641" s="12">
        <f t="shared" si="18"/>
        <v>0</v>
      </c>
      <c r="M641" s="13">
        <f t="shared" si="19"/>
        <v>0</v>
      </c>
    </row>
    <row r="642" spans="1:13">
      <c r="A642" s="14"/>
      <c r="B642" s="6"/>
      <c r="C642" s="7">
        <f>IFERROR(VLOOKUP(B642,ชื่อสินค้า!A:C,2,FALSE),)</f>
        <v>0</v>
      </c>
      <c r="D642" s="8" t="str">
        <f>IFERROR(VLOOKUP(B642,ชื่อสินค้า!A:D,4,FALSE),"")</f>
        <v/>
      </c>
      <c r="E642" s="9"/>
      <c r="F642" s="9"/>
      <c r="G642" s="8" t="str">
        <f t="shared" si="15"/>
        <v/>
      </c>
      <c r="H642" s="10">
        <f t="shared" si="16"/>
        <v>0</v>
      </c>
      <c r="I642" s="8">
        <f>IF(G642&lt;&gt;"",E642-SUMIFS(ขายสินค้า!E:E,ขายสินค้า!G:G,H642),)</f>
        <v>0</v>
      </c>
      <c r="J642" s="11">
        <f t="shared" si="17"/>
        <v>0</v>
      </c>
      <c r="K642" s="11">
        <f>IF(B642&lt;&gt;"", IFERROR(SUMIF(ขายสินค้า!G:G,H642,ขายสินค้า!F:F)/(E642-I642),0),)</f>
        <v>0</v>
      </c>
      <c r="L642" s="12">
        <f t="shared" si="18"/>
        <v>0</v>
      </c>
      <c r="M642" s="13">
        <f t="shared" si="19"/>
        <v>0</v>
      </c>
    </row>
    <row r="643" spans="1:13">
      <c r="A643" s="14"/>
      <c r="B643" s="6"/>
      <c r="C643" s="7">
        <f>IFERROR(VLOOKUP(B643,ชื่อสินค้า!A:C,2,FALSE),)</f>
        <v>0</v>
      </c>
      <c r="D643" s="8" t="str">
        <f>IFERROR(VLOOKUP(B643,ชื่อสินค้า!A:D,4,FALSE),"")</f>
        <v/>
      </c>
      <c r="E643" s="9"/>
      <c r="F643" s="9"/>
      <c r="G643" s="8" t="str">
        <f t="shared" si="15"/>
        <v/>
      </c>
      <c r="H643" s="10">
        <f t="shared" si="16"/>
        <v>0</v>
      </c>
      <c r="I643" s="8">
        <f>IF(G643&lt;&gt;"",E643-SUMIFS(ขายสินค้า!E:E,ขายสินค้า!G:G,H643),)</f>
        <v>0</v>
      </c>
      <c r="J643" s="11">
        <f t="shared" si="17"/>
        <v>0</v>
      </c>
      <c r="K643" s="11">
        <f>IF(B643&lt;&gt;"", IFERROR(SUMIF(ขายสินค้า!G:G,H643,ขายสินค้า!F:F)/(E643-I643),0),)</f>
        <v>0</v>
      </c>
      <c r="L643" s="12">
        <f t="shared" si="18"/>
        <v>0</v>
      </c>
      <c r="M643" s="13">
        <f t="shared" si="19"/>
        <v>0</v>
      </c>
    </row>
    <row r="644" spans="1:13">
      <c r="A644" s="14"/>
      <c r="B644" s="6"/>
      <c r="C644" s="7">
        <f>IFERROR(VLOOKUP(B644,ชื่อสินค้า!A:C,2,FALSE),)</f>
        <v>0</v>
      </c>
      <c r="D644" s="8" t="str">
        <f>IFERROR(VLOOKUP(B644,ชื่อสินค้า!A:D,4,FALSE),"")</f>
        <v/>
      </c>
      <c r="E644" s="9"/>
      <c r="F644" s="9"/>
      <c r="G644" s="8" t="str">
        <f t="shared" si="15"/>
        <v/>
      </c>
      <c r="H644" s="10">
        <f t="shared" si="16"/>
        <v>0</v>
      </c>
      <c r="I644" s="8">
        <f>IF(G644&lt;&gt;"",E644-SUMIFS(ขายสินค้า!E:E,ขายสินค้า!G:G,H644),)</f>
        <v>0</v>
      </c>
      <c r="J644" s="11">
        <f t="shared" si="17"/>
        <v>0</v>
      </c>
      <c r="K644" s="11">
        <f>IF(B644&lt;&gt;"", IFERROR(SUMIF(ขายสินค้า!G:G,H644,ขายสินค้า!F:F)/(E644-I644),0),)</f>
        <v>0</v>
      </c>
      <c r="L644" s="12">
        <f t="shared" si="18"/>
        <v>0</v>
      </c>
      <c r="M644" s="13">
        <f t="shared" si="19"/>
        <v>0</v>
      </c>
    </row>
    <row r="645" spans="1:13">
      <c r="A645" s="14"/>
      <c r="B645" s="6"/>
      <c r="C645" s="7">
        <f>IFERROR(VLOOKUP(B645,ชื่อสินค้า!A:C,2,FALSE),)</f>
        <v>0</v>
      </c>
      <c r="D645" s="8" t="str">
        <f>IFERROR(VLOOKUP(B645,ชื่อสินค้า!A:D,4,FALSE),"")</f>
        <v/>
      </c>
      <c r="E645" s="9"/>
      <c r="F645" s="9"/>
      <c r="G645" s="8" t="str">
        <f t="shared" si="15"/>
        <v/>
      </c>
      <c r="H645" s="10">
        <f t="shared" si="16"/>
        <v>0</v>
      </c>
      <c r="I645" s="8">
        <f>IF(G645&lt;&gt;"",E645-SUMIFS(ขายสินค้า!E:E,ขายสินค้า!G:G,H645),)</f>
        <v>0</v>
      </c>
      <c r="J645" s="11">
        <f t="shared" si="17"/>
        <v>0</v>
      </c>
      <c r="K645" s="11">
        <f>IF(B645&lt;&gt;"", IFERROR(SUMIF(ขายสินค้า!G:G,H645,ขายสินค้า!F:F)/(E645-I645),0),)</f>
        <v>0</v>
      </c>
      <c r="L645" s="12">
        <f t="shared" si="18"/>
        <v>0</v>
      </c>
      <c r="M645" s="13">
        <f t="shared" si="19"/>
        <v>0</v>
      </c>
    </row>
    <row r="646" spans="1:13">
      <c r="A646" s="14"/>
      <c r="B646" s="6"/>
      <c r="C646" s="7">
        <f>IFERROR(VLOOKUP(B646,ชื่อสินค้า!A:C,2,FALSE),)</f>
        <v>0</v>
      </c>
      <c r="D646" s="8" t="str">
        <f>IFERROR(VLOOKUP(B646,ชื่อสินค้า!A:D,4,FALSE),"")</f>
        <v/>
      </c>
      <c r="E646" s="9"/>
      <c r="F646" s="9"/>
      <c r="G646" s="8" t="str">
        <f t="shared" si="15"/>
        <v/>
      </c>
      <c r="H646" s="10">
        <f t="shared" si="16"/>
        <v>0</v>
      </c>
      <c r="I646" s="8">
        <f>IF(G646&lt;&gt;"",E646-SUMIFS(ขายสินค้า!E:E,ขายสินค้า!G:G,H646),)</f>
        <v>0</v>
      </c>
      <c r="J646" s="11">
        <f t="shared" si="17"/>
        <v>0</v>
      </c>
      <c r="K646" s="11">
        <f>IF(B646&lt;&gt;"", IFERROR(SUMIF(ขายสินค้า!G:G,H646,ขายสินค้า!F:F)/(E646-I646),0),)</f>
        <v>0</v>
      </c>
      <c r="L646" s="12">
        <f t="shared" si="18"/>
        <v>0</v>
      </c>
      <c r="M646" s="13">
        <f t="shared" si="19"/>
        <v>0</v>
      </c>
    </row>
    <row r="647" spans="1:13">
      <c r="A647" s="14"/>
      <c r="B647" s="6"/>
      <c r="C647" s="7">
        <f>IFERROR(VLOOKUP(B647,ชื่อสินค้า!A:C,2,FALSE),)</f>
        <v>0</v>
      </c>
      <c r="D647" s="8" t="str">
        <f>IFERROR(VLOOKUP(B647,ชื่อสินค้า!A:D,4,FALSE),"")</f>
        <v/>
      </c>
      <c r="E647" s="9"/>
      <c r="F647" s="9"/>
      <c r="G647" s="8" t="str">
        <f t="shared" si="15"/>
        <v/>
      </c>
      <c r="H647" s="10">
        <f t="shared" si="16"/>
        <v>0</v>
      </c>
      <c r="I647" s="8">
        <f>IF(G647&lt;&gt;"",E647-SUMIFS(ขายสินค้า!E:E,ขายสินค้า!G:G,H647),)</f>
        <v>0</v>
      </c>
      <c r="J647" s="11">
        <f t="shared" si="17"/>
        <v>0</v>
      </c>
      <c r="K647" s="11">
        <f>IF(B647&lt;&gt;"", IFERROR(SUMIF(ขายสินค้า!G:G,H647,ขายสินค้า!F:F)/(E647-I647),0),)</f>
        <v>0</v>
      </c>
      <c r="L647" s="12">
        <f t="shared" si="18"/>
        <v>0</v>
      </c>
      <c r="M647" s="13">
        <f t="shared" si="19"/>
        <v>0</v>
      </c>
    </row>
    <row r="648" spans="1:13">
      <c r="A648" s="14"/>
      <c r="B648" s="6"/>
      <c r="C648" s="7">
        <f>IFERROR(VLOOKUP(B648,ชื่อสินค้า!A:C,2,FALSE),)</f>
        <v>0</v>
      </c>
      <c r="D648" s="8" t="str">
        <f>IFERROR(VLOOKUP(B648,ชื่อสินค้า!A:D,4,FALSE),"")</f>
        <v/>
      </c>
      <c r="E648" s="9"/>
      <c r="F648" s="9"/>
      <c r="G648" s="8" t="str">
        <f t="shared" si="15"/>
        <v/>
      </c>
      <c r="H648" s="10">
        <f t="shared" si="16"/>
        <v>0</v>
      </c>
      <c r="I648" s="8">
        <f>IF(G648&lt;&gt;"",E648-SUMIFS(ขายสินค้า!E:E,ขายสินค้า!G:G,H648),)</f>
        <v>0</v>
      </c>
      <c r="J648" s="11">
        <f t="shared" si="17"/>
        <v>0</v>
      </c>
      <c r="K648" s="11">
        <f>IF(B648&lt;&gt;"", IFERROR(SUMIF(ขายสินค้า!G:G,H648,ขายสินค้า!F:F)/(E648-I648),0),)</f>
        <v>0</v>
      </c>
      <c r="L648" s="12">
        <f t="shared" si="18"/>
        <v>0</v>
      </c>
      <c r="M648" s="13">
        <f t="shared" si="19"/>
        <v>0</v>
      </c>
    </row>
    <row r="649" spans="1:13">
      <c r="A649" s="14"/>
      <c r="B649" s="6"/>
      <c r="C649" s="7">
        <f>IFERROR(VLOOKUP(B649,ชื่อสินค้า!A:C,2,FALSE),)</f>
        <v>0</v>
      </c>
      <c r="D649" s="8" t="str">
        <f>IFERROR(VLOOKUP(B649,ชื่อสินค้า!A:D,4,FALSE),"")</f>
        <v/>
      </c>
      <c r="E649" s="9"/>
      <c r="F649" s="9"/>
      <c r="G649" s="8" t="str">
        <f t="shared" si="15"/>
        <v/>
      </c>
      <c r="H649" s="10">
        <f t="shared" si="16"/>
        <v>0</v>
      </c>
      <c r="I649" s="8">
        <f>IF(G649&lt;&gt;"",E649-SUMIFS(ขายสินค้า!E:E,ขายสินค้า!G:G,H649),)</f>
        <v>0</v>
      </c>
      <c r="J649" s="11">
        <f t="shared" si="17"/>
        <v>0</v>
      </c>
      <c r="K649" s="11">
        <f>IF(B649&lt;&gt;"", IFERROR(SUMIF(ขายสินค้า!G:G,H649,ขายสินค้า!F:F)/(E649-I649),0),)</f>
        <v>0</v>
      </c>
      <c r="L649" s="12">
        <f t="shared" si="18"/>
        <v>0</v>
      </c>
      <c r="M649" s="13">
        <f t="shared" si="19"/>
        <v>0</v>
      </c>
    </row>
    <row r="650" spans="1:13">
      <c r="A650" s="14"/>
      <c r="B650" s="6"/>
      <c r="C650" s="7">
        <f>IFERROR(VLOOKUP(B650,ชื่อสินค้า!A:C,2,FALSE),)</f>
        <v>0</v>
      </c>
      <c r="D650" s="8" t="str">
        <f>IFERROR(VLOOKUP(B650,ชื่อสินค้า!A:D,4,FALSE),"")</f>
        <v/>
      </c>
      <c r="E650" s="9"/>
      <c r="F650" s="9"/>
      <c r="G650" s="8" t="str">
        <f t="shared" si="15"/>
        <v/>
      </c>
      <c r="H650" s="10">
        <f t="shared" si="16"/>
        <v>0</v>
      </c>
      <c r="I650" s="8">
        <f>IF(G650&lt;&gt;"",E650-SUMIFS(ขายสินค้า!E:E,ขายสินค้า!G:G,H650),)</f>
        <v>0</v>
      </c>
      <c r="J650" s="11">
        <f t="shared" si="17"/>
        <v>0</v>
      </c>
      <c r="K650" s="11">
        <f>IF(B650&lt;&gt;"", IFERROR(SUMIF(ขายสินค้า!G:G,H650,ขายสินค้า!F:F)/(E650-I650),0),)</f>
        <v>0</v>
      </c>
      <c r="L650" s="12">
        <f t="shared" si="18"/>
        <v>0</v>
      </c>
      <c r="M650" s="13">
        <f t="shared" si="19"/>
        <v>0</v>
      </c>
    </row>
    <row r="651" spans="1:13">
      <c r="A651" s="14"/>
      <c r="B651" s="6"/>
      <c r="C651" s="7">
        <f>IFERROR(VLOOKUP(B651,ชื่อสินค้า!A:C,2,FALSE),)</f>
        <v>0</v>
      </c>
      <c r="D651" s="8" t="str">
        <f>IFERROR(VLOOKUP(B651,ชื่อสินค้า!A:D,4,FALSE),"")</f>
        <v/>
      </c>
      <c r="E651" s="9"/>
      <c r="F651" s="9"/>
      <c r="G651" s="8" t="str">
        <f t="shared" si="15"/>
        <v/>
      </c>
      <c r="H651" s="10">
        <f t="shared" si="16"/>
        <v>0</v>
      </c>
      <c r="I651" s="8">
        <f>IF(G651&lt;&gt;"",E651-SUMIFS(ขายสินค้า!E:E,ขายสินค้า!G:G,H651),)</f>
        <v>0</v>
      </c>
      <c r="J651" s="11">
        <f t="shared" si="17"/>
        <v>0</v>
      </c>
      <c r="K651" s="11">
        <f>IF(B651&lt;&gt;"", IFERROR(SUMIF(ขายสินค้า!G:G,H651,ขายสินค้า!F:F)/(E651-I651),0),)</f>
        <v>0</v>
      </c>
      <c r="L651" s="12">
        <f t="shared" si="18"/>
        <v>0</v>
      </c>
      <c r="M651" s="13">
        <f t="shared" si="19"/>
        <v>0</v>
      </c>
    </row>
    <row r="652" spans="1:13">
      <c r="A652" s="14"/>
      <c r="B652" s="6"/>
      <c r="C652" s="7">
        <f>IFERROR(VLOOKUP(B652,ชื่อสินค้า!A:C,2,FALSE),)</f>
        <v>0</v>
      </c>
      <c r="D652" s="8" t="str">
        <f>IFERROR(VLOOKUP(B652,ชื่อสินค้า!A:D,4,FALSE),"")</f>
        <v/>
      </c>
      <c r="E652" s="9"/>
      <c r="F652" s="9"/>
      <c r="G652" s="8" t="str">
        <f t="shared" si="15"/>
        <v/>
      </c>
      <c r="H652" s="10">
        <f t="shared" si="16"/>
        <v>0</v>
      </c>
      <c r="I652" s="8">
        <f>IF(G652&lt;&gt;"",E652-SUMIFS(ขายสินค้า!E:E,ขายสินค้า!G:G,H652),)</f>
        <v>0</v>
      </c>
      <c r="J652" s="11">
        <f t="shared" si="17"/>
        <v>0</v>
      </c>
      <c r="K652" s="11">
        <f>IF(B652&lt;&gt;"", IFERROR(SUMIF(ขายสินค้า!G:G,H652,ขายสินค้า!F:F)/(E652-I652),0),)</f>
        <v>0</v>
      </c>
      <c r="L652" s="12">
        <f t="shared" si="18"/>
        <v>0</v>
      </c>
      <c r="M652" s="13">
        <f t="shared" si="19"/>
        <v>0</v>
      </c>
    </row>
    <row r="653" spans="1:13">
      <c r="A653" s="14"/>
      <c r="B653" s="6"/>
      <c r="C653" s="7">
        <f>IFERROR(VLOOKUP(B653,ชื่อสินค้า!A:C,2,FALSE),)</f>
        <v>0</v>
      </c>
      <c r="D653" s="8" t="str">
        <f>IFERROR(VLOOKUP(B653,ชื่อสินค้า!A:D,4,FALSE),"")</f>
        <v/>
      </c>
      <c r="E653" s="9"/>
      <c r="F653" s="9"/>
      <c r="G653" s="8" t="str">
        <f t="shared" si="15"/>
        <v/>
      </c>
      <c r="H653" s="10">
        <f t="shared" si="16"/>
        <v>0</v>
      </c>
      <c r="I653" s="8">
        <f>IF(G653&lt;&gt;"",E653-SUMIFS(ขายสินค้า!E:E,ขายสินค้า!G:G,H653),)</f>
        <v>0</v>
      </c>
      <c r="J653" s="11">
        <f t="shared" si="17"/>
        <v>0</v>
      </c>
      <c r="K653" s="11">
        <f>IF(B653&lt;&gt;"", IFERROR(SUMIF(ขายสินค้า!G:G,H653,ขายสินค้า!F:F)/(E653-I653),0),)</f>
        <v>0</v>
      </c>
      <c r="L653" s="12">
        <f t="shared" si="18"/>
        <v>0</v>
      </c>
      <c r="M653" s="13">
        <f t="shared" si="19"/>
        <v>0</v>
      </c>
    </row>
    <row r="654" spans="1:13">
      <c r="A654" s="14"/>
      <c r="B654" s="6"/>
      <c r="C654" s="7">
        <f>IFERROR(VLOOKUP(B654,ชื่อสินค้า!A:C,2,FALSE),)</f>
        <v>0</v>
      </c>
      <c r="D654" s="8" t="str">
        <f>IFERROR(VLOOKUP(B654,ชื่อสินค้า!A:D,4,FALSE),"")</f>
        <v/>
      </c>
      <c r="E654" s="9"/>
      <c r="F654" s="9"/>
      <c r="G654" s="8" t="str">
        <f t="shared" si="15"/>
        <v/>
      </c>
      <c r="H654" s="10">
        <f t="shared" si="16"/>
        <v>0</v>
      </c>
      <c r="I654" s="8">
        <f>IF(G654&lt;&gt;"",E654-SUMIFS(ขายสินค้า!E:E,ขายสินค้า!G:G,H654),)</f>
        <v>0</v>
      </c>
      <c r="J654" s="11">
        <f t="shared" si="17"/>
        <v>0</v>
      </c>
      <c r="K654" s="11">
        <f>IF(B654&lt;&gt;"", IFERROR(SUMIF(ขายสินค้า!G:G,H654,ขายสินค้า!F:F)/(E654-I654),0),)</f>
        <v>0</v>
      </c>
      <c r="L654" s="12">
        <f t="shared" si="18"/>
        <v>0</v>
      </c>
      <c r="M654" s="13">
        <f t="shared" si="19"/>
        <v>0</v>
      </c>
    </row>
    <row r="655" spans="1:13">
      <c r="A655" s="14"/>
      <c r="B655" s="6"/>
      <c r="C655" s="7">
        <f>IFERROR(VLOOKUP(B655,ชื่อสินค้า!A:C,2,FALSE),)</f>
        <v>0</v>
      </c>
      <c r="D655" s="8" t="str">
        <f>IFERROR(VLOOKUP(B655,ชื่อสินค้า!A:D,4,FALSE),"")</f>
        <v/>
      </c>
      <c r="E655" s="9"/>
      <c r="F655" s="9"/>
      <c r="G655" s="8" t="str">
        <f t="shared" si="15"/>
        <v/>
      </c>
      <c r="H655" s="10">
        <f t="shared" si="16"/>
        <v>0</v>
      </c>
      <c r="I655" s="8">
        <f>IF(G655&lt;&gt;"",E655-SUMIFS(ขายสินค้า!E:E,ขายสินค้า!G:G,H655),)</f>
        <v>0</v>
      </c>
      <c r="J655" s="11">
        <f t="shared" si="17"/>
        <v>0</v>
      </c>
      <c r="K655" s="11">
        <f>IF(B655&lt;&gt;"", IFERROR(SUMIF(ขายสินค้า!G:G,H655,ขายสินค้า!F:F)/(E655-I655),0),)</f>
        <v>0</v>
      </c>
      <c r="L655" s="12">
        <f t="shared" si="18"/>
        <v>0</v>
      </c>
      <c r="M655" s="13">
        <f t="shared" si="19"/>
        <v>0</v>
      </c>
    </row>
    <row r="656" spans="1:13">
      <c r="A656" s="14"/>
      <c r="B656" s="6"/>
      <c r="C656" s="7">
        <f>IFERROR(VLOOKUP(B656,ชื่อสินค้า!A:C,2,FALSE),)</f>
        <v>0</v>
      </c>
      <c r="D656" s="8" t="str">
        <f>IFERROR(VLOOKUP(B656,ชื่อสินค้า!A:D,4,FALSE),"")</f>
        <v/>
      </c>
      <c r="E656" s="9"/>
      <c r="F656" s="9"/>
      <c r="G656" s="8" t="str">
        <f t="shared" si="15"/>
        <v/>
      </c>
      <c r="H656" s="10">
        <f t="shared" si="16"/>
        <v>0</v>
      </c>
      <c r="I656" s="8">
        <f>IF(G656&lt;&gt;"",E656-SUMIFS(ขายสินค้า!E:E,ขายสินค้า!G:G,H656),)</f>
        <v>0</v>
      </c>
      <c r="J656" s="11">
        <f t="shared" si="17"/>
        <v>0</v>
      </c>
      <c r="K656" s="11">
        <f>IF(B656&lt;&gt;"", IFERROR(SUMIF(ขายสินค้า!G:G,H656,ขายสินค้า!F:F)/(E656-I656),0),)</f>
        <v>0</v>
      </c>
      <c r="L656" s="12">
        <f t="shared" si="18"/>
        <v>0</v>
      </c>
      <c r="M656" s="13">
        <f t="shared" si="19"/>
        <v>0</v>
      </c>
    </row>
    <row r="657" spans="1:13">
      <c r="A657" s="14"/>
      <c r="B657" s="6"/>
      <c r="C657" s="7">
        <f>IFERROR(VLOOKUP(B657,ชื่อสินค้า!A:C,2,FALSE),)</f>
        <v>0</v>
      </c>
      <c r="D657" s="8" t="str">
        <f>IFERROR(VLOOKUP(B657,ชื่อสินค้า!A:D,4,FALSE),"")</f>
        <v/>
      </c>
      <c r="E657" s="9"/>
      <c r="F657" s="9"/>
      <c r="G657" s="8" t="str">
        <f t="shared" si="15"/>
        <v/>
      </c>
      <c r="H657" s="10">
        <f t="shared" si="16"/>
        <v>0</v>
      </c>
      <c r="I657" s="8">
        <f>IF(G657&lt;&gt;"",E657-SUMIFS(ขายสินค้า!E:E,ขายสินค้า!G:G,H657),)</f>
        <v>0</v>
      </c>
      <c r="J657" s="11">
        <f t="shared" si="17"/>
        <v>0</v>
      </c>
      <c r="K657" s="11">
        <f>IF(B657&lt;&gt;"", IFERROR(SUMIF(ขายสินค้า!G:G,H657,ขายสินค้า!F:F)/(E657-I657),0),)</f>
        <v>0</v>
      </c>
      <c r="L657" s="12">
        <f t="shared" si="18"/>
        <v>0</v>
      </c>
      <c r="M657" s="13">
        <f t="shared" si="19"/>
        <v>0</v>
      </c>
    </row>
    <row r="658" spans="1:13">
      <c r="A658" s="14"/>
      <c r="B658" s="6"/>
      <c r="C658" s="7">
        <f>IFERROR(VLOOKUP(B658,ชื่อสินค้า!A:C,2,FALSE),)</f>
        <v>0</v>
      </c>
      <c r="D658" s="8" t="str">
        <f>IFERROR(VLOOKUP(B658,ชื่อสินค้า!A:D,4,FALSE),"")</f>
        <v/>
      </c>
      <c r="E658" s="9"/>
      <c r="F658" s="9"/>
      <c r="G658" s="8" t="str">
        <f t="shared" si="15"/>
        <v/>
      </c>
      <c r="H658" s="10">
        <f t="shared" si="16"/>
        <v>0</v>
      </c>
      <c r="I658" s="8">
        <f>IF(G658&lt;&gt;"",E658-SUMIFS(ขายสินค้า!E:E,ขายสินค้า!G:G,H658),)</f>
        <v>0</v>
      </c>
      <c r="J658" s="11">
        <f t="shared" si="17"/>
        <v>0</v>
      </c>
      <c r="K658" s="11">
        <f>IF(B658&lt;&gt;"", IFERROR(SUMIF(ขายสินค้า!G:G,H658,ขายสินค้า!F:F)/(E658-I658),0),)</f>
        <v>0</v>
      </c>
      <c r="L658" s="12">
        <f t="shared" si="18"/>
        <v>0</v>
      </c>
      <c r="M658" s="13">
        <f t="shared" si="19"/>
        <v>0</v>
      </c>
    </row>
    <row r="659" spans="1:13">
      <c r="A659" s="14"/>
      <c r="B659" s="6"/>
      <c r="C659" s="7">
        <f>IFERROR(VLOOKUP(B659,ชื่อสินค้า!A:C,2,FALSE),)</f>
        <v>0</v>
      </c>
      <c r="D659" s="8" t="str">
        <f>IFERROR(VLOOKUP(B659,ชื่อสินค้า!A:D,4,FALSE),"")</f>
        <v/>
      </c>
      <c r="E659" s="9"/>
      <c r="F659" s="9"/>
      <c r="G659" s="8" t="str">
        <f t="shared" si="15"/>
        <v/>
      </c>
      <c r="H659" s="10">
        <f t="shared" si="16"/>
        <v>0</v>
      </c>
      <c r="I659" s="8">
        <f>IF(G659&lt;&gt;"",E659-SUMIFS(ขายสินค้า!E:E,ขายสินค้า!G:G,H659),)</f>
        <v>0</v>
      </c>
      <c r="J659" s="11">
        <f t="shared" si="17"/>
        <v>0</v>
      </c>
      <c r="K659" s="11">
        <f>IF(B659&lt;&gt;"", IFERROR(SUMIF(ขายสินค้า!G:G,H659,ขายสินค้า!F:F)/(E659-I659),0),)</f>
        <v>0</v>
      </c>
      <c r="L659" s="12">
        <f t="shared" si="18"/>
        <v>0</v>
      </c>
      <c r="M659" s="13">
        <f t="shared" si="19"/>
        <v>0</v>
      </c>
    </row>
    <row r="660" spans="1:13">
      <c r="A660" s="14"/>
      <c r="B660" s="6"/>
      <c r="C660" s="7">
        <f>IFERROR(VLOOKUP(B660,ชื่อสินค้า!A:C,2,FALSE),)</f>
        <v>0</v>
      </c>
      <c r="D660" s="8" t="str">
        <f>IFERROR(VLOOKUP(B660,ชื่อสินค้า!A:D,4,FALSE),"")</f>
        <v/>
      </c>
      <c r="E660" s="9"/>
      <c r="F660" s="9"/>
      <c r="G660" s="8" t="str">
        <f t="shared" si="15"/>
        <v/>
      </c>
      <c r="H660" s="10">
        <f t="shared" si="16"/>
        <v>0</v>
      </c>
      <c r="I660" s="8">
        <f>IF(G660&lt;&gt;"",E660-SUMIFS(ขายสินค้า!E:E,ขายสินค้า!G:G,H660),)</f>
        <v>0</v>
      </c>
      <c r="J660" s="11">
        <f t="shared" si="17"/>
        <v>0</v>
      </c>
      <c r="K660" s="11">
        <f>IF(B660&lt;&gt;"", IFERROR(SUMIF(ขายสินค้า!G:G,H660,ขายสินค้า!F:F)/(E660-I660),0),)</f>
        <v>0</v>
      </c>
      <c r="L660" s="12">
        <f t="shared" si="18"/>
        <v>0</v>
      </c>
      <c r="M660" s="13">
        <f t="shared" si="19"/>
        <v>0</v>
      </c>
    </row>
    <row r="661" spans="1:13">
      <c r="A661" s="14"/>
      <c r="B661" s="6"/>
      <c r="C661" s="7">
        <f>IFERROR(VLOOKUP(B661,ชื่อสินค้า!A:C,2,FALSE),)</f>
        <v>0</v>
      </c>
      <c r="D661" s="8" t="str">
        <f>IFERROR(VLOOKUP(B661,ชื่อสินค้า!A:D,4,FALSE),"")</f>
        <v/>
      </c>
      <c r="E661" s="9"/>
      <c r="F661" s="9"/>
      <c r="G661" s="8" t="str">
        <f t="shared" si="15"/>
        <v/>
      </c>
      <c r="H661" s="10">
        <f t="shared" si="16"/>
        <v>0</v>
      </c>
      <c r="I661" s="8">
        <f>IF(G661&lt;&gt;"",E661-SUMIFS(ขายสินค้า!E:E,ขายสินค้า!G:G,H661),)</f>
        <v>0</v>
      </c>
      <c r="J661" s="11">
        <f t="shared" si="17"/>
        <v>0</v>
      </c>
      <c r="K661" s="11">
        <f>IF(B661&lt;&gt;"", IFERROR(SUMIF(ขายสินค้า!G:G,H661,ขายสินค้า!F:F)/(E661-I661),0),)</f>
        <v>0</v>
      </c>
      <c r="L661" s="12">
        <f t="shared" si="18"/>
        <v>0</v>
      </c>
      <c r="M661" s="13">
        <f t="shared" si="19"/>
        <v>0</v>
      </c>
    </row>
    <row r="662" spans="1:13">
      <c r="A662" s="14"/>
      <c r="B662" s="6"/>
      <c r="C662" s="7">
        <f>IFERROR(VLOOKUP(B662,ชื่อสินค้า!A:C,2,FALSE),)</f>
        <v>0</v>
      </c>
      <c r="D662" s="8" t="str">
        <f>IFERROR(VLOOKUP(B662,ชื่อสินค้า!A:D,4,FALSE),"")</f>
        <v/>
      </c>
      <c r="E662" s="9"/>
      <c r="F662" s="9"/>
      <c r="G662" s="8" t="str">
        <f t="shared" si="15"/>
        <v/>
      </c>
      <c r="H662" s="10">
        <f t="shared" si="16"/>
        <v>0</v>
      </c>
      <c r="I662" s="8">
        <f>IF(G662&lt;&gt;"",E662-SUMIFS(ขายสินค้า!E:E,ขายสินค้า!G:G,H662),)</f>
        <v>0</v>
      </c>
      <c r="J662" s="11">
        <f t="shared" si="17"/>
        <v>0</v>
      </c>
      <c r="K662" s="11">
        <f>IF(B662&lt;&gt;"", IFERROR(SUMIF(ขายสินค้า!G:G,H662,ขายสินค้า!F:F)/(E662-I662),0),)</f>
        <v>0</v>
      </c>
      <c r="L662" s="12">
        <f t="shared" si="18"/>
        <v>0</v>
      </c>
      <c r="M662" s="13">
        <f t="shared" si="19"/>
        <v>0</v>
      </c>
    </row>
    <row r="663" spans="1:13">
      <c r="A663" s="14"/>
      <c r="B663" s="6"/>
      <c r="C663" s="7">
        <f>IFERROR(VLOOKUP(B663,ชื่อสินค้า!A:C,2,FALSE),)</f>
        <v>0</v>
      </c>
      <c r="D663" s="8" t="str">
        <f>IFERROR(VLOOKUP(B663,ชื่อสินค้า!A:D,4,FALSE),"")</f>
        <v/>
      </c>
      <c r="E663" s="9"/>
      <c r="F663" s="9"/>
      <c r="G663" s="8" t="str">
        <f t="shared" si="15"/>
        <v/>
      </c>
      <c r="H663" s="10">
        <f t="shared" si="16"/>
        <v>0</v>
      </c>
      <c r="I663" s="8">
        <f>IF(G663&lt;&gt;"",E663-SUMIFS(ขายสินค้า!E:E,ขายสินค้า!G:G,H663),)</f>
        <v>0</v>
      </c>
      <c r="J663" s="11">
        <f t="shared" si="17"/>
        <v>0</v>
      </c>
      <c r="K663" s="11">
        <f>IF(B663&lt;&gt;"", IFERROR(SUMIF(ขายสินค้า!G:G,H663,ขายสินค้า!F:F)/(E663-I663),0),)</f>
        <v>0</v>
      </c>
      <c r="L663" s="12">
        <f t="shared" si="18"/>
        <v>0</v>
      </c>
      <c r="M663" s="13">
        <f t="shared" si="19"/>
        <v>0</v>
      </c>
    </row>
    <row r="664" spans="1:13">
      <c r="A664" s="14"/>
      <c r="B664" s="6"/>
      <c r="C664" s="7">
        <f>IFERROR(VLOOKUP(B664,ชื่อสินค้า!A:C,2,FALSE),)</f>
        <v>0</v>
      </c>
      <c r="D664" s="8" t="str">
        <f>IFERROR(VLOOKUP(B664,ชื่อสินค้า!A:D,4,FALSE),"")</f>
        <v/>
      </c>
      <c r="E664" s="9"/>
      <c r="F664" s="9"/>
      <c r="G664" s="8" t="str">
        <f t="shared" si="15"/>
        <v/>
      </c>
      <c r="H664" s="10">
        <f t="shared" si="16"/>
        <v>0</v>
      </c>
      <c r="I664" s="8">
        <f>IF(G664&lt;&gt;"",E664-SUMIFS(ขายสินค้า!E:E,ขายสินค้า!G:G,H664),)</f>
        <v>0</v>
      </c>
      <c r="J664" s="11">
        <f t="shared" si="17"/>
        <v>0</v>
      </c>
      <c r="K664" s="11">
        <f>IF(B664&lt;&gt;"", IFERROR(SUMIF(ขายสินค้า!G:G,H664,ขายสินค้า!F:F)/(E664-I664),0),)</f>
        <v>0</v>
      </c>
      <c r="L664" s="12">
        <f t="shared" si="18"/>
        <v>0</v>
      </c>
      <c r="M664" s="13">
        <f t="shared" si="19"/>
        <v>0</v>
      </c>
    </row>
    <row r="665" spans="1:13">
      <c r="A665" s="14"/>
      <c r="B665" s="6"/>
      <c r="C665" s="7">
        <f>IFERROR(VLOOKUP(B665,ชื่อสินค้า!A:C,2,FALSE),)</f>
        <v>0</v>
      </c>
      <c r="D665" s="8" t="str">
        <f>IFERROR(VLOOKUP(B665,ชื่อสินค้า!A:D,4,FALSE),"")</f>
        <v/>
      </c>
      <c r="E665" s="9"/>
      <c r="F665" s="9"/>
      <c r="G665" s="8" t="str">
        <f t="shared" si="15"/>
        <v/>
      </c>
      <c r="H665" s="10">
        <f t="shared" si="16"/>
        <v>0</v>
      </c>
      <c r="I665" s="8">
        <f>IF(G665&lt;&gt;"",E665-SUMIFS(ขายสินค้า!E:E,ขายสินค้า!G:G,H665),)</f>
        <v>0</v>
      </c>
      <c r="J665" s="11">
        <f t="shared" si="17"/>
        <v>0</v>
      </c>
      <c r="K665" s="11">
        <f>IF(B665&lt;&gt;"", IFERROR(SUMIF(ขายสินค้า!G:G,H665,ขายสินค้า!F:F)/(E665-I665),0),)</f>
        <v>0</v>
      </c>
      <c r="L665" s="12">
        <f t="shared" si="18"/>
        <v>0</v>
      </c>
      <c r="M665" s="13">
        <f t="shared" si="19"/>
        <v>0</v>
      </c>
    </row>
    <row r="666" spans="1:13">
      <c r="A666" s="14"/>
      <c r="B666" s="6"/>
      <c r="C666" s="7">
        <f>IFERROR(VLOOKUP(B666,ชื่อสินค้า!A:C,2,FALSE),)</f>
        <v>0</v>
      </c>
      <c r="D666" s="8" t="str">
        <f>IFERROR(VLOOKUP(B666,ชื่อสินค้า!A:D,4,FALSE),"")</f>
        <v/>
      </c>
      <c r="E666" s="9"/>
      <c r="F666" s="9"/>
      <c r="G666" s="8" t="str">
        <f t="shared" si="15"/>
        <v/>
      </c>
      <c r="H666" s="10">
        <f t="shared" si="16"/>
        <v>0</v>
      </c>
      <c r="I666" s="8">
        <f>IF(G666&lt;&gt;"",E666-SUMIFS(ขายสินค้า!E:E,ขายสินค้า!G:G,H666),)</f>
        <v>0</v>
      </c>
      <c r="J666" s="11">
        <f t="shared" si="17"/>
        <v>0</v>
      </c>
      <c r="K666" s="11">
        <f>IF(B666&lt;&gt;"", IFERROR(SUMIF(ขายสินค้า!G:G,H666,ขายสินค้า!F:F)/(E666-I666),0),)</f>
        <v>0</v>
      </c>
      <c r="L666" s="12">
        <f t="shared" si="18"/>
        <v>0</v>
      </c>
      <c r="M666" s="13">
        <f t="shared" si="19"/>
        <v>0</v>
      </c>
    </row>
    <row r="667" spans="1:13">
      <c r="A667" s="14"/>
      <c r="B667" s="6"/>
      <c r="C667" s="7">
        <f>IFERROR(VLOOKUP(B667,ชื่อสินค้า!A:C,2,FALSE),)</f>
        <v>0</v>
      </c>
      <c r="D667" s="8" t="str">
        <f>IFERROR(VLOOKUP(B667,ชื่อสินค้า!A:D,4,FALSE),"")</f>
        <v/>
      </c>
      <c r="E667" s="9"/>
      <c r="F667" s="9"/>
      <c r="G667" s="8" t="str">
        <f t="shared" si="15"/>
        <v/>
      </c>
      <c r="H667" s="10">
        <f t="shared" si="16"/>
        <v>0</v>
      </c>
      <c r="I667" s="8">
        <f>IF(G667&lt;&gt;"",E667-SUMIFS(ขายสินค้า!E:E,ขายสินค้า!G:G,H667),)</f>
        <v>0</v>
      </c>
      <c r="J667" s="11">
        <f t="shared" si="17"/>
        <v>0</v>
      </c>
      <c r="K667" s="11">
        <f>IF(B667&lt;&gt;"", IFERROR(SUMIF(ขายสินค้า!G:G,H667,ขายสินค้า!F:F)/(E667-I667),0),)</f>
        <v>0</v>
      </c>
      <c r="L667" s="12">
        <f t="shared" si="18"/>
        <v>0</v>
      </c>
      <c r="M667" s="13">
        <f t="shared" si="19"/>
        <v>0</v>
      </c>
    </row>
    <row r="668" spans="1:13">
      <c r="A668" s="14"/>
      <c r="B668" s="6"/>
      <c r="C668" s="7">
        <f>IFERROR(VLOOKUP(B668,ชื่อสินค้า!A:C,2,FALSE),)</f>
        <v>0</v>
      </c>
      <c r="D668" s="8" t="str">
        <f>IFERROR(VLOOKUP(B668,ชื่อสินค้า!A:D,4,FALSE),"")</f>
        <v/>
      </c>
      <c r="E668" s="9"/>
      <c r="F668" s="9"/>
      <c r="G668" s="8" t="str">
        <f t="shared" si="15"/>
        <v/>
      </c>
      <c r="H668" s="10">
        <f t="shared" si="16"/>
        <v>0</v>
      </c>
      <c r="I668" s="8">
        <f>IF(G668&lt;&gt;"",E668-SUMIFS(ขายสินค้า!E:E,ขายสินค้า!G:G,H668),)</f>
        <v>0</v>
      </c>
      <c r="J668" s="11">
        <f t="shared" si="17"/>
        <v>0</v>
      </c>
      <c r="K668" s="11">
        <f>IF(B668&lt;&gt;"", IFERROR(SUMIF(ขายสินค้า!G:G,H668,ขายสินค้า!F:F)/(E668-I668),0),)</f>
        <v>0</v>
      </c>
      <c r="L668" s="12">
        <f t="shared" si="18"/>
        <v>0</v>
      </c>
      <c r="M668" s="13">
        <f t="shared" si="19"/>
        <v>0</v>
      </c>
    </row>
    <row r="669" spans="1:13">
      <c r="A669" s="14"/>
      <c r="B669" s="6"/>
      <c r="C669" s="7">
        <f>IFERROR(VLOOKUP(B669,ชื่อสินค้า!A:C,2,FALSE),)</f>
        <v>0</v>
      </c>
      <c r="D669" s="8" t="str">
        <f>IFERROR(VLOOKUP(B669,ชื่อสินค้า!A:D,4,FALSE),"")</f>
        <v/>
      </c>
      <c r="E669" s="9"/>
      <c r="F669" s="9"/>
      <c r="G669" s="8" t="str">
        <f t="shared" si="15"/>
        <v/>
      </c>
      <c r="H669" s="10">
        <f t="shared" si="16"/>
        <v>0</v>
      </c>
      <c r="I669" s="8">
        <f>IF(G669&lt;&gt;"",E669-SUMIFS(ขายสินค้า!E:E,ขายสินค้า!G:G,H669),)</f>
        <v>0</v>
      </c>
      <c r="J669" s="11">
        <f t="shared" si="17"/>
        <v>0</v>
      </c>
      <c r="K669" s="11">
        <f>IF(B669&lt;&gt;"", IFERROR(SUMIF(ขายสินค้า!G:G,H669,ขายสินค้า!F:F)/(E669-I669),0),)</f>
        <v>0</v>
      </c>
      <c r="L669" s="12">
        <f t="shared" si="18"/>
        <v>0</v>
      </c>
      <c r="M669" s="13">
        <f t="shared" si="19"/>
        <v>0</v>
      </c>
    </row>
    <row r="670" spans="1:13">
      <c r="A670" s="14"/>
      <c r="B670" s="6"/>
      <c r="C670" s="7">
        <f>IFERROR(VLOOKUP(B670,ชื่อสินค้า!A:C,2,FALSE),)</f>
        <v>0</v>
      </c>
      <c r="D670" s="8" t="str">
        <f>IFERROR(VLOOKUP(B670,ชื่อสินค้า!A:D,4,FALSE),"")</f>
        <v/>
      </c>
      <c r="E670" s="9"/>
      <c r="F670" s="9"/>
      <c r="G670" s="8" t="str">
        <f t="shared" si="15"/>
        <v/>
      </c>
      <c r="H670" s="10">
        <f t="shared" si="16"/>
        <v>0</v>
      </c>
      <c r="I670" s="8">
        <f>IF(G670&lt;&gt;"",E670-SUMIFS(ขายสินค้า!E:E,ขายสินค้า!G:G,H670),)</f>
        <v>0</v>
      </c>
      <c r="J670" s="11">
        <f t="shared" si="17"/>
        <v>0</v>
      </c>
      <c r="K670" s="11">
        <f>IF(B670&lt;&gt;"", IFERROR(SUMIF(ขายสินค้า!G:G,H670,ขายสินค้า!F:F)/(E670-I670),0),)</f>
        <v>0</v>
      </c>
      <c r="L670" s="12">
        <f t="shared" si="18"/>
        <v>0</v>
      </c>
      <c r="M670" s="13">
        <f t="shared" si="19"/>
        <v>0</v>
      </c>
    </row>
    <row r="671" spans="1:13">
      <c r="A671" s="14"/>
      <c r="B671" s="6"/>
      <c r="C671" s="7">
        <f>IFERROR(VLOOKUP(B671,ชื่อสินค้า!A:C,2,FALSE),)</f>
        <v>0</v>
      </c>
      <c r="D671" s="8" t="str">
        <f>IFERROR(VLOOKUP(B671,ชื่อสินค้า!A:D,4,FALSE),"")</f>
        <v/>
      </c>
      <c r="E671" s="9"/>
      <c r="F671" s="9"/>
      <c r="G671" s="8" t="str">
        <f t="shared" si="15"/>
        <v/>
      </c>
      <c r="H671" s="10">
        <f t="shared" si="16"/>
        <v>0</v>
      </c>
      <c r="I671" s="8">
        <f>IF(G671&lt;&gt;"",E671-SUMIFS(ขายสินค้า!E:E,ขายสินค้า!G:G,H671),)</f>
        <v>0</v>
      </c>
      <c r="J671" s="11">
        <f t="shared" si="17"/>
        <v>0</v>
      </c>
      <c r="K671" s="11">
        <f>IF(B671&lt;&gt;"", IFERROR(SUMIF(ขายสินค้า!G:G,H671,ขายสินค้า!F:F)/(E671-I671),0),)</f>
        <v>0</v>
      </c>
      <c r="L671" s="12">
        <f t="shared" si="18"/>
        <v>0</v>
      </c>
      <c r="M671" s="13">
        <f t="shared" si="19"/>
        <v>0</v>
      </c>
    </row>
    <row r="672" spans="1:13">
      <c r="A672" s="14"/>
      <c r="B672" s="6"/>
      <c r="C672" s="7">
        <f>IFERROR(VLOOKUP(B672,ชื่อสินค้า!A:C,2,FALSE),)</f>
        <v>0</v>
      </c>
      <c r="D672" s="8" t="str">
        <f>IFERROR(VLOOKUP(B672,ชื่อสินค้า!A:D,4,FALSE),"")</f>
        <v/>
      </c>
      <c r="E672" s="9"/>
      <c r="F672" s="9"/>
      <c r="G672" s="8" t="str">
        <f t="shared" si="15"/>
        <v/>
      </c>
      <c r="H672" s="10">
        <f t="shared" si="16"/>
        <v>0</v>
      </c>
      <c r="I672" s="8">
        <f>IF(G672&lt;&gt;"",E672-SUMIFS(ขายสินค้า!E:E,ขายสินค้า!G:G,H672),)</f>
        <v>0</v>
      </c>
      <c r="J672" s="11">
        <f t="shared" si="17"/>
        <v>0</v>
      </c>
      <c r="K672" s="11">
        <f>IF(B672&lt;&gt;"", IFERROR(SUMIF(ขายสินค้า!G:G,H672,ขายสินค้า!F:F)/(E672-I672),0),)</f>
        <v>0</v>
      </c>
      <c r="L672" s="12">
        <f t="shared" si="18"/>
        <v>0</v>
      </c>
      <c r="M672" s="13">
        <f t="shared" si="19"/>
        <v>0</v>
      </c>
    </row>
    <row r="673" spans="1:13">
      <c r="A673" s="14"/>
      <c r="B673" s="6"/>
      <c r="C673" s="7">
        <f>IFERROR(VLOOKUP(B673,ชื่อสินค้า!A:C,2,FALSE),)</f>
        <v>0</v>
      </c>
      <c r="D673" s="8" t="str">
        <f>IFERROR(VLOOKUP(B673,ชื่อสินค้า!A:D,4,FALSE),"")</f>
        <v/>
      </c>
      <c r="E673" s="9"/>
      <c r="F673" s="9"/>
      <c r="G673" s="8" t="str">
        <f t="shared" si="15"/>
        <v/>
      </c>
      <c r="H673" s="10">
        <f t="shared" si="16"/>
        <v>0</v>
      </c>
      <c r="I673" s="8">
        <f>IF(G673&lt;&gt;"",E673-SUMIFS(ขายสินค้า!E:E,ขายสินค้า!G:G,H673),)</f>
        <v>0</v>
      </c>
      <c r="J673" s="11">
        <f t="shared" si="17"/>
        <v>0</v>
      </c>
      <c r="K673" s="11">
        <f>IF(B673&lt;&gt;"", IFERROR(SUMIF(ขายสินค้า!G:G,H673,ขายสินค้า!F:F)/(E673-I673),0),)</f>
        <v>0</v>
      </c>
      <c r="L673" s="12">
        <f t="shared" si="18"/>
        <v>0</v>
      </c>
      <c r="M673" s="13">
        <f t="shared" si="19"/>
        <v>0</v>
      </c>
    </row>
    <row r="674" spans="1:13">
      <c r="A674" s="14"/>
      <c r="B674" s="6"/>
      <c r="C674" s="7">
        <f>IFERROR(VLOOKUP(B674,ชื่อสินค้า!A:C,2,FALSE),)</f>
        <v>0</v>
      </c>
      <c r="D674" s="8" t="str">
        <f>IFERROR(VLOOKUP(B674,ชื่อสินค้า!A:D,4,FALSE),"")</f>
        <v/>
      </c>
      <c r="E674" s="9"/>
      <c r="F674" s="9"/>
      <c r="G674" s="8" t="str">
        <f t="shared" si="15"/>
        <v/>
      </c>
      <c r="H674" s="10">
        <f t="shared" si="16"/>
        <v>0</v>
      </c>
      <c r="I674" s="8">
        <f>IF(G674&lt;&gt;"",E674-SUMIFS(ขายสินค้า!E:E,ขายสินค้า!G:G,H674),)</f>
        <v>0</v>
      </c>
      <c r="J674" s="11">
        <f t="shared" si="17"/>
        <v>0</v>
      </c>
      <c r="K674" s="11">
        <f>IF(B674&lt;&gt;"", IFERROR(SUMIF(ขายสินค้า!G:G,H674,ขายสินค้า!F:F)/(E674-I674),0),)</f>
        <v>0</v>
      </c>
      <c r="L674" s="12">
        <f t="shared" si="18"/>
        <v>0</v>
      </c>
      <c r="M674" s="13">
        <f t="shared" si="19"/>
        <v>0</v>
      </c>
    </row>
    <row r="675" spans="1:13">
      <c r="A675" s="14"/>
      <c r="B675" s="6"/>
      <c r="C675" s="7">
        <f>IFERROR(VLOOKUP(B675,ชื่อสินค้า!A:C,2,FALSE),)</f>
        <v>0</v>
      </c>
      <c r="D675" s="8" t="str">
        <f>IFERROR(VLOOKUP(B675,ชื่อสินค้า!A:D,4,FALSE),"")</f>
        <v/>
      </c>
      <c r="E675" s="9"/>
      <c r="F675" s="9"/>
      <c r="G675" s="8" t="str">
        <f t="shared" si="15"/>
        <v/>
      </c>
      <c r="H675" s="10">
        <f t="shared" si="16"/>
        <v>0</v>
      </c>
      <c r="I675" s="8">
        <f>IF(G675&lt;&gt;"",E675-SUMIFS(ขายสินค้า!E:E,ขายสินค้า!G:G,H675),)</f>
        <v>0</v>
      </c>
      <c r="J675" s="11">
        <f t="shared" si="17"/>
        <v>0</v>
      </c>
      <c r="K675" s="11">
        <f>IF(B675&lt;&gt;"", IFERROR(SUMIF(ขายสินค้า!G:G,H675,ขายสินค้า!F:F)/(E675-I675),0),)</f>
        <v>0</v>
      </c>
      <c r="L675" s="12">
        <f t="shared" si="18"/>
        <v>0</v>
      </c>
      <c r="M675" s="13">
        <f t="shared" si="19"/>
        <v>0</v>
      </c>
    </row>
    <row r="676" spans="1:13">
      <c r="A676" s="14"/>
      <c r="B676" s="6"/>
      <c r="C676" s="7">
        <f>IFERROR(VLOOKUP(B676,ชื่อสินค้า!A:C,2,FALSE),)</f>
        <v>0</v>
      </c>
      <c r="D676" s="8" t="str">
        <f>IFERROR(VLOOKUP(B676,ชื่อสินค้า!A:D,4,FALSE),"")</f>
        <v/>
      </c>
      <c r="E676" s="9"/>
      <c r="F676" s="9"/>
      <c r="G676" s="8" t="str">
        <f t="shared" si="15"/>
        <v/>
      </c>
      <c r="H676" s="10">
        <f t="shared" si="16"/>
        <v>0</v>
      </c>
      <c r="I676" s="8">
        <f>IF(G676&lt;&gt;"",E676-SUMIFS(ขายสินค้า!E:E,ขายสินค้า!G:G,H676),)</f>
        <v>0</v>
      </c>
      <c r="J676" s="11">
        <f t="shared" si="17"/>
        <v>0</v>
      </c>
      <c r="K676" s="11">
        <f>IF(B676&lt;&gt;"", IFERROR(SUMIF(ขายสินค้า!G:G,H676,ขายสินค้า!F:F)/(E676-I676),0),)</f>
        <v>0</v>
      </c>
      <c r="L676" s="12">
        <f t="shared" si="18"/>
        <v>0</v>
      </c>
      <c r="M676" s="13">
        <f t="shared" si="19"/>
        <v>0</v>
      </c>
    </row>
    <row r="677" spans="1:13">
      <c r="A677" s="14"/>
      <c r="B677" s="6"/>
      <c r="C677" s="7">
        <f>IFERROR(VLOOKUP(B677,ชื่อสินค้า!A:C,2,FALSE),)</f>
        <v>0</v>
      </c>
      <c r="D677" s="8" t="str">
        <f>IFERROR(VLOOKUP(B677,ชื่อสินค้า!A:D,4,FALSE),"")</f>
        <v/>
      </c>
      <c r="E677" s="9"/>
      <c r="F677" s="9"/>
      <c r="G677" s="8" t="str">
        <f t="shared" si="15"/>
        <v/>
      </c>
      <c r="H677" s="10">
        <f t="shared" si="16"/>
        <v>0</v>
      </c>
      <c r="I677" s="8">
        <f>IF(G677&lt;&gt;"",E677-SUMIFS(ขายสินค้า!E:E,ขายสินค้า!G:G,H677),)</f>
        <v>0</v>
      </c>
      <c r="J677" s="11">
        <f t="shared" si="17"/>
        <v>0</v>
      </c>
      <c r="K677" s="11">
        <f>IF(B677&lt;&gt;"", IFERROR(SUMIF(ขายสินค้า!G:G,H677,ขายสินค้า!F:F)/(E677-I677),0),)</f>
        <v>0</v>
      </c>
      <c r="L677" s="12">
        <f t="shared" si="18"/>
        <v>0</v>
      </c>
      <c r="M677" s="13">
        <f t="shared" si="19"/>
        <v>0</v>
      </c>
    </row>
    <row r="678" spans="1:13">
      <c r="A678" s="14"/>
      <c r="B678" s="6"/>
      <c r="C678" s="7">
        <f>IFERROR(VLOOKUP(B678,ชื่อสินค้า!A:C,2,FALSE),)</f>
        <v>0</v>
      </c>
      <c r="D678" s="8" t="str">
        <f>IFERROR(VLOOKUP(B678,ชื่อสินค้า!A:D,4,FALSE),"")</f>
        <v/>
      </c>
      <c r="E678" s="9"/>
      <c r="F678" s="9"/>
      <c r="G678" s="8" t="str">
        <f t="shared" si="15"/>
        <v/>
      </c>
      <c r="H678" s="10">
        <f t="shared" si="16"/>
        <v>0</v>
      </c>
      <c r="I678" s="8">
        <f>IF(G678&lt;&gt;"",E678-SUMIFS(ขายสินค้า!E:E,ขายสินค้า!G:G,H678),)</f>
        <v>0</v>
      </c>
      <c r="J678" s="11">
        <f t="shared" si="17"/>
        <v>0</v>
      </c>
      <c r="K678" s="11">
        <f>IF(B678&lt;&gt;"", IFERROR(SUMIF(ขายสินค้า!G:G,H678,ขายสินค้า!F:F)/(E678-I678),0),)</f>
        <v>0</v>
      </c>
      <c r="L678" s="12">
        <f t="shared" si="18"/>
        <v>0</v>
      </c>
      <c r="M678" s="13">
        <f t="shared" si="19"/>
        <v>0</v>
      </c>
    </row>
    <row r="679" spans="1:13">
      <c r="A679" s="14"/>
      <c r="B679" s="6"/>
      <c r="C679" s="7">
        <f>IFERROR(VLOOKUP(B679,ชื่อสินค้า!A:C,2,FALSE),)</f>
        <v>0</v>
      </c>
      <c r="D679" s="8" t="str">
        <f>IFERROR(VLOOKUP(B679,ชื่อสินค้า!A:D,4,FALSE),"")</f>
        <v/>
      </c>
      <c r="E679" s="9"/>
      <c r="F679" s="9"/>
      <c r="G679" s="8" t="str">
        <f t="shared" si="15"/>
        <v/>
      </c>
      <c r="H679" s="10">
        <f t="shared" si="16"/>
        <v>0</v>
      </c>
      <c r="I679" s="8">
        <f>IF(G679&lt;&gt;"",E679-SUMIFS(ขายสินค้า!E:E,ขายสินค้า!G:G,H679),)</f>
        <v>0</v>
      </c>
      <c r="J679" s="11">
        <f t="shared" si="17"/>
        <v>0</v>
      </c>
      <c r="K679" s="11">
        <f>IF(B679&lt;&gt;"", IFERROR(SUMIF(ขายสินค้า!G:G,H679,ขายสินค้า!F:F)/(E679-I679),0),)</f>
        <v>0</v>
      </c>
      <c r="L679" s="12">
        <f t="shared" si="18"/>
        <v>0</v>
      </c>
      <c r="M679" s="13">
        <f t="shared" si="19"/>
        <v>0</v>
      </c>
    </row>
    <row r="680" spans="1:13">
      <c r="A680" s="14"/>
      <c r="B680" s="6"/>
      <c r="C680" s="7">
        <f>IFERROR(VLOOKUP(B680,ชื่อสินค้า!A:C,2,FALSE),)</f>
        <v>0</v>
      </c>
      <c r="D680" s="8" t="str">
        <f>IFERROR(VLOOKUP(B680,ชื่อสินค้า!A:D,4,FALSE),"")</f>
        <v/>
      </c>
      <c r="E680" s="9"/>
      <c r="F680" s="9"/>
      <c r="G680" s="8" t="str">
        <f t="shared" si="15"/>
        <v/>
      </c>
      <c r="H680" s="10">
        <f t="shared" si="16"/>
        <v>0</v>
      </c>
      <c r="I680" s="8">
        <f>IF(G680&lt;&gt;"",E680-SUMIFS(ขายสินค้า!E:E,ขายสินค้า!G:G,H680),)</f>
        <v>0</v>
      </c>
      <c r="J680" s="11">
        <f t="shared" si="17"/>
        <v>0</v>
      </c>
      <c r="K680" s="11">
        <f>IF(B680&lt;&gt;"", IFERROR(SUMIF(ขายสินค้า!G:G,H680,ขายสินค้า!F:F)/(E680-I680),0),)</f>
        <v>0</v>
      </c>
      <c r="L680" s="12">
        <f t="shared" si="18"/>
        <v>0</v>
      </c>
      <c r="M680" s="13">
        <f t="shared" si="19"/>
        <v>0</v>
      </c>
    </row>
    <row r="681" spans="1:13">
      <c r="A681" s="14"/>
      <c r="B681" s="6"/>
      <c r="C681" s="7">
        <f>IFERROR(VLOOKUP(B681,ชื่อสินค้า!A:C,2,FALSE),)</f>
        <v>0</v>
      </c>
      <c r="D681" s="8" t="str">
        <f>IFERROR(VLOOKUP(B681,ชื่อสินค้า!A:D,4,FALSE),"")</f>
        <v/>
      </c>
      <c r="E681" s="9"/>
      <c r="F681" s="9"/>
      <c r="G681" s="8" t="str">
        <f t="shared" si="15"/>
        <v/>
      </c>
      <c r="H681" s="10">
        <f t="shared" si="16"/>
        <v>0</v>
      </c>
      <c r="I681" s="8">
        <f>IF(G681&lt;&gt;"",E681-SUMIFS(ขายสินค้า!E:E,ขายสินค้า!G:G,H681),)</f>
        <v>0</v>
      </c>
      <c r="J681" s="11">
        <f t="shared" si="17"/>
        <v>0</v>
      </c>
      <c r="K681" s="11">
        <f>IF(B681&lt;&gt;"", IFERROR(SUMIF(ขายสินค้า!G:G,H681,ขายสินค้า!F:F)/(E681-I681),0),)</f>
        <v>0</v>
      </c>
      <c r="L681" s="12">
        <f t="shared" si="18"/>
        <v>0</v>
      </c>
      <c r="M681" s="13">
        <f t="shared" si="19"/>
        <v>0</v>
      </c>
    </row>
    <row r="682" spans="1:13">
      <c r="A682" s="14"/>
      <c r="B682" s="6"/>
      <c r="C682" s="7">
        <f>IFERROR(VLOOKUP(B682,ชื่อสินค้า!A:C,2,FALSE),)</f>
        <v>0</v>
      </c>
      <c r="D682" s="8" t="str">
        <f>IFERROR(VLOOKUP(B682,ชื่อสินค้า!A:D,4,FALSE),"")</f>
        <v/>
      </c>
      <c r="E682" s="9"/>
      <c r="F682" s="9"/>
      <c r="G682" s="8" t="str">
        <f t="shared" si="15"/>
        <v/>
      </c>
      <c r="H682" s="10">
        <f t="shared" si="16"/>
        <v>0</v>
      </c>
      <c r="I682" s="8">
        <f>IF(G682&lt;&gt;"",E682-SUMIFS(ขายสินค้า!E:E,ขายสินค้า!G:G,H682),)</f>
        <v>0</v>
      </c>
      <c r="J682" s="11">
        <f t="shared" si="17"/>
        <v>0</v>
      </c>
      <c r="K682" s="11">
        <f>IF(B682&lt;&gt;"", IFERROR(SUMIF(ขายสินค้า!G:G,H682,ขายสินค้า!F:F)/(E682-I682),0),)</f>
        <v>0</v>
      </c>
      <c r="L682" s="12">
        <f t="shared" si="18"/>
        <v>0</v>
      </c>
      <c r="M682" s="13">
        <f t="shared" si="19"/>
        <v>0</v>
      </c>
    </row>
    <row r="683" spans="1:13">
      <c r="A683" s="14"/>
      <c r="B683" s="6"/>
      <c r="C683" s="7">
        <f>IFERROR(VLOOKUP(B683,ชื่อสินค้า!A:C,2,FALSE),)</f>
        <v>0</v>
      </c>
      <c r="D683" s="8" t="str">
        <f>IFERROR(VLOOKUP(B683,ชื่อสินค้า!A:D,4,FALSE),"")</f>
        <v/>
      </c>
      <c r="E683" s="9"/>
      <c r="F683" s="9"/>
      <c r="G683" s="8" t="str">
        <f t="shared" si="15"/>
        <v/>
      </c>
      <c r="H683" s="10">
        <f t="shared" si="16"/>
        <v>0</v>
      </c>
      <c r="I683" s="8">
        <f>IF(G683&lt;&gt;"",E683-SUMIFS(ขายสินค้า!E:E,ขายสินค้า!G:G,H683),)</f>
        <v>0</v>
      </c>
      <c r="J683" s="11">
        <f t="shared" si="17"/>
        <v>0</v>
      </c>
      <c r="K683" s="11">
        <f>IF(B683&lt;&gt;"", IFERROR(SUMIF(ขายสินค้า!G:G,H683,ขายสินค้า!F:F)/(E683-I683),0),)</f>
        <v>0</v>
      </c>
      <c r="L683" s="12">
        <f t="shared" si="18"/>
        <v>0</v>
      </c>
      <c r="M683" s="13">
        <f t="shared" si="19"/>
        <v>0</v>
      </c>
    </row>
    <row r="684" spans="1:13">
      <c r="A684" s="14"/>
      <c r="B684" s="6"/>
      <c r="C684" s="7">
        <f>IFERROR(VLOOKUP(B684,ชื่อสินค้า!A:C,2,FALSE),)</f>
        <v>0</v>
      </c>
      <c r="D684" s="8" t="str">
        <f>IFERROR(VLOOKUP(B684,ชื่อสินค้า!A:D,4,FALSE),"")</f>
        <v/>
      </c>
      <c r="E684" s="9"/>
      <c r="F684" s="9"/>
      <c r="G684" s="8" t="str">
        <f t="shared" si="15"/>
        <v/>
      </c>
      <c r="H684" s="10">
        <f t="shared" si="16"/>
        <v>0</v>
      </c>
      <c r="I684" s="8">
        <f>IF(G684&lt;&gt;"",E684-SUMIFS(ขายสินค้า!E:E,ขายสินค้า!G:G,H684),)</f>
        <v>0</v>
      </c>
      <c r="J684" s="11">
        <f t="shared" si="17"/>
        <v>0</v>
      </c>
      <c r="K684" s="11">
        <f>IF(B684&lt;&gt;"", IFERROR(SUMIF(ขายสินค้า!G:G,H684,ขายสินค้า!F:F)/(E684-I684),0),)</f>
        <v>0</v>
      </c>
      <c r="L684" s="12">
        <f t="shared" si="18"/>
        <v>0</v>
      </c>
      <c r="M684" s="13">
        <f t="shared" si="19"/>
        <v>0</v>
      </c>
    </row>
    <row r="685" spans="1:13">
      <c r="A685" s="14"/>
      <c r="B685" s="6"/>
      <c r="C685" s="7">
        <f>IFERROR(VLOOKUP(B685,ชื่อสินค้า!A:C,2,FALSE),)</f>
        <v>0</v>
      </c>
      <c r="D685" s="8" t="str">
        <f>IFERROR(VLOOKUP(B685,ชื่อสินค้า!A:D,4,FALSE),"")</f>
        <v/>
      </c>
      <c r="E685" s="9"/>
      <c r="F685" s="9"/>
      <c r="G685" s="8" t="str">
        <f t="shared" si="15"/>
        <v/>
      </c>
      <c r="H685" s="10">
        <f t="shared" si="16"/>
        <v>0</v>
      </c>
      <c r="I685" s="8">
        <f>IF(G685&lt;&gt;"",E685-SUMIFS(ขายสินค้า!E:E,ขายสินค้า!G:G,H685),)</f>
        <v>0</v>
      </c>
      <c r="J685" s="11">
        <f t="shared" si="17"/>
        <v>0</v>
      </c>
      <c r="K685" s="11">
        <f>IF(B685&lt;&gt;"", IFERROR(SUMIF(ขายสินค้า!G:G,H685,ขายสินค้า!F:F)/(E685-I685),0),)</f>
        <v>0</v>
      </c>
      <c r="L685" s="12">
        <f t="shared" si="18"/>
        <v>0</v>
      </c>
      <c r="M685" s="13">
        <f t="shared" si="19"/>
        <v>0</v>
      </c>
    </row>
    <row r="686" spans="1:13">
      <c r="A686" s="14"/>
      <c r="B686" s="6"/>
      <c r="C686" s="7">
        <f>IFERROR(VLOOKUP(B686,ชื่อสินค้า!A:C,2,FALSE),)</f>
        <v>0</v>
      </c>
      <c r="D686" s="8" t="str">
        <f>IFERROR(VLOOKUP(B686,ชื่อสินค้า!A:D,4,FALSE),"")</f>
        <v/>
      </c>
      <c r="E686" s="9"/>
      <c r="F686" s="9"/>
      <c r="G686" s="8" t="str">
        <f t="shared" si="15"/>
        <v/>
      </c>
      <c r="H686" s="10">
        <f t="shared" si="16"/>
        <v>0</v>
      </c>
      <c r="I686" s="8">
        <f>IF(G686&lt;&gt;"",E686-SUMIFS(ขายสินค้า!E:E,ขายสินค้า!G:G,H686),)</f>
        <v>0</v>
      </c>
      <c r="J686" s="11">
        <f t="shared" si="17"/>
        <v>0</v>
      </c>
      <c r="K686" s="11">
        <f>IF(B686&lt;&gt;"", IFERROR(SUMIF(ขายสินค้า!G:G,H686,ขายสินค้า!F:F)/(E686-I686),0),)</f>
        <v>0</v>
      </c>
      <c r="L686" s="12">
        <f t="shared" si="18"/>
        <v>0</v>
      </c>
      <c r="M686" s="13">
        <f t="shared" si="19"/>
        <v>0</v>
      </c>
    </row>
    <row r="687" spans="1:13">
      <c r="A687" s="14"/>
      <c r="B687" s="6"/>
      <c r="C687" s="7">
        <f>IFERROR(VLOOKUP(B687,ชื่อสินค้า!A:C,2,FALSE),)</f>
        <v>0</v>
      </c>
      <c r="D687" s="8" t="str">
        <f>IFERROR(VLOOKUP(B687,ชื่อสินค้า!A:D,4,FALSE),"")</f>
        <v/>
      </c>
      <c r="E687" s="9"/>
      <c r="F687" s="9"/>
      <c r="G687" s="8" t="str">
        <f t="shared" si="15"/>
        <v/>
      </c>
      <c r="H687" s="10">
        <f t="shared" si="16"/>
        <v>0</v>
      </c>
      <c r="I687" s="8">
        <f>IF(G687&lt;&gt;"",E687-SUMIFS(ขายสินค้า!E:E,ขายสินค้า!G:G,H687),)</f>
        <v>0</v>
      </c>
      <c r="J687" s="11">
        <f t="shared" si="17"/>
        <v>0</v>
      </c>
      <c r="K687" s="11">
        <f>IF(B687&lt;&gt;"", IFERROR(SUMIF(ขายสินค้า!G:G,H687,ขายสินค้า!F:F)/(E687-I687),0),)</f>
        <v>0</v>
      </c>
      <c r="L687" s="12">
        <f t="shared" si="18"/>
        <v>0</v>
      </c>
      <c r="M687" s="13">
        <f t="shared" si="19"/>
        <v>0</v>
      </c>
    </row>
    <row r="688" spans="1:13">
      <c r="A688" s="14"/>
      <c r="B688" s="6"/>
      <c r="C688" s="7">
        <f>IFERROR(VLOOKUP(B688,ชื่อสินค้า!A:C,2,FALSE),)</f>
        <v>0</v>
      </c>
      <c r="D688" s="8" t="str">
        <f>IFERROR(VLOOKUP(B688,ชื่อสินค้า!A:D,4,FALSE),"")</f>
        <v/>
      </c>
      <c r="E688" s="9"/>
      <c r="F688" s="9"/>
      <c r="G688" s="8" t="str">
        <f t="shared" si="15"/>
        <v/>
      </c>
      <c r="H688" s="10">
        <f t="shared" si="16"/>
        <v>0</v>
      </c>
      <c r="I688" s="8">
        <f>IF(G688&lt;&gt;"",E688-SUMIFS(ขายสินค้า!E:E,ขายสินค้า!G:G,H688),)</f>
        <v>0</v>
      </c>
      <c r="J688" s="11">
        <f t="shared" si="17"/>
        <v>0</v>
      </c>
      <c r="K688" s="11">
        <f>IF(B688&lt;&gt;"", IFERROR(SUMIF(ขายสินค้า!G:G,H688,ขายสินค้า!F:F)/(E688-I688),0),)</f>
        <v>0</v>
      </c>
      <c r="L688" s="12">
        <f t="shared" si="18"/>
        <v>0</v>
      </c>
      <c r="M688" s="13">
        <f t="shared" si="19"/>
        <v>0</v>
      </c>
    </row>
    <row r="689" spans="1:13">
      <c r="A689" s="14"/>
      <c r="B689" s="6"/>
      <c r="C689" s="7">
        <f>IFERROR(VLOOKUP(B689,ชื่อสินค้า!A:C,2,FALSE),)</f>
        <v>0</v>
      </c>
      <c r="D689" s="8" t="str">
        <f>IFERROR(VLOOKUP(B689,ชื่อสินค้า!A:D,4,FALSE),"")</f>
        <v/>
      </c>
      <c r="E689" s="9"/>
      <c r="F689" s="9"/>
      <c r="G689" s="8" t="str">
        <f t="shared" si="15"/>
        <v/>
      </c>
      <c r="H689" s="10">
        <f t="shared" si="16"/>
        <v>0</v>
      </c>
      <c r="I689" s="8">
        <f>IF(G689&lt;&gt;"",E689-SUMIFS(ขายสินค้า!E:E,ขายสินค้า!G:G,H689),)</f>
        <v>0</v>
      </c>
      <c r="J689" s="11">
        <f t="shared" si="17"/>
        <v>0</v>
      </c>
      <c r="K689" s="11">
        <f>IF(B689&lt;&gt;"", IFERROR(SUMIF(ขายสินค้า!G:G,H689,ขายสินค้า!F:F)/(E689-I689),0),)</f>
        <v>0</v>
      </c>
      <c r="L689" s="12">
        <f t="shared" si="18"/>
        <v>0</v>
      </c>
      <c r="M689" s="13">
        <f t="shared" si="19"/>
        <v>0</v>
      </c>
    </row>
    <row r="690" spans="1:13">
      <c r="A690" s="14"/>
      <c r="B690" s="6"/>
      <c r="C690" s="7">
        <f>IFERROR(VLOOKUP(B690,ชื่อสินค้า!A:C,2,FALSE),)</f>
        <v>0</v>
      </c>
      <c r="D690" s="8" t="str">
        <f>IFERROR(VLOOKUP(B690,ชื่อสินค้า!A:D,4,FALSE),"")</f>
        <v/>
      </c>
      <c r="E690" s="9"/>
      <c r="F690" s="9"/>
      <c r="G690" s="8" t="str">
        <f t="shared" si="15"/>
        <v/>
      </c>
      <c r="H690" s="10">
        <f t="shared" si="16"/>
        <v>0</v>
      </c>
      <c r="I690" s="8">
        <f>IF(G690&lt;&gt;"",E690-SUMIFS(ขายสินค้า!E:E,ขายสินค้า!G:G,H690),)</f>
        <v>0</v>
      </c>
      <c r="J690" s="11">
        <f t="shared" si="17"/>
        <v>0</v>
      </c>
      <c r="K690" s="11">
        <f>IF(B690&lt;&gt;"", IFERROR(SUMIF(ขายสินค้า!G:G,H690,ขายสินค้า!F:F)/(E690-I690),0),)</f>
        <v>0</v>
      </c>
      <c r="L690" s="12">
        <f t="shared" si="18"/>
        <v>0</v>
      </c>
      <c r="M690" s="13">
        <f t="shared" si="19"/>
        <v>0</v>
      </c>
    </row>
    <row r="691" spans="1:13">
      <c r="A691" s="14"/>
      <c r="B691" s="6"/>
      <c r="C691" s="7">
        <f>IFERROR(VLOOKUP(B691,ชื่อสินค้า!A:C,2,FALSE),)</f>
        <v>0</v>
      </c>
      <c r="D691" s="8" t="str">
        <f>IFERROR(VLOOKUP(B691,ชื่อสินค้า!A:D,4,FALSE),"")</f>
        <v/>
      </c>
      <c r="E691" s="9"/>
      <c r="F691" s="9"/>
      <c r="G691" s="8" t="str">
        <f t="shared" si="15"/>
        <v/>
      </c>
      <c r="H691" s="10">
        <f t="shared" si="16"/>
        <v>0</v>
      </c>
      <c r="I691" s="8">
        <f>IF(G691&lt;&gt;"",E691-SUMIFS(ขายสินค้า!E:E,ขายสินค้า!G:G,H691),)</f>
        <v>0</v>
      </c>
      <c r="J691" s="11">
        <f t="shared" si="17"/>
        <v>0</v>
      </c>
      <c r="K691" s="11">
        <f>IF(B691&lt;&gt;"", IFERROR(SUMIF(ขายสินค้า!G:G,H691,ขายสินค้า!F:F)/(E691-I691),0),)</f>
        <v>0</v>
      </c>
      <c r="L691" s="12">
        <f t="shared" si="18"/>
        <v>0</v>
      </c>
      <c r="M691" s="13">
        <f t="shared" si="19"/>
        <v>0</v>
      </c>
    </row>
    <row r="692" spans="1:13">
      <c r="A692" s="14"/>
      <c r="B692" s="6"/>
      <c r="C692" s="7">
        <f>IFERROR(VLOOKUP(B692,ชื่อสินค้า!A:C,2,FALSE),)</f>
        <v>0</v>
      </c>
      <c r="D692" s="8" t="str">
        <f>IFERROR(VLOOKUP(B692,ชื่อสินค้า!A:D,4,FALSE),"")</f>
        <v/>
      </c>
      <c r="E692" s="9"/>
      <c r="F692" s="9"/>
      <c r="G692" s="8" t="str">
        <f t="shared" si="15"/>
        <v/>
      </c>
      <c r="H692" s="10">
        <f t="shared" si="16"/>
        <v>0</v>
      </c>
      <c r="I692" s="8">
        <f>IF(G692&lt;&gt;"",E692-SUMIFS(ขายสินค้า!E:E,ขายสินค้า!G:G,H692),)</f>
        <v>0</v>
      </c>
      <c r="J692" s="11">
        <f t="shared" si="17"/>
        <v>0</v>
      </c>
      <c r="K692" s="11">
        <f>IF(B692&lt;&gt;"", IFERROR(SUMIF(ขายสินค้า!G:G,H692,ขายสินค้า!F:F)/(E692-I692),0),)</f>
        <v>0</v>
      </c>
      <c r="L692" s="12">
        <f t="shared" si="18"/>
        <v>0</v>
      </c>
      <c r="M692" s="13">
        <f t="shared" si="19"/>
        <v>0</v>
      </c>
    </row>
    <row r="693" spans="1:13">
      <c r="A693" s="14"/>
      <c r="B693" s="6"/>
      <c r="C693" s="7">
        <f>IFERROR(VLOOKUP(B693,ชื่อสินค้า!A:C,2,FALSE),)</f>
        <v>0</v>
      </c>
      <c r="D693" s="8" t="str">
        <f>IFERROR(VLOOKUP(B693,ชื่อสินค้า!A:D,4,FALSE),"")</f>
        <v/>
      </c>
      <c r="E693" s="9"/>
      <c r="F693" s="9"/>
      <c r="G693" s="8" t="str">
        <f t="shared" si="15"/>
        <v/>
      </c>
      <c r="H693" s="10">
        <f t="shared" si="16"/>
        <v>0</v>
      </c>
      <c r="I693" s="8">
        <f>IF(G693&lt;&gt;"",E693-SUMIFS(ขายสินค้า!E:E,ขายสินค้า!G:G,H693),)</f>
        <v>0</v>
      </c>
      <c r="J693" s="11">
        <f t="shared" si="17"/>
        <v>0</v>
      </c>
      <c r="K693" s="11">
        <f>IF(B693&lt;&gt;"", IFERROR(SUMIF(ขายสินค้า!G:G,H693,ขายสินค้า!F:F)/(E693-I693),0),)</f>
        <v>0</v>
      </c>
      <c r="L693" s="12">
        <f t="shared" si="18"/>
        <v>0</v>
      </c>
      <c r="M693" s="13">
        <f t="shared" si="19"/>
        <v>0</v>
      </c>
    </row>
    <row r="694" spans="1:13">
      <c r="A694" s="14"/>
      <c r="B694" s="6"/>
      <c r="C694" s="7">
        <f>IFERROR(VLOOKUP(B694,ชื่อสินค้า!A:C,2,FALSE),)</f>
        <v>0</v>
      </c>
      <c r="D694" s="8" t="str">
        <f>IFERROR(VLOOKUP(B694,ชื่อสินค้า!A:D,4,FALSE),"")</f>
        <v/>
      </c>
      <c r="E694" s="9"/>
      <c r="F694" s="9"/>
      <c r="G694" s="8" t="str">
        <f t="shared" si="15"/>
        <v/>
      </c>
      <c r="H694" s="10">
        <f t="shared" si="16"/>
        <v>0</v>
      </c>
      <c r="I694" s="8">
        <f>IF(G694&lt;&gt;"",E694-SUMIFS(ขายสินค้า!E:E,ขายสินค้า!G:G,H694),)</f>
        <v>0</v>
      </c>
      <c r="J694" s="11">
        <f t="shared" si="17"/>
        <v>0</v>
      </c>
      <c r="K694" s="11">
        <f>IF(B694&lt;&gt;"", IFERROR(SUMIF(ขายสินค้า!G:G,H694,ขายสินค้า!F:F)/(E694-I694),0),)</f>
        <v>0</v>
      </c>
      <c r="L694" s="12">
        <f t="shared" si="18"/>
        <v>0</v>
      </c>
      <c r="M694" s="13">
        <f t="shared" si="19"/>
        <v>0</v>
      </c>
    </row>
    <row r="695" spans="1:13">
      <c r="A695" s="14"/>
      <c r="B695" s="6"/>
      <c r="C695" s="7">
        <f>IFERROR(VLOOKUP(B695,ชื่อสินค้า!A:C,2,FALSE),)</f>
        <v>0</v>
      </c>
      <c r="D695" s="8" t="str">
        <f>IFERROR(VLOOKUP(B695,ชื่อสินค้า!A:D,4,FALSE),"")</f>
        <v/>
      </c>
      <c r="E695" s="9"/>
      <c r="F695" s="9"/>
      <c r="G695" s="8" t="str">
        <f t="shared" si="15"/>
        <v/>
      </c>
      <c r="H695" s="10">
        <f t="shared" si="16"/>
        <v>0</v>
      </c>
      <c r="I695" s="8">
        <f>IF(G695&lt;&gt;"",E695-SUMIFS(ขายสินค้า!E:E,ขายสินค้า!G:G,H695),)</f>
        <v>0</v>
      </c>
      <c r="J695" s="11">
        <f t="shared" si="17"/>
        <v>0</v>
      </c>
      <c r="K695" s="11">
        <f>IF(B695&lt;&gt;"", IFERROR(SUMIF(ขายสินค้า!G:G,H695,ขายสินค้า!F:F)/(E695-I695),0),)</f>
        <v>0</v>
      </c>
      <c r="L695" s="12">
        <f t="shared" si="18"/>
        <v>0</v>
      </c>
      <c r="M695" s="13">
        <f t="shared" si="19"/>
        <v>0</v>
      </c>
    </row>
    <row r="696" spans="1:13">
      <c r="A696" s="14"/>
      <c r="B696" s="6"/>
      <c r="C696" s="7">
        <f>IFERROR(VLOOKUP(B696,ชื่อสินค้า!A:C,2,FALSE),)</f>
        <v>0</v>
      </c>
      <c r="D696" s="8" t="str">
        <f>IFERROR(VLOOKUP(B696,ชื่อสินค้า!A:D,4,FALSE),"")</f>
        <v/>
      </c>
      <c r="E696" s="9"/>
      <c r="F696" s="9"/>
      <c r="G696" s="8" t="str">
        <f t="shared" si="15"/>
        <v/>
      </c>
      <c r="H696" s="10">
        <f t="shared" si="16"/>
        <v>0</v>
      </c>
      <c r="I696" s="8">
        <f>IF(G696&lt;&gt;"",E696-SUMIFS(ขายสินค้า!E:E,ขายสินค้า!G:G,H696),)</f>
        <v>0</v>
      </c>
      <c r="J696" s="11">
        <f t="shared" si="17"/>
        <v>0</v>
      </c>
      <c r="K696" s="11">
        <f>IF(B696&lt;&gt;"", IFERROR(SUMIF(ขายสินค้า!G:G,H696,ขายสินค้า!F:F)/(E696-I696),0),)</f>
        <v>0</v>
      </c>
      <c r="L696" s="12">
        <f t="shared" si="18"/>
        <v>0</v>
      </c>
      <c r="M696" s="13">
        <f t="shared" si="19"/>
        <v>0</v>
      </c>
    </row>
    <row r="697" spans="1:13">
      <c r="A697" s="14"/>
      <c r="B697" s="6"/>
      <c r="C697" s="7">
        <f>IFERROR(VLOOKUP(B697,ชื่อสินค้า!A:C,2,FALSE),)</f>
        <v>0</v>
      </c>
      <c r="D697" s="8" t="str">
        <f>IFERROR(VLOOKUP(B697,ชื่อสินค้า!A:D,4,FALSE),"")</f>
        <v/>
      </c>
      <c r="E697" s="9"/>
      <c r="F697" s="9"/>
      <c r="G697" s="8" t="str">
        <f t="shared" si="15"/>
        <v/>
      </c>
      <c r="H697" s="10">
        <f t="shared" si="16"/>
        <v>0</v>
      </c>
      <c r="I697" s="8">
        <f>IF(G697&lt;&gt;"",E697-SUMIFS(ขายสินค้า!E:E,ขายสินค้า!G:G,H697),)</f>
        <v>0</v>
      </c>
      <c r="J697" s="11">
        <f t="shared" si="17"/>
        <v>0</v>
      </c>
      <c r="K697" s="11">
        <f>IF(B697&lt;&gt;"", IFERROR(SUMIF(ขายสินค้า!G:G,H697,ขายสินค้า!F:F)/(E697-I697),0),)</f>
        <v>0</v>
      </c>
      <c r="L697" s="12">
        <f t="shared" si="18"/>
        <v>0</v>
      </c>
      <c r="M697" s="13">
        <f t="shared" si="19"/>
        <v>0</v>
      </c>
    </row>
    <row r="698" spans="1:13">
      <c r="A698" s="14"/>
      <c r="B698" s="6"/>
      <c r="C698" s="7">
        <f>IFERROR(VLOOKUP(B698,ชื่อสินค้า!A:C,2,FALSE),)</f>
        <v>0</v>
      </c>
      <c r="D698" s="8" t="str">
        <f>IFERROR(VLOOKUP(B698,ชื่อสินค้า!A:D,4,FALSE),"")</f>
        <v/>
      </c>
      <c r="E698" s="9"/>
      <c r="F698" s="9"/>
      <c r="G698" s="8" t="str">
        <f t="shared" si="15"/>
        <v/>
      </c>
      <c r="H698" s="10">
        <f t="shared" si="16"/>
        <v>0</v>
      </c>
      <c r="I698" s="8">
        <f>IF(G698&lt;&gt;"",E698-SUMIFS(ขายสินค้า!E:E,ขายสินค้า!G:G,H698),)</f>
        <v>0</v>
      </c>
      <c r="J698" s="11">
        <f t="shared" si="17"/>
        <v>0</v>
      </c>
      <c r="K698" s="11">
        <f>IF(B698&lt;&gt;"", IFERROR(SUMIF(ขายสินค้า!G:G,H698,ขายสินค้า!F:F)/(E698-I698),0),)</f>
        <v>0</v>
      </c>
      <c r="L698" s="12">
        <f t="shared" si="18"/>
        <v>0</v>
      </c>
      <c r="M698" s="13">
        <f t="shared" si="19"/>
        <v>0</v>
      </c>
    </row>
    <row r="699" spans="1:13">
      <c r="A699" s="14"/>
      <c r="B699" s="6"/>
      <c r="C699" s="7">
        <f>IFERROR(VLOOKUP(B699,ชื่อสินค้า!A:C,2,FALSE),)</f>
        <v>0</v>
      </c>
      <c r="D699" s="8" t="str">
        <f>IFERROR(VLOOKUP(B699,ชื่อสินค้า!A:D,4,FALSE),"")</f>
        <v/>
      </c>
      <c r="E699" s="9"/>
      <c r="F699" s="9"/>
      <c r="G699" s="8" t="str">
        <f t="shared" si="15"/>
        <v/>
      </c>
      <c r="H699" s="10">
        <f t="shared" si="16"/>
        <v>0</v>
      </c>
      <c r="I699" s="8">
        <f>IF(G699&lt;&gt;"",E699-SUMIFS(ขายสินค้า!E:E,ขายสินค้า!G:G,H699),)</f>
        <v>0</v>
      </c>
      <c r="J699" s="11">
        <f t="shared" si="17"/>
        <v>0</v>
      </c>
      <c r="K699" s="11">
        <f>IF(B699&lt;&gt;"", IFERROR(SUMIF(ขายสินค้า!G:G,H699,ขายสินค้า!F:F)/(E699-I699),0),)</f>
        <v>0</v>
      </c>
      <c r="L699" s="12">
        <f t="shared" si="18"/>
        <v>0</v>
      </c>
      <c r="M699" s="13">
        <f t="shared" si="19"/>
        <v>0</v>
      </c>
    </row>
    <row r="700" spans="1:13">
      <c r="A700" s="14"/>
      <c r="B700" s="6"/>
      <c r="C700" s="7">
        <f>IFERROR(VLOOKUP(B700,ชื่อสินค้า!A:C,2,FALSE),)</f>
        <v>0</v>
      </c>
      <c r="D700" s="8" t="str">
        <f>IFERROR(VLOOKUP(B700,ชื่อสินค้า!A:D,4,FALSE),"")</f>
        <v/>
      </c>
      <c r="E700" s="9"/>
      <c r="F700" s="9"/>
      <c r="G700" s="8" t="str">
        <f t="shared" si="15"/>
        <v/>
      </c>
      <c r="H700" s="10">
        <f t="shared" si="16"/>
        <v>0</v>
      </c>
      <c r="I700" s="8">
        <f>IF(G700&lt;&gt;"",E700-SUMIFS(ขายสินค้า!E:E,ขายสินค้า!G:G,H700),)</f>
        <v>0</v>
      </c>
      <c r="J700" s="11">
        <f t="shared" si="17"/>
        <v>0</v>
      </c>
      <c r="K700" s="11">
        <f>IF(B700&lt;&gt;"", IFERROR(SUMIF(ขายสินค้า!G:G,H700,ขายสินค้า!F:F)/(E700-I700),0),)</f>
        <v>0</v>
      </c>
      <c r="L700" s="12">
        <f t="shared" si="18"/>
        <v>0</v>
      </c>
      <c r="M700" s="13">
        <f t="shared" si="19"/>
        <v>0</v>
      </c>
    </row>
    <row r="701" spans="1:13">
      <c r="A701" s="14"/>
      <c r="B701" s="6"/>
      <c r="C701" s="7">
        <f>IFERROR(VLOOKUP(B701,ชื่อสินค้า!A:C,2,FALSE),)</f>
        <v>0</v>
      </c>
      <c r="D701" s="8" t="str">
        <f>IFERROR(VLOOKUP(B701,ชื่อสินค้า!A:D,4,FALSE),"")</f>
        <v/>
      </c>
      <c r="E701" s="9"/>
      <c r="F701" s="9"/>
      <c r="G701" s="8" t="str">
        <f t="shared" si="15"/>
        <v/>
      </c>
      <c r="H701" s="10">
        <f t="shared" si="16"/>
        <v>0</v>
      </c>
      <c r="I701" s="8">
        <f>IF(G701&lt;&gt;"",E701-SUMIFS(ขายสินค้า!E:E,ขายสินค้า!G:G,H701),)</f>
        <v>0</v>
      </c>
      <c r="J701" s="11">
        <f t="shared" si="17"/>
        <v>0</v>
      </c>
      <c r="K701" s="11">
        <f>IF(B701&lt;&gt;"", IFERROR(SUMIF(ขายสินค้า!G:G,H701,ขายสินค้า!F:F)/(E701-I701),0),)</f>
        <v>0</v>
      </c>
      <c r="L701" s="12">
        <f t="shared" si="18"/>
        <v>0</v>
      </c>
      <c r="M701" s="13">
        <f t="shared" si="19"/>
        <v>0</v>
      </c>
    </row>
    <row r="702" spans="1:13">
      <c r="A702" s="14"/>
      <c r="B702" s="6"/>
      <c r="C702" s="7">
        <f>IFERROR(VLOOKUP(B702,ชื่อสินค้า!A:C,2,FALSE),)</f>
        <v>0</v>
      </c>
      <c r="D702" s="8" t="str">
        <f>IFERROR(VLOOKUP(B702,ชื่อสินค้า!A:D,4,FALSE),"")</f>
        <v/>
      </c>
      <c r="E702" s="9"/>
      <c r="F702" s="9"/>
      <c r="G702" s="8" t="str">
        <f t="shared" si="15"/>
        <v/>
      </c>
      <c r="H702" s="10">
        <f t="shared" si="16"/>
        <v>0</v>
      </c>
      <c r="I702" s="8">
        <f>IF(G702&lt;&gt;"",E702-SUMIFS(ขายสินค้า!E:E,ขายสินค้า!G:G,H702),)</f>
        <v>0</v>
      </c>
      <c r="J702" s="11">
        <f t="shared" si="17"/>
        <v>0</v>
      </c>
      <c r="K702" s="11">
        <f>IF(B702&lt;&gt;"", IFERROR(SUMIF(ขายสินค้า!G:G,H702,ขายสินค้า!F:F)/(E702-I702),0),)</f>
        <v>0</v>
      </c>
      <c r="L702" s="12">
        <f t="shared" si="18"/>
        <v>0</v>
      </c>
      <c r="M702" s="13">
        <f t="shared" si="19"/>
        <v>0</v>
      </c>
    </row>
    <row r="703" spans="1:13">
      <c r="A703" s="14"/>
      <c r="B703" s="6"/>
      <c r="C703" s="7">
        <f>IFERROR(VLOOKUP(B703,ชื่อสินค้า!A:C,2,FALSE),)</f>
        <v>0</v>
      </c>
      <c r="D703" s="8" t="str">
        <f>IFERROR(VLOOKUP(B703,ชื่อสินค้า!A:D,4,FALSE),"")</f>
        <v/>
      </c>
      <c r="E703" s="9"/>
      <c r="F703" s="9"/>
      <c r="G703" s="8" t="str">
        <f t="shared" si="15"/>
        <v/>
      </c>
      <c r="H703" s="10">
        <f t="shared" si="16"/>
        <v>0</v>
      </c>
      <c r="I703" s="8">
        <f>IF(G703&lt;&gt;"",E703-SUMIFS(ขายสินค้า!E:E,ขายสินค้า!G:G,H703),)</f>
        <v>0</v>
      </c>
      <c r="J703" s="11">
        <f t="shared" si="17"/>
        <v>0</v>
      </c>
      <c r="K703" s="11">
        <f>IF(B703&lt;&gt;"", IFERROR(SUMIF(ขายสินค้า!G:G,H703,ขายสินค้า!F:F)/(E703-I703),0),)</f>
        <v>0</v>
      </c>
      <c r="L703" s="12">
        <f t="shared" si="18"/>
        <v>0</v>
      </c>
      <c r="M703" s="13">
        <f t="shared" si="19"/>
        <v>0</v>
      </c>
    </row>
    <row r="704" spans="1:13">
      <c r="A704" s="14"/>
      <c r="B704" s="6"/>
      <c r="C704" s="7">
        <f>IFERROR(VLOOKUP(B704,ชื่อสินค้า!A:C,2,FALSE),)</f>
        <v>0</v>
      </c>
      <c r="D704" s="8" t="str">
        <f>IFERROR(VLOOKUP(B704,ชื่อสินค้า!A:D,4,FALSE),"")</f>
        <v/>
      </c>
      <c r="E704" s="9"/>
      <c r="F704" s="9"/>
      <c r="G704" s="8" t="str">
        <f t="shared" si="15"/>
        <v/>
      </c>
      <c r="H704" s="10">
        <f t="shared" si="16"/>
        <v>0</v>
      </c>
      <c r="I704" s="8">
        <f>IF(G704&lt;&gt;"",E704-SUMIFS(ขายสินค้า!E:E,ขายสินค้า!G:G,H704),)</f>
        <v>0</v>
      </c>
      <c r="J704" s="11">
        <f t="shared" si="17"/>
        <v>0</v>
      </c>
      <c r="K704" s="11">
        <f>IF(B704&lt;&gt;"", IFERROR(SUMIF(ขายสินค้า!G:G,H704,ขายสินค้า!F:F)/(E704-I704),0),)</f>
        <v>0</v>
      </c>
      <c r="L704" s="12">
        <f t="shared" si="18"/>
        <v>0</v>
      </c>
      <c r="M704" s="13">
        <f t="shared" si="19"/>
        <v>0</v>
      </c>
    </row>
    <row r="705" spans="1:13">
      <c r="A705" s="14"/>
      <c r="B705" s="6"/>
      <c r="C705" s="7">
        <f>IFERROR(VLOOKUP(B705,ชื่อสินค้า!A:C,2,FALSE),)</f>
        <v>0</v>
      </c>
      <c r="D705" s="8" t="str">
        <f>IFERROR(VLOOKUP(B705,ชื่อสินค้า!A:D,4,FALSE),"")</f>
        <v/>
      </c>
      <c r="E705" s="9"/>
      <c r="F705" s="9"/>
      <c r="G705" s="8" t="str">
        <f t="shared" si="15"/>
        <v/>
      </c>
      <c r="H705" s="10">
        <f t="shared" si="16"/>
        <v>0</v>
      </c>
      <c r="I705" s="8">
        <f>IF(G705&lt;&gt;"",E705-SUMIFS(ขายสินค้า!E:E,ขายสินค้า!G:G,H705),)</f>
        <v>0</v>
      </c>
      <c r="J705" s="11">
        <f t="shared" si="17"/>
        <v>0</v>
      </c>
      <c r="K705" s="11">
        <f>IF(B705&lt;&gt;"", IFERROR(SUMIF(ขายสินค้า!G:G,H705,ขายสินค้า!F:F)/(E705-I705),0),)</f>
        <v>0</v>
      </c>
      <c r="L705" s="12">
        <f t="shared" si="18"/>
        <v>0</v>
      </c>
      <c r="M705" s="13">
        <f t="shared" si="19"/>
        <v>0</v>
      </c>
    </row>
    <row r="706" spans="1:13">
      <c r="A706" s="14"/>
      <c r="B706" s="6"/>
      <c r="C706" s="7">
        <f>IFERROR(VLOOKUP(B706,ชื่อสินค้า!A:C,2,FALSE),)</f>
        <v>0</v>
      </c>
      <c r="D706" s="8" t="str">
        <f>IFERROR(VLOOKUP(B706,ชื่อสินค้า!A:D,4,FALSE),"")</f>
        <v/>
      </c>
      <c r="E706" s="9"/>
      <c r="F706" s="9"/>
      <c r="G706" s="8" t="str">
        <f t="shared" si="15"/>
        <v/>
      </c>
      <c r="H706" s="10">
        <f t="shared" si="16"/>
        <v>0</v>
      </c>
      <c r="I706" s="8">
        <f>IF(G706&lt;&gt;"",E706-SUMIFS(ขายสินค้า!E:E,ขายสินค้า!G:G,H706),)</f>
        <v>0</v>
      </c>
      <c r="J706" s="11">
        <f t="shared" si="17"/>
        <v>0</v>
      </c>
      <c r="K706" s="11">
        <f>IF(B706&lt;&gt;"", IFERROR(SUMIF(ขายสินค้า!G:G,H706,ขายสินค้า!F:F)/(E706-I706),0),)</f>
        <v>0</v>
      </c>
      <c r="L706" s="12">
        <f t="shared" si="18"/>
        <v>0</v>
      </c>
      <c r="M706" s="13">
        <f t="shared" si="19"/>
        <v>0</v>
      </c>
    </row>
    <row r="707" spans="1:13">
      <c r="A707" s="14"/>
      <c r="B707" s="6"/>
      <c r="C707" s="7">
        <f>IFERROR(VLOOKUP(B707,ชื่อสินค้า!A:C,2,FALSE),)</f>
        <v>0</v>
      </c>
      <c r="D707" s="8" t="str">
        <f>IFERROR(VLOOKUP(B707,ชื่อสินค้า!A:D,4,FALSE),"")</f>
        <v/>
      </c>
      <c r="E707" s="9"/>
      <c r="F707" s="9"/>
      <c r="G707" s="8" t="str">
        <f t="shared" si="15"/>
        <v/>
      </c>
      <c r="H707" s="10">
        <f t="shared" si="16"/>
        <v>0</v>
      </c>
      <c r="I707" s="8">
        <f>IF(G707&lt;&gt;"",E707-SUMIFS(ขายสินค้า!E:E,ขายสินค้า!G:G,H707),)</f>
        <v>0</v>
      </c>
      <c r="J707" s="11">
        <f t="shared" si="17"/>
        <v>0</v>
      </c>
      <c r="K707" s="11">
        <f>IF(B707&lt;&gt;"", IFERROR(SUMIF(ขายสินค้า!G:G,H707,ขายสินค้า!F:F)/(E707-I707),0),)</f>
        <v>0</v>
      </c>
      <c r="L707" s="12">
        <f t="shared" si="18"/>
        <v>0</v>
      </c>
      <c r="M707" s="13">
        <f t="shared" si="19"/>
        <v>0</v>
      </c>
    </row>
    <row r="708" spans="1:13">
      <c r="A708" s="14"/>
      <c r="B708" s="6"/>
      <c r="C708" s="7">
        <f>IFERROR(VLOOKUP(B708,ชื่อสินค้า!A:C,2,FALSE),)</f>
        <v>0</v>
      </c>
      <c r="D708" s="8" t="str">
        <f>IFERROR(VLOOKUP(B708,ชื่อสินค้า!A:D,4,FALSE),"")</f>
        <v/>
      </c>
      <c r="E708" s="9"/>
      <c r="F708" s="9"/>
      <c r="G708" s="8" t="str">
        <f t="shared" si="15"/>
        <v/>
      </c>
      <c r="H708" s="10">
        <f t="shared" si="16"/>
        <v>0</v>
      </c>
      <c r="I708" s="8">
        <f>IF(G708&lt;&gt;"",E708-SUMIFS(ขายสินค้า!E:E,ขายสินค้า!G:G,H708),)</f>
        <v>0</v>
      </c>
      <c r="J708" s="11">
        <f t="shared" si="17"/>
        <v>0</v>
      </c>
      <c r="K708" s="11">
        <f>IF(B708&lt;&gt;"", IFERROR(SUMIF(ขายสินค้า!G:G,H708,ขายสินค้า!F:F)/(E708-I708),0),)</f>
        <v>0</v>
      </c>
      <c r="L708" s="12">
        <f t="shared" si="18"/>
        <v>0</v>
      </c>
      <c r="M708" s="13">
        <f t="shared" si="19"/>
        <v>0</v>
      </c>
    </row>
    <row r="709" spans="1:13">
      <c r="A709" s="14"/>
      <c r="B709" s="6"/>
      <c r="C709" s="7">
        <f>IFERROR(VLOOKUP(B709,ชื่อสินค้า!A:C,2,FALSE),)</f>
        <v>0</v>
      </c>
      <c r="D709" s="8" t="str">
        <f>IFERROR(VLOOKUP(B709,ชื่อสินค้า!A:D,4,FALSE),"")</f>
        <v/>
      </c>
      <c r="E709" s="9"/>
      <c r="F709" s="9"/>
      <c r="G709" s="8" t="str">
        <f t="shared" si="15"/>
        <v/>
      </c>
      <c r="H709" s="10">
        <f t="shared" si="16"/>
        <v>0</v>
      </c>
      <c r="I709" s="8">
        <f>IF(G709&lt;&gt;"",E709-SUMIFS(ขายสินค้า!E:E,ขายสินค้า!G:G,H709),)</f>
        <v>0</v>
      </c>
      <c r="J709" s="11">
        <f t="shared" si="17"/>
        <v>0</v>
      </c>
      <c r="K709" s="11">
        <f>IF(B709&lt;&gt;"", IFERROR(SUMIF(ขายสินค้า!G:G,H709,ขายสินค้า!F:F)/(E709-I709),0),)</f>
        <v>0</v>
      </c>
      <c r="L709" s="12">
        <f t="shared" si="18"/>
        <v>0</v>
      </c>
      <c r="M709" s="13">
        <f t="shared" si="19"/>
        <v>0</v>
      </c>
    </row>
    <row r="710" spans="1:13">
      <c r="A710" s="14"/>
      <c r="B710" s="6"/>
      <c r="C710" s="7">
        <f>IFERROR(VLOOKUP(B710,ชื่อสินค้า!A:C,2,FALSE),)</f>
        <v>0</v>
      </c>
      <c r="D710" s="8" t="str">
        <f>IFERROR(VLOOKUP(B710,ชื่อสินค้า!A:D,4,FALSE),"")</f>
        <v/>
      </c>
      <c r="E710" s="9"/>
      <c r="F710" s="9"/>
      <c r="G710" s="8" t="str">
        <f t="shared" si="15"/>
        <v/>
      </c>
      <c r="H710" s="10">
        <f t="shared" si="16"/>
        <v>0</v>
      </c>
      <c r="I710" s="8">
        <f>IF(G710&lt;&gt;"",E710-SUMIFS(ขายสินค้า!E:E,ขายสินค้า!G:G,H710),)</f>
        <v>0</v>
      </c>
      <c r="J710" s="11">
        <f t="shared" si="17"/>
        <v>0</v>
      </c>
      <c r="K710" s="11">
        <f>IF(B710&lt;&gt;"", IFERROR(SUMIF(ขายสินค้า!G:G,H710,ขายสินค้า!F:F)/(E710-I710),0),)</f>
        <v>0</v>
      </c>
      <c r="L710" s="12">
        <f t="shared" si="18"/>
        <v>0</v>
      </c>
      <c r="M710" s="13">
        <f t="shared" si="19"/>
        <v>0</v>
      </c>
    </row>
    <row r="711" spans="1:13">
      <c r="A711" s="14"/>
      <c r="B711" s="6"/>
      <c r="C711" s="7">
        <f>IFERROR(VLOOKUP(B711,ชื่อสินค้า!A:C,2,FALSE),)</f>
        <v>0</v>
      </c>
      <c r="D711" s="8" t="str">
        <f>IFERROR(VLOOKUP(B711,ชื่อสินค้า!A:D,4,FALSE),"")</f>
        <v/>
      </c>
      <c r="E711" s="9"/>
      <c r="F711" s="9"/>
      <c r="G711" s="8" t="str">
        <f t="shared" si="15"/>
        <v/>
      </c>
      <c r="H711" s="10">
        <f t="shared" si="16"/>
        <v>0</v>
      </c>
      <c r="I711" s="8">
        <f>IF(G711&lt;&gt;"",E711-SUMIFS(ขายสินค้า!E:E,ขายสินค้า!G:G,H711),)</f>
        <v>0</v>
      </c>
      <c r="J711" s="11">
        <f t="shared" si="17"/>
        <v>0</v>
      </c>
      <c r="K711" s="11">
        <f>IF(B711&lt;&gt;"", IFERROR(SUMIF(ขายสินค้า!G:G,H711,ขายสินค้า!F:F)/(E711-I711),0),)</f>
        <v>0</v>
      </c>
      <c r="L711" s="12">
        <f t="shared" si="18"/>
        <v>0</v>
      </c>
      <c r="M711" s="13">
        <f t="shared" si="19"/>
        <v>0</v>
      </c>
    </row>
    <row r="712" spans="1:13">
      <c r="A712" s="14"/>
      <c r="B712" s="6"/>
      <c r="C712" s="7">
        <f>IFERROR(VLOOKUP(B712,ชื่อสินค้า!A:C,2,FALSE),)</f>
        <v>0</v>
      </c>
      <c r="D712" s="8" t="str">
        <f>IFERROR(VLOOKUP(B712,ชื่อสินค้า!A:D,4,FALSE),"")</f>
        <v/>
      </c>
      <c r="E712" s="9"/>
      <c r="F712" s="9"/>
      <c r="G712" s="8" t="str">
        <f t="shared" si="15"/>
        <v/>
      </c>
      <c r="H712" s="10">
        <f t="shared" si="16"/>
        <v>0</v>
      </c>
      <c r="I712" s="8">
        <f>IF(G712&lt;&gt;"",E712-SUMIFS(ขายสินค้า!E:E,ขายสินค้า!G:G,H712),)</f>
        <v>0</v>
      </c>
      <c r="J712" s="11">
        <f t="shared" si="17"/>
        <v>0</v>
      </c>
      <c r="K712" s="11">
        <f>IF(B712&lt;&gt;"", IFERROR(SUMIF(ขายสินค้า!G:G,H712,ขายสินค้า!F:F)/(E712-I712),0),)</f>
        <v>0</v>
      </c>
      <c r="L712" s="12">
        <f t="shared" si="18"/>
        <v>0</v>
      </c>
      <c r="M712" s="13">
        <f t="shared" si="19"/>
        <v>0</v>
      </c>
    </row>
    <row r="713" spans="1:13">
      <c r="A713" s="14"/>
      <c r="B713" s="6"/>
      <c r="C713" s="7">
        <f>IFERROR(VLOOKUP(B713,ชื่อสินค้า!A:C,2,FALSE),)</f>
        <v>0</v>
      </c>
      <c r="D713" s="8" t="str">
        <f>IFERROR(VLOOKUP(B713,ชื่อสินค้า!A:D,4,FALSE),"")</f>
        <v/>
      </c>
      <c r="E713" s="9"/>
      <c r="F713" s="9"/>
      <c r="G713" s="8" t="str">
        <f t="shared" si="15"/>
        <v/>
      </c>
      <c r="H713" s="10">
        <f t="shared" si="16"/>
        <v>0</v>
      </c>
      <c r="I713" s="8">
        <f>IF(G713&lt;&gt;"",E713-SUMIFS(ขายสินค้า!E:E,ขายสินค้า!G:G,H713),)</f>
        <v>0</v>
      </c>
      <c r="J713" s="11">
        <f t="shared" si="17"/>
        <v>0</v>
      </c>
      <c r="K713" s="11">
        <f>IF(B713&lt;&gt;"", IFERROR(SUMIF(ขายสินค้า!G:G,H713,ขายสินค้า!F:F)/(E713-I713),0),)</f>
        <v>0</v>
      </c>
      <c r="L713" s="12">
        <f t="shared" si="18"/>
        <v>0</v>
      </c>
      <c r="M713" s="13">
        <f t="shared" si="19"/>
        <v>0</v>
      </c>
    </row>
    <row r="714" spans="1:13">
      <c r="A714" s="14"/>
      <c r="B714" s="6"/>
      <c r="C714" s="7">
        <f>IFERROR(VLOOKUP(B714,ชื่อสินค้า!A:C,2,FALSE),)</f>
        <v>0</v>
      </c>
      <c r="D714" s="8" t="str">
        <f>IFERROR(VLOOKUP(B714,ชื่อสินค้า!A:D,4,FALSE),"")</f>
        <v/>
      </c>
      <c r="E714" s="9"/>
      <c r="F714" s="9"/>
      <c r="G714" s="8" t="str">
        <f t="shared" si="15"/>
        <v/>
      </c>
      <c r="H714" s="10">
        <f t="shared" si="16"/>
        <v>0</v>
      </c>
      <c r="I714" s="8">
        <f>IF(G714&lt;&gt;"",E714-SUMIFS(ขายสินค้า!E:E,ขายสินค้า!G:G,H714),)</f>
        <v>0</v>
      </c>
      <c r="J714" s="11">
        <f t="shared" si="17"/>
        <v>0</v>
      </c>
      <c r="K714" s="11">
        <f>IF(B714&lt;&gt;"", IFERROR(SUMIF(ขายสินค้า!G:G,H714,ขายสินค้า!F:F)/(E714-I714),0),)</f>
        <v>0</v>
      </c>
      <c r="L714" s="12">
        <f t="shared" si="18"/>
        <v>0</v>
      </c>
      <c r="M714" s="13">
        <f t="shared" si="19"/>
        <v>0</v>
      </c>
    </row>
    <row r="715" spans="1:13">
      <c r="A715" s="14"/>
      <c r="B715" s="6"/>
      <c r="C715" s="7">
        <f>IFERROR(VLOOKUP(B715,ชื่อสินค้า!A:C,2,FALSE),)</f>
        <v>0</v>
      </c>
      <c r="D715" s="8" t="str">
        <f>IFERROR(VLOOKUP(B715,ชื่อสินค้า!A:D,4,FALSE),"")</f>
        <v/>
      </c>
      <c r="E715" s="9"/>
      <c r="F715" s="9"/>
      <c r="G715" s="8" t="str">
        <f t="shared" si="15"/>
        <v/>
      </c>
      <c r="H715" s="10">
        <f t="shared" si="16"/>
        <v>0</v>
      </c>
      <c r="I715" s="8">
        <f>IF(G715&lt;&gt;"",E715-SUMIFS(ขายสินค้า!E:E,ขายสินค้า!G:G,H715),)</f>
        <v>0</v>
      </c>
      <c r="J715" s="11">
        <f t="shared" si="17"/>
        <v>0</v>
      </c>
      <c r="K715" s="11">
        <f>IF(B715&lt;&gt;"", IFERROR(SUMIF(ขายสินค้า!G:G,H715,ขายสินค้า!F:F)/(E715-I715),0),)</f>
        <v>0</v>
      </c>
      <c r="L715" s="12">
        <f t="shared" si="18"/>
        <v>0</v>
      </c>
      <c r="M715" s="13">
        <f t="shared" si="19"/>
        <v>0</v>
      </c>
    </row>
    <row r="716" spans="1:13">
      <c r="A716" s="14"/>
      <c r="B716" s="6"/>
      <c r="C716" s="7">
        <f>IFERROR(VLOOKUP(B716,ชื่อสินค้า!A:C,2,FALSE),)</f>
        <v>0</v>
      </c>
      <c r="D716" s="8" t="str">
        <f>IFERROR(VLOOKUP(B716,ชื่อสินค้า!A:D,4,FALSE),"")</f>
        <v/>
      </c>
      <c r="E716" s="9"/>
      <c r="F716" s="9"/>
      <c r="G716" s="8" t="str">
        <f t="shared" si="15"/>
        <v/>
      </c>
      <c r="H716" s="10">
        <f t="shared" si="16"/>
        <v>0</v>
      </c>
      <c r="I716" s="8">
        <f>IF(G716&lt;&gt;"",E716-SUMIFS(ขายสินค้า!E:E,ขายสินค้า!G:G,H716),)</f>
        <v>0</v>
      </c>
      <c r="J716" s="11">
        <f t="shared" si="17"/>
        <v>0</v>
      </c>
      <c r="K716" s="11">
        <f>IF(B716&lt;&gt;"", IFERROR(SUMIF(ขายสินค้า!G:G,H716,ขายสินค้า!F:F)/(E716-I716),0),)</f>
        <v>0</v>
      </c>
      <c r="L716" s="12">
        <f t="shared" si="18"/>
        <v>0</v>
      </c>
      <c r="M716" s="13">
        <f t="shared" si="19"/>
        <v>0</v>
      </c>
    </row>
    <row r="717" spans="1:13">
      <c r="A717" s="14"/>
      <c r="B717" s="6"/>
      <c r="C717" s="7">
        <f>IFERROR(VLOOKUP(B717,ชื่อสินค้า!A:C,2,FALSE),)</f>
        <v>0</v>
      </c>
      <c r="D717" s="8" t="str">
        <f>IFERROR(VLOOKUP(B717,ชื่อสินค้า!A:D,4,FALSE),"")</f>
        <v/>
      </c>
      <c r="E717" s="9"/>
      <c r="F717" s="9"/>
      <c r="G717" s="8" t="str">
        <f t="shared" si="15"/>
        <v/>
      </c>
      <c r="H717" s="10">
        <f t="shared" si="16"/>
        <v>0</v>
      </c>
      <c r="I717" s="8">
        <f>IF(G717&lt;&gt;"",E717-SUMIFS(ขายสินค้า!E:E,ขายสินค้า!G:G,H717),)</f>
        <v>0</v>
      </c>
      <c r="J717" s="11">
        <f t="shared" si="17"/>
        <v>0</v>
      </c>
      <c r="K717" s="11">
        <f>IF(B717&lt;&gt;"", IFERROR(SUMIF(ขายสินค้า!G:G,H717,ขายสินค้า!F:F)/(E717-I717),0),)</f>
        <v>0</v>
      </c>
      <c r="L717" s="12">
        <f t="shared" si="18"/>
        <v>0</v>
      </c>
      <c r="M717" s="13">
        <f t="shared" si="19"/>
        <v>0</v>
      </c>
    </row>
    <row r="718" spans="1:13">
      <c r="A718" s="14"/>
      <c r="B718" s="6"/>
      <c r="C718" s="7">
        <f>IFERROR(VLOOKUP(B718,ชื่อสินค้า!A:C,2,FALSE),)</f>
        <v>0</v>
      </c>
      <c r="D718" s="8" t="str">
        <f>IFERROR(VLOOKUP(B718,ชื่อสินค้า!A:D,4,FALSE),"")</f>
        <v/>
      </c>
      <c r="E718" s="9"/>
      <c r="F718" s="9"/>
      <c r="G718" s="8" t="str">
        <f t="shared" si="15"/>
        <v/>
      </c>
      <c r="H718" s="10">
        <f t="shared" si="16"/>
        <v>0</v>
      </c>
      <c r="I718" s="8">
        <f>IF(G718&lt;&gt;"",E718-SUMIFS(ขายสินค้า!E:E,ขายสินค้า!G:G,H718),)</f>
        <v>0</v>
      </c>
      <c r="J718" s="11">
        <f t="shared" si="17"/>
        <v>0</v>
      </c>
      <c r="K718" s="11">
        <f>IF(B718&lt;&gt;"", IFERROR(SUMIF(ขายสินค้า!G:G,H718,ขายสินค้า!F:F)/(E718-I718),0),)</f>
        <v>0</v>
      </c>
      <c r="L718" s="12">
        <f t="shared" si="18"/>
        <v>0</v>
      </c>
      <c r="M718" s="13">
        <f t="shared" si="19"/>
        <v>0</v>
      </c>
    </row>
    <row r="719" spans="1:13">
      <c r="A719" s="14"/>
      <c r="B719" s="6"/>
      <c r="C719" s="7">
        <f>IFERROR(VLOOKUP(B719,ชื่อสินค้า!A:C,2,FALSE),)</f>
        <v>0</v>
      </c>
      <c r="D719" s="8" t="str">
        <f>IFERROR(VLOOKUP(B719,ชื่อสินค้า!A:D,4,FALSE),"")</f>
        <v/>
      </c>
      <c r="E719" s="9"/>
      <c r="F719" s="9"/>
      <c r="G719" s="8" t="str">
        <f t="shared" si="15"/>
        <v/>
      </c>
      <c r="H719" s="10">
        <f t="shared" si="16"/>
        <v>0</v>
      </c>
      <c r="I719" s="8">
        <f>IF(G719&lt;&gt;"",E719-SUMIFS(ขายสินค้า!E:E,ขายสินค้า!G:G,H719),)</f>
        <v>0</v>
      </c>
      <c r="J719" s="11">
        <f t="shared" si="17"/>
        <v>0</v>
      </c>
      <c r="K719" s="11">
        <f>IF(B719&lt;&gt;"", IFERROR(SUMIF(ขายสินค้า!G:G,H719,ขายสินค้า!F:F)/(E719-I719),0),)</f>
        <v>0</v>
      </c>
      <c r="L719" s="12">
        <f t="shared" si="18"/>
        <v>0</v>
      </c>
      <c r="M719" s="13">
        <f t="shared" si="19"/>
        <v>0</v>
      </c>
    </row>
    <row r="720" spans="1:13">
      <c r="A720" s="14"/>
      <c r="B720" s="6"/>
      <c r="C720" s="7">
        <f>IFERROR(VLOOKUP(B720,ชื่อสินค้า!A:C,2,FALSE),)</f>
        <v>0</v>
      </c>
      <c r="D720" s="8" t="str">
        <f>IFERROR(VLOOKUP(B720,ชื่อสินค้า!A:D,4,FALSE),"")</f>
        <v/>
      </c>
      <c r="E720" s="9"/>
      <c r="F720" s="9"/>
      <c r="G720" s="8" t="str">
        <f t="shared" si="15"/>
        <v/>
      </c>
      <c r="H720" s="10">
        <f t="shared" si="16"/>
        <v>0</v>
      </c>
      <c r="I720" s="8">
        <f>IF(G720&lt;&gt;"",E720-SUMIFS(ขายสินค้า!E:E,ขายสินค้า!G:G,H720),)</f>
        <v>0</v>
      </c>
      <c r="J720" s="11">
        <f t="shared" si="17"/>
        <v>0</v>
      </c>
      <c r="K720" s="11">
        <f>IF(B720&lt;&gt;"", IFERROR(SUMIF(ขายสินค้า!G:G,H720,ขายสินค้า!F:F)/(E720-I720),0),)</f>
        <v>0</v>
      </c>
      <c r="L720" s="12">
        <f t="shared" si="18"/>
        <v>0</v>
      </c>
      <c r="M720" s="13">
        <f t="shared" si="19"/>
        <v>0</v>
      </c>
    </row>
    <row r="721" spans="1:13">
      <c r="A721" s="14"/>
      <c r="B721" s="6"/>
      <c r="C721" s="7">
        <f>IFERROR(VLOOKUP(B721,ชื่อสินค้า!A:C,2,FALSE),)</f>
        <v>0</v>
      </c>
      <c r="D721" s="8" t="str">
        <f>IFERROR(VLOOKUP(B721,ชื่อสินค้า!A:D,4,FALSE),"")</f>
        <v/>
      </c>
      <c r="E721" s="9"/>
      <c r="F721" s="9"/>
      <c r="G721" s="8" t="str">
        <f t="shared" si="15"/>
        <v/>
      </c>
      <c r="H721" s="10">
        <f t="shared" si="16"/>
        <v>0</v>
      </c>
      <c r="I721" s="8">
        <f>IF(G721&lt;&gt;"",E721-SUMIFS(ขายสินค้า!E:E,ขายสินค้า!G:G,H721),)</f>
        <v>0</v>
      </c>
      <c r="J721" s="11">
        <f t="shared" si="17"/>
        <v>0</v>
      </c>
      <c r="K721" s="11">
        <f>IF(B721&lt;&gt;"", IFERROR(SUMIF(ขายสินค้า!G:G,H721,ขายสินค้า!F:F)/(E721-I721),0),)</f>
        <v>0</v>
      </c>
      <c r="L721" s="12">
        <f t="shared" si="18"/>
        <v>0</v>
      </c>
      <c r="M721" s="13">
        <f t="shared" si="19"/>
        <v>0</v>
      </c>
    </row>
    <row r="722" spans="1:13">
      <c r="A722" s="14"/>
      <c r="B722" s="6"/>
      <c r="C722" s="7">
        <f>IFERROR(VLOOKUP(B722,ชื่อสินค้า!A:C,2,FALSE),)</f>
        <v>0</v>
      </c>
      <c r="D722" s="8" t="str">
        <f>IFERROR(VLOOKUP(B722,ชื่อสินค้า!A:D,4,FALSE),"")</f>
        <v/>
      </c>
      <c r="E722" s="9"/>
      <c r="F722" s="9"/>
      <c r="G722" s="8" t="str">
        <f t="shared" si="15"/>
        <v/>
      </c>
      <c r="H722" s="10">
        <f t="shared" si="16"/>
        <v>0</v>
      </c>
      <c r="I722" s="8">
        <f>IF(G722&lt;&gt;"",E722-SUMIFS(ขายสินค้า!E:E,ขายสินค้า!G:G,H722),)</f>
        <v>0</v>
      </c>
      <c r="J722" s="11">
        <f t="shared" si="17"/>
        <v>0</v>
      </c>
      <c r="K722" s="11">
        <f>IF(B722&lt;&gt;"", IFERROR(SUMIF(ขายสินค้า!G:G,H722,ขายสินค้า!F:F)/(E722-I722),0),)</f>
        <v>0</v>
      </c>
      <c r="L722" s="12">
        <f t="shared" si="18"/>
        <v>0</v>
      </c>
      <c r="M722" s="13">
        <f t="shared" si="19"/>
        <v>0</v>
      </c>
    </row>
    <row r="723" spans="1:13">
      <c r="A723" s="14"/>
      <c r="B723" s="6"/>
      <c r="C723" s="7">
        <f>IFERROR(VLOOKUP(B723,ชื่อสินค้า!A:C,2,FALSE),)</f>
        <v>0</v>
      </c>
      <c r="D723" s="8" t="str">
        <f>IFERROR(VLOOKUP(B723,ชื่อสินค้า!A:D,4,FALSE),"")</f>
        <v/>
      </c>
      <c r="E723" s="9"/>
      <c r="F723" s="9"/>
      <c r="G723" s="8" t="str">
        <f t="shared" si="15"/>
        <v/>
      </c>
      <c r="H723" s="10">
        <f t="shared" si="16"/>
        <v>0</v>
      </c>
      <c r="I723" s="8">
        <f>IF(G723&lt;&gt;"",E723-SUMIFS(ขายสินค้า!E:E,ขายสินค้า!G:G,H723),)</f>
        <v>0</v>
      </c>
      <c r="J723" s="11">
        <f t="shared" si="17"/>
        <v>0</v>
      </c>
      <c r="K723" s="11">
        <f>IF(B723&lt;&gt;"", IFERROR(SUMIF(ขายสินค้า!G:G,H723,ขายสินค้า!F:F)/(E723-I723),0),)</f>
        <v>0</v>
      </c>
      <c r="L723" s="12">
        <f t="shared" si="18"/>
        <v>0</v>
      </c>
      <c r="M723" s="13">
        <f t="shared" si="19"/>
        <v>0</v>
      </c>
    </row>
    <row r="724" spans="1:13">
      <c r="A724" s="14"/>
      <c r="B724" s="6"/>
      <c r="C724" s="7">
        <f>IFERROR(VLOOKUP(B724,ชื่อสินค้า!A:C,2,FALSE),)</f>
        <v>0</v>
      </c>
      <c r="D724" s="8" t="str">
        <f>IFERROR(VLOOKUP(B724,ชื่อสินค้า!A:D,4,FALSE),"")</f>
        <v/>
      </c>
      <c r="E724" s="9"/>
      <c r="F724" s="9"/>
      <c r="G724" s="8" t="str">
        <f t="shared" si="15"/>
        <v/>
      </c>
      <c r="H724" s="10">
        <f t="shared" si="16"/>
        <v>0</v>
      </c>
      <c r="I724" s="8">
        <f>IF(G724&lt;&gt;"",E724-SUMIFS(ขายสินค้า!E:E,ขายสินค้า!G:G,H724),)</f>
        <v>0</v>
      </c>
      <c r="J724" s="11">
        <f t="shared" si="17"/>
        <v>0</v>
      </c>
      <c r="K724" s="11">
        <f>IF(B724&lt;&gt;"", IFERROR(SUMIF(ขายสินค้า!G:G,H724,ขายสินค้า!F:F)/(E724-I724),0),)</f>
        <v>0</v>
      </c>
      <c r="L724" s="12">
        <f t="shared" si="18"/>
        <v>0</v>
      </c>
      <c r="M724" s="13">
        <f t="shared" si="19"/>
        <v>0</v>
      </c>
    </row>
    <row r="725" spans="1:13">
      <c r="A725" s="14"/>
      <c r="B725" s="6"/>
      <c r="C725" s="7">
        <f>IFERROR(VLOOKUP(B725,ชื่อสินค้า!A:C,2,FALSE),)</f>
        <v>0</v>
      </c>
      <c r="D725" s="8" t="str">
        <f>IFERROR(VLOOKUP(B725,ชื่อสินค้า!A:D,4,FALSE),"")</f>
        <v/>
      </c>
      <c r="E725" s="9"/>
      <c r="F725" s="9"/>
      <c r="G725" s="8" t="str">
        <f t="shared" si="15"/>
        <v/>
      </c>
      <c r="H725" s="10">
        <f t="shared" si="16"/>
        <v>0</v>
      </c>
      <c r="I725" s="8">
        <f>IF(G725&lt;&gt;"",E725-SUMIFS(ขายสินค้า!E:E,ขายสินค้า!G:G,H725),)</f>
        <v>0</v>
      </c>
      <c r="J725" s="11">
        <f t="shared" si="17"/>
        <v>0</v>
      </c>
      <c r="K725" s="11">
        <f>IF(B725&lt;&gt;"", IFERROR(SUMIF(ขายสินค้า!G:G,H725,ขายสินค้า!F:F)/(E725-I725),0),)</f>
        <v>0</v>
      </c>
      <c r="L725" s="12">
        <f t="shared" si="18"/>
        <v>0</v>
      </c>
      <c r="M725" s="13">
        <f t="shared" si="19"/>
        <v>0</v>
      </c>
    </row>
    <row r="726" spans="1:13">
      <c r="A726" s="14"/>
      <c r="B726" s="6"/>
      <c r="C726" s="7">
        <f>IFERROR(VLOOKUP(B726,ชื่อสินค้า!A:C,2,FALSE),)</f>
        <v>0</v>
      </c>
      <c r="D726" s="8" t="str">
        <f>IFERROR(VLOOKUP(B726,ชื่อสินค้า!A:D,4,FALSE),"")</f>
        <v/>
      </c>
      <c r="E726" s="9"/>
      <c r="F726" s="9"/>
      <c r="G726" s="8" t="str">
        <f t="shared" si="15"/>
        <v/>
      </c>
      <c r="H726" s="10">
        <f t="shared" si="16"/>
        <v>0</v>
      </c>
      <c r="I726" s="8">
        <f>IF(G726&lt;&gt;"",E726-SUMIFS(ขายสินค้า!E:E,ขายสินค้า!G:G,H726),)</f>
        <v>0</v>
      </c>
      <c r="J726" s="11">
        <f t="shared" si="17"/>
        <v>0</v>
      </c>
      <c r="K726" s="11">
        <f>IF(B726&lt;&gt;"", IFERROR(SUMIF(ขายสินค้า!G:G,H726,ขายสินค้า!F:F)/(E726-I726),0),)</f>
        <v>0</v>
      </c>
      <c r="L726" s="12">
        <f t="shared" si="18"/>
        <v>0</v>
      </c>
      <c r="M726" s="13">
        <f t="shared" si="19"/>
        <v>0</v>
      </c>
    </row>
    <row r="727" spans="1:13">
      <c r="A727" s="14"/>
      <c r="B727" s="6"/>
      <c r="C727" s="7">
        <f>IFERROR(VLOOKUP(B727,ชื่อสินค้า!A:C,2,FALSE),)</f>
        <v>0</v>
      </c>
      <c r="D727" s="8" t="str">
        <f>IFERROR(VLOOKUP(B727,ชื่อสินค้า!A:D,4,FALSE),"")</f>
        <v/>
      </c>
      <c r="E727" s="9"/>
      <c r="F727" s="9"/>
      <c r="G727" s="8" t="str">
        <f t="shared" si="15"/>
        <v/>
      </c>
      <c r="H727" s="10">
        <f t="shared" si="16"/>
        <v>0</v>
      </c>
      <c r="I727" s="8">
        <f>IF(G727&lt;&gt;"",E727-SUMIFS(ขายสินค้า!E:E,ขายสินค้า!G:G,H727),)</f>
        <v>0</v>
      </c>
      <c r="J727" s="11">
        <f t="shared" si="17"/>
        <v>0</v>
      </c>
      <c r="K727" s="11">
        <f>IF(B727&lt;&gt;"", IFERROR(SUMIF(ขายสินค้า!G:G,H727,ขายสินค้า!F:F)/(E727-I727),0),)</f>
        <v>0</v>
      </c>
      <c r="L727" s="12">
        <f t="shared" si="18"/>
        <v>0</v>
      </c>
      <c r="M727" s="13">
        <f t="shared" si="19"/>
        <v>0</v>
      </c>
    </row>
    <row r="728" spans="1:13">
      <c r="A728" s="14"/>
      <c r="B728" s="6"/>
      <c r="C728" s="7">
        <f>IFERROR(VLOOKUP(B728,ชื่อสินค้า!A:C,2,FALSE),)</f>
        <v>0</v>
      </c>
      <c r="D728" s="8" t="str">
        <f>IFERROR(VLOOKUP(B728,ชื่อสินค้า!A:D,4,FALSE),"")</f>
        <v/>
      </c>
      <c r="E728" s="9"/>
      <c r="F728" s="9"/>
      <c r="G728" s="8" t="str">
        <f t="shared" si="15"/>
        <v/>
      </c>
      <c r="H728" s="10">
        <f t="shared" si="16"/>
        <v>0</v>
      </c>
      <c r="I728" s="8">
        <f>IF(G728&lt;&gt;"",E728-SUMIFS(ขายสินค้า!E:E,ขายสินค้า!G:G,H728),)</f>
        <v>0</v>
      </c>
      <c r="J728" s="11">
        <f t="shared" si="17"/>
        <v>0</v>
      </c>
      <c r="K728" s="11">
        <f>IF(B728&lt;&gt;"", IFERROR(SUMIF(ขายสินค้า!G:G,H728,ขายสินค้า!F:F)/(E728-I728),0),)</f>
        <v>0</v>
      </c>
      <c r="L728" s="12">
        <f t="shared" si="18"/>
        <v>0</v>
      </c>
      <c r="M728" s="13">
        <f t="shared" si="19"/>
        <v>0</v>
      </c>
    </row>
    <row r="729" spans="1:13">
      <c r="A729" s="14"/>
      <c r="B729" s="6"/>
      <c r="C729" s="7">
        <f>IFERROR(VLOOKUP(B729,ชื่อสินค้า!A:C,2,FALSE),)</f>
        <v>0</v>
      </c>
      <c r="D729" s="8" t="str">
        <f>IFERROR(VLOOKUP(B729,ชื่อสินค้า!A:D,4,FALSE),"")</f>
        <v/>
      </c>
      <c r="E729" s="9"/>
      <c r="F729" s="9"/>
      <c r="G729" s="8" t="str">
        <f t="shared" si="15"/>
        <v/>
      </c>
      <c r="H729" s="10">
        <f t="shared" si="16"/>
        <v>0</v>
      </c>
      <c r="I729" s="8">
        <f>IF(G729&lt;&gt;"",E729-SUMIFS(ขายสินค้า!E:E,ขายสินค้า!G:G,H729),)</f>
        <v>0</v>
      </c>
      <c r="J729" s="11">
        <f t="shared" si="17"/>
        <v>0</v>
      </c>
      <c r="K729" s="11">
        <f>IF(B729&lt;&gt;"", IFERROR(SUMIF(ขายสินค้า!G:G,H729,ขายสินค้า!F:F)/(E729-I729),0),)</f>
        <v>0</v>
      </c>
      <c r="L729" s="12">
        <f t="shared" si="18"/>
        <v>0</v>
      </c>
      <c r="M729" s="13">
        <f t="shared" si="19"/>
        <v>0</v>
      </c>
    </row>
    <row r="730" spans="1:13">
      <c r="A730" s="14"/>
      <c r="B730" s="6"/>
      <c r="C730" s="7">
        <f>IFERROR(VLOOKUP(B730,ชื่อสินค้า!A:C,2,FALSE),)</f>
        <v>0</v>
      </c>
      <c r="D730" s="8" t="str">
        <f>IFERROR(VLOOKUP(B730,ชื่อสินค้า!A:D,4,FALSE),"")</f>
        <v/>
      </c>
      <c r="E730" s="9"/>
      <c r="F730" s="9"/>
      <c r="G730" s="8" t="str">
        <f t="shared" si="15"/>
        <v/>
      </c>
      <c r="H730" s="10">
        <f t="shared" si="16"/>
        <v>0</v>
      </c>
      <c r="I730" s="8">
        <f>IF(G730&lt;&gt;"",E730-SUMIFS(ขายสินค้า!E:E,ขายสินค้า!G:G,H730),)</f>
        <v>0</v>
      </c>
      <c r="J730" s="11">
        <f t="shared" si="17"/>
        <v>0</v>
      </c>
      <c r="K730" s="11">
        <f>IF(B730&lt;&gt;"", IFERROR(SUMIF(ขายสินค้า!G:G,H730,ขายสินค้า!F:F)/(E730-I730),0),)</f>
        <v>0</v>
      </c>
      <c r="L730" s="12">
        <f t="shared" si="18"/>
        <v>0</v>
      </c>
      <c r="M730" s="13">
        <f t="shared" si="19"/>
        <v>0</v>
      </c>
    </row>
    <row r="731" spans="1:13">
      <c r="A731" s="14"/>
      <c r="B731" s="6"/>
      <c r="C731" s="7">
        <f>IFERROR(VLOOKUP(B731,ชื่อสินค้า!A:C,2,FALSE),)</f>
        <v>0</v>
      </c>
      <c r="D731" s="8" t="str">
        <f>IFERROR(VLOOKUP(B731,ชื่อสินค้า!A:D,4,FALSE),"")</f>
        <v/>
      </c>
      <c r="E731" s="9"/>
      <c r="F731" s="9"/>
      <c r="G731" s="8" t="str">
        <f t="shared" si="15"/>
        <v/>
      </c>
      <c r="H731" s="10">
        <f t="shared" si="16"/>
        <v>0</v>
      </c>
      <c r="I731" s="8">
        <f>IF(G731&lt;&gt;"",E731-SUMIFS(ขายสินค้า!E:E,ขายสินค้า!G:G,H731),)</f>
        <v>0</v>
      </c>
      <c r="J731" s="11">
        <f t="shared" si="17"/>
        <v>0</v>
      </c>
      <c r="K731" s="11">
        <f>IF(B731&lt;&gt;"", IFERROR(SUMIF(ขายสินค้า!G:G,H731,ขายสินค้า!F:F)/(E731-I731),0),)</f>
        <v>0</v>
      </c>
      <c r="L731" s="12">
        <f t="shared" si="18"/>
        <v>0</v>
      </c>
      <c r="M731" s="13">
        <f t="shared" si="19"/>
        <v>0</v>
      </c>
    </row>
    <row r="732" spans="1:13">
      <c r="A732" s="14"/>
      <c r="B732" s="6"/>
      <c r="C732" s="7">
        <f>IFERROR(VLOOKUP(B732,ชื่อสินค้า!A:C,2,FALSE),)</f>
        <v>0</v>
      </c>
      <c r="D732" s="8" t="str">
        <f>IFERROR(VLOOKUP(B732,ชื่อสินค้า!A:D,4,FALSE),"")</f>
        <v/>
      </c>
      <c r="E732" s="9"/>
      <c r="F732" s="9"/>
      <c r="G732" s="8" t="str">
        <f t="shared" si="15"/>
        <v/>
      </c>
      <c r="H732" s="10">
        <f t="shared" si="16"/>
        <v>0</v>
      </c>
      <c r="I732" s="8">
        <f>IF(G732&lt;&gt;"",E732-SUMIFS(ขายสินค้า!E:E,ขายสินค้า!G:G,H732),)</f>
        <v>0</v>
      </c>
      <c r="J732" s="11">
        <f t="shared" si="17"/>
        <v>0</v>
      </c>
      <c r="K732" s="11">
        <f>IF(B732&lt;&gt;"", IFERROR(SUMIF(ขายสินค้า!G:G,H732,ขายสินค้า!F:F)/(E732-I732),0),)</f>
        <v>0</v>
      </c>
      <c r="L732" s="12">
        <f t="shared" si="18"/>
        <v>0</v>
      </c>
      <c r="M732" s="13">
        <f t="shared" si="19"/>
        <v>0</v>
      </c>
    </row>
    <row r="733" spans="1:13">
      <c r="A733" s="14"/>
      <c r="B733" s="6"/>
      <c r="C733" s="7">
        <f>IFERROR(VLOOKUP(B733,ชื่อสินค้า!A:C,2,FALSE),)</f>
        <v>0</v>
      </c>
      <c r="D733" s="8" t="str">
        <f>IFERROR(VLOOKUP(B733,ชื่อสินค้า!A:D,4,FALSE),"")</f>
        <v/>
      </c>
      <c r="E733" s="9"/>
      <c r="F733" s="9"/>
      <c r="G733" s="8" t="str">
        <f t="shared" si="15"/>
        <v/>
      </c>
      <c r="H733" s="10">
        <f t="shared" si="16"/>
        <v>0</v>
      </c>
      <c r="I733" s="8">
        <f>IF(G733&lt;&gt;"",E733-SUMIFS(ขายสินค้า!E:E,ขายสินค้า!G:G,H733),)</f>
        <v>0</v>
      </c>
      <c r="J733" s="11">
        <f t="shared" si="17"/>
        <v>0</v>
      </c>
      <c r="K733" s="11">
        <f>IF(B733&lt;&gt;"", IFERROR(SUMIF(ขายสินค้า!G:G,H733,ขายสินค้า!F:F)/(E733-I733),0),)</f>
        <v>0</v>
      </c>
      <c r="L733" s="12">
        <f t="shared" si="18"/>
        <v>0</v>
      </c>
      <c r="M733" s="13">
        <f t="shared" si="19"/>
        <v>0</v>
      </c>
    </row>
    <row r="734" spans="1:13">
      <c r="A734" s="14"/>
      <c r="B734" s="6"/>
      <c r="C734" s="7">
        <f>IFERROR(VLOOKUP(B734,ชื่อสินค้า!A:C,2,FALSE),)</f>
        <v>0</v>
      </c>
      <c r="D734" s="8" t="str">
        <f>IFERROR(VLOOKUP(B734,ชื่อสินค้า!A:D,4,FALSE),"")</f>
        <v/>
      </c>
      <c r="E734" s="9"/>
      <c r="F734" s="9"/>
      <c r="G734" s="8" t="str">
        <f t="shared" si="15"/>
        <v/>
      </c>
      <c r="H734" s="10">
        <f t="shared" si="16"/>
        <v>0</v>
      </c>
      <c r="I734" s="8">
        <f>IF(G734&lt;&gt;"",E734-SUMIFS(ขายสินค้า!E:E,ขายสินค้า!G:G,H734),)</f>
        <v>0</v>
      </c>
      <c r="J734" s="11">
        <f t="shared" si="17"/>
        <v>0</v>
      </c>
      <c r="K734" s="11">
        <f>IF(B734&lt;&gt;"", IFERROR(SUMIF(ขายสินค้า!G:G,H734,ขายสินค้า!F:F)/(E734-I734),0),)</f>
        <v>0</v>
      </c>
      <c r="L734" s="12">
        <f t="shared" si="18"/>
        <v>0</v>
      </c>
      <c r="M734" s="13">
        <f t="shared" si="19"/>
        <v>0</v>
      </c>
    </row>
    <row r="735" spans="1:13">
      <c r="A735" s="14"/>
      <c r="B735" s="6"/>
      <c r="C735" s="7">
        <f>IFERROR(VLOOKUP(B735,ชื่อสินค้า!A:C,2,FALSE),)</f>
        <v>0</v>
      </c>
      <c r="D735" s="8" t="str">
        <f>IFERROR(VLOOKUP(B735,ชื่อสินค้า!A:D,4,FALSE),"")</f>
        <v/>
      </c>
      <c r="E735" s="9"/>
      <c r="F735" s="9"/>
      <c r="G735" s="8" t="str">
        <f t="shared" si="15"/>
        <v/>
      </c>
      <c r="H735" s="10">
        <f t="shared" si="16"/>
        <v>0</v>
      </c>
      <c r="I735" s="8">
        <f>IF(G735&lt;&gt;"",E735-SUMIFS(ขายสินค้า!E:E,ขายสินค้า!G:G,H735),)</f>
        <v>0</v>
      </c>
      <c r="J735" s="11">
        <f t="shared" si="17"/>
        <v>0</v>
      </c>
      <c r="K735" s="11">
        <f>IF(B735&lt;&gt;"", IFERROR(SUMIF(ขายสินค้า!G:G,H735,ขายสินค้า!F:F)/(E735-I735),0),)</f>
        <v>0</v>
      </c>
      <c r="L735" s="12">
        <f t="shared" si="18"/>
        <v>0</v>
      </c>
      <c r="M735" s="13">
        <f t="shared" si="19"/>
        <v>0</v>
      </c>
    </row>
    <row r="736" spans="1:13">
      <c r="A736" s="14"/>
      <c r="B736" s="6"/>
      <c r="C736" s="7">
        <f>IFERROR(VLOOKUP(B736,ชื่อสินค้า!A:C,2,FALSE),)</f>
        <v>0</v>
      </c>
      <c r="D736" s="8" t="str">
        <f>IFERROR(VLOOKUP(B736,ชื่อสินค้า!A:D,4,FALSE),"")</f>
        <v/>
      </c>
      <c r="E736" s="9"/>
      <c r="F736" s="9"/>
      <c r="G736" s="8" t="str">
        <f t="shared" si="15"/>
        <v/>
      </c>
      <c r="H736" s="10">
        <f t="shared" si="16"/>
        <v>0</v>
      </c>
      <c r="I736" s="8">
        <f>IF(G736&lt;&gt;"",E736-SUMIFS(ขายสินค้า!E:E,ขายสินค้า!G:G,H736),)</f>
        <v>0</v>
      </c>
      <c r="J736" s="11">
        <f t="shared" si="17"/>
        <v>0</v>
      </c>
      <c r="K736" s="11">
        <f>IF(B736&lt;&gt;"", IFERROR(SUMIF(ขายสินค้า!G:G,H736,ขายสินค้า!F:F)/(E736-I736),0),)</f>
        <v>0</v>
      </c>
      <c r="L736" s="12">
        <f t="shared" si="18"/>
        <v>0</v>
      </c>
      <c r="M736" s="13">
        <f t="shared" si="19"/>
        <v>0</v>
      </c>
    </row>
    <row r="737" spans="1:13">
      <c r="A737" s="14"/>
      <c r="B737" s="6"/>
      <c r="C737" s="7">
        <f>IFERROR(VLOOKUP(B737,ชื่อสินค้า!A:C,2,FALSE),)</f>
        <v>0</v>
      </c>
      <c r="D737" s="8" t="str">
        <f>IFERROR(VLOOKUP(B737,ชื่อสินค้า!A:D,4,FALSE),"")</f>
        <v/>
      </c>
      <c r="E737" s="9"/>
      <c r="F737" s="9"/>
      <c r="G737" s="8" t="str">
        <f t="shared" si="15"/>
        <v/>
      </c>
      <c r="H737" s="10">
        <f t="shared" si="16"/>
        <v>0</v>
      </c>
      <c r="I737" s="8">
        <f>IF(G737&lt;&gt;"",E737-SUMIFS(ขายสินค้า!E:E,ขายสินค้า!G:G,H737),)</f>
        <v>0</v>
      </c>
      <c r="J737" s="11">
        <f t="shared" si="17"/>
        <v>0</v>
      </c>
      <c r="K737" s="11">
        <f>IF(B737&lt;&gt;"", IFERROR(SUMIF(ขายสินค้า!G:G,H737,ขายสินค้า!F:F)/(E737-I737),0),)</f>
        <v>0</v>
      </c>
      <c r="L737" s="12">
        <f t="shared" si="18"/>
        <v>0</v>
      </c>
      <c r="M737" s="13">
        <f t="shared" si="19"/>
        <v>0</v>
      </c>
    </row>
    <row r="738" spans="1:13">
      <c r="A738" s="14"/>
      <c r="B738" s="6"/>
      <c r="C738" s="7">
        <f>IFERROR(VLOOKUP(B738,ชื่อสินค้า!A:C,2,FALSE),)</f>
        <v>0</v>
      </c>
      <c r="D738" s="8" t="str">
        <f>IFERROR(VLOOKUP(B738,ชื่อสินค้า!A:D,4,FALSE),"")</f>
        <v/>
      </c>
      <c r="E738" s="9"/>
      <c r="F738" s="9"/>
      <c r="G738" s="8" t="str">
        <f t="shared" si="15"/>
        <v/>
      </c>
      <c r="H738" s="10">
        <f t="shared" si="16"/>
        <v>0</v>
      </c>
      <c r="I738" s="8">
        <f>IF(G738&lt;&gt;"",E738-SUMIFS(ขายสินค้า!E:E,ขายสินค้า!G:G,H738),)</f>
        <v>0</v>
      </c>
      <c r="J738" s="11">
        <f t="shared" si="17"/>
        <v>0</v>
      </c>
      <c r="K738" s="11">
        <f>IF(B738&lt;&gt;"", IFERROR(SUMIF(ขายสินค้า!G:G,H738,ขายสินค้า!F:F)/(E738-I738),0),)</f>
        <v>0</v>
      </c>
      <c r="L738" s="12">
        <f t="shared" si="18"/>
        <v>0</v>
      </c>
      <c r="M738" s="13">
        <f t="shared" si="19"/>
        <v>0</v>
      </c>
    </row>
    <row r="739" spans="1:13">
      <c r="A739" s="14"/>
      <c r="B739" s="6"/>
      <c r="C739" s="7">
        <f>IFERROR(VLOOKUP(B739,ชื่อสินค้า!A:C,2,FALSE),)</f>
        <v>0</v>
      </c>
      <c r="D739" s="8" t="str">
        <f>IFERROR(VLOOKUP(B739,ชื่อสินค้า!A:D,4,FALSE),"")</f>
        <v/>
      </c>
      <c r="E739" s="9"/>
      <c r="F739" s="9"/>
      <c r="G739" s="8" t="str">
        <f t="shared" si="15"/>
        <v/>
      </c>
      <c r="H739" s="10">
        <f t="shared" si="16"/>
        <v>0</v>
      </c>
      <c r="I739" s="8">
        <f>IF(G739&lt;&gt;"",E739-SUMIFS(ขายสินค้า!E:E,ขายสินค้า!G:G,H739),)</f>
        <v>0</v>
      </c>
      <c r="J739" s="11">
        <f t="shared" si="17"/>
        <v>0</v>
      </c>
      <c r="K739" s="11">
        <f>IF(B739&lt;&gt;"", IFERROR(SUMIF(ขายสินค้า!G:G,H739,ขายสินค้า!F:F)/(E739-I739),0),)</f>
        <v>0</v>
      </c>
      <c r="L739" s="12">
        <f t="shared" si="18"/>
        <v>0</v>
      </c>
      <c r="M739" s="13">
        <f t="shared" si="19"/>
        <v>0</v>
      </c>
    </row>
    <row r="740" spans="1:13">
      <c r="A740" s="14"/>
      <c r="B740" s="6"/>
      <c r="C740" s="7">
        <f>IFERROR(VLOOKUP(B740,ชื่อสินค้า!A:C,2,FALSE),)</f>
        <v>0</v>
      </c>
      <c r="D740" s="8" t="str">
        <f>IFERROR(VLOOKUP(B740,ชื่อสินค้า!A:D,4,FALSE),"")</f>
        <v/>
      </c>
      <c r="E740" s="9"/>
      <c r="F740" s="9"/>
      <c r="G740" s="8" t="str">
        <f t="shared" si="15"/>
        <v/>
      </c>
      <c r="H740" s="10">
        <f t="shared" si="16"/>
        <v>0</v>
      </c>
      <c r="I740" s="8">
        <f>IF(G740&lt;&gt;"",E740-SUMIFS(ขายสินค้า!E:E,ขายสินค้า!G:G,H740),)</f>
        <v>0</v>
      </c>
      <c r="J740" s="11">
        <f t="shared" si="17"/>
        <v>0</v>
      </c>
      <c r="K740" s="11">
        <f>IF(B740&lt;&gt;"", IFERROR(SUMIF(ขายสินค้า!G:G,H740,ขายสินค้า!F:F)/(E740-I740),0),)</f>
        <v>0</v>
      </c>
      <c r="L740" s="12">
        <f t="shared" si="18"/>
        <v>0</v>
      </c>
      <c r="M740" s="13">
        <f t="shared" si="19"/>
        <v>0</v>
      </c>
    </row>
    <row r="741" spans="1:13">
      <c r="A741" s="14"/>
      <c r="B741" s="6"/>
      <c r="C741" s="7">
        <f>IFERROR(VLOOKUP(B741,ชื่อสินค้า!A:C,2,FALSE),)</f>
        <v>0</v>
      </c>
      <c r="D741" s="8" t="str">
        <f>IFERROR(VLOOKUP(B741,ชื่อสินค้า!A:D,4,FALSE),"")</f>
        <v/>
      </c>
      <c r="E741" s="9"/>
      <c r="F741" s="9"/>
      <c r="G741" s="8" t="str">
        <f t="shared" si="15"/>
        <v/>
      </c>
      <c r="H741" s="10">
        <f t="shared" si="16"/>
        <v>0</v>
      </c>
      <c r="I741" s="8">
        <f>IF(G741&lt;&gt;"",E741-SUMIFS(ขายสินค้า!E:E,ขายสินค้า!G:G,H741),)</f>
        <v>0</v>
      </c>
      <c r="J741" s="11">
        <f t="shared" si="17"/>
        <v>0</v>
      </c>
      <c r="K741" s="11">
        <f>IF(B741&lt;&gt;"", IFERROR(SUMIF(ขายสินค้า!G:G,H741,ขายสินค้า!F:F)/(E741-I741),0),)</f>
        <v>0</v>
      </c>
      <c r="L741" s="12">
        <f t="shared" si="18"/>
        <v>0</v>
      </c>
      <c r="M741" s="13">
        <f t="shared" si="19"/>
        <v>0</v>
      </c>
    </row>
    <row r="742" spans="1:13">
      <c r="A742" s="14"/>
      <c r="B742" s="6"/>
      <c r="C742" s="7">
        <f>IFERROR(VLOOKUP(B742,ชื่อสินค้า!A:C,2,FALSE),)</f>
        <v>0</v>
      </c>
      <c r="D742" s="8" t="str">
        <f>IFERROR(VLOOKUP(B742,ชื่อสินค้า!A:D,4,FALSE),"")</f>
        <v/>
      </c>
      <c r="E742" s="9"/>
      <c r="F742" s="9"/>
      <c r="G742" s="8" t="str">
        <f t="shared" si="15"/>
        <v/>
      </c>
      <c r="H742" s="10">
        <f t="shared" si="16"/>
        <v>0</v>
      </c>
      <c r="I742" s="8">
        <f>IF(G742&lt;&gt;"",E742-SUMIFS(ขายสินค้า!E:E,ขายสินค้า!G:G,H742),)</f>
        <v>0</v>
      </c>
      <c r="J742" s="11">
        <f t="shared" si="17"/>
        <v>0</v>
      </c>
      <c r="K742" s="11">
        <f>IF(B742&lt;&gt;"", IFERROR(SUMIF(ขายสินค้า!G:G,H742,ขายสินค้า!F:F)/(E742-I742),0),)</f>
        <v>0</v>
      </c>
      <c r="L742" s="12">
        <f t="shared" si="18"/>
        <v>0</v>
      </c>
      <c r="M742" s="13">
        <f t="shared" si="19"/>
        <v>0</v>
      </c>
    </row>
    <row r="743" spans="1:13">
      <c r="A743" s="14"/>
      <c r="B743" s="6"/>
      <c r="C743" s="7">
        <f>IFERROR(VLOOKUP(B743,ชื่อสินค้า!A:C,2,FALSE),)</f>
        <v>0</v>
      </c>
      <c r="D743" s="8" t="str">
        <f>IFERROR(VLOOKUP(B743,ชื่อสินค้า!A:D,4,FALSE),"")</f>
        <v/>
      </c>
      <c r="E743" s="9"/>
      <c r="F743" s="9"/>
      <c r="G743" s="8" t="str">
        <f t="shared" si="15"/>
        <v/>
      </c>
      <c r="H743" s="10">
        <f t="shared" si="16"/>
        <v>0</v>
      </c>
      <c r="I743" s="8">
        <f>IF(G743&lt;&gt;"",E743-SUMIFS(ขายสินค้า!E:E,ขายสินค้า!G:G,H743),)</f>
        <v>0</v>
      </c>
      <c r="J743" s="11">
        <f t="shared" si="17"/>
        <v>0</v>
      </c>
      <c r="K743" s="11">
        <f>IF(B743&lt;&gt;"", IFERROR(SUMIF(ขายสินค้า!G:G,H743,ขายสินค้า!F:F)/(E743-I743),0),)</f>
        <v>0</v>
      </c>
      <c r="L743" s="12">
        <f t="shared" si="18"/>
        <v>0</v>
      </c>
      <c r="M743" s="13">
        <f t="shared" si="19"/>
        <v>0</v>
      </c>
    </row>
    <row r="744" spans="1:13">
      <c r="A744" s="14"/>
      <c r="B744" s="6"/>
      <c r="C744" s="7">
        <f>IFERROR(VLOOKUP(B744,ชื่อสินค้า!A:C,2,FALSE),)</f>
        <v>0</v>
      </c>
      <c r="D744" s="8" t="str">
        <f>IFERROR(VLOOKUP(B744,ชื่อสินค้า!A:D,4,FALSE),"")</f>
        <v/>
      </c>
      <c r="E744" s="9"/>
      <c r="F744" s="9"/>
      <c r="G744" s="8" t="str">
        <f t="shared" si="15"/>
        <v/>
      </c>
      <c r="H744" s="10">
        <f t="shared" si="16"/>
        <v>0</v>
      </c>
      <c r="I744" s="8">
        <f>IF(G744&lt;&gt;"",E744-SUMIFS(ขายสินค้า!E:E,ขายสินค้า!G:G,H744),)</f>
        <v>0</v>
      </c>
      <c r="J744" s="11">
        <f t="shared" si="17"/>
        <v>0</v>
      </c>
      <c r="K744" s="11">
        <f>IF(B744&lt;&gt;"", IFERROR(SUMIF(ขายสินค้า!G:G,H744,ขายสินค้า!F:F)/(E744-I744),0),)</f>
        <v>0</v>
      </c>
      <c r="L744" s="12">
        <f t="shared" si="18"/>
        <v>0</v>
      </c>
      <c r="M744" s="13">
        <f t="shared" si="19"/>
        <v>0</v>
      </c>
    </row>
    <row r="745" spans="1:13">
      <c r="A745" s="14"/>
      <c r="B745" s="6"/>
      <c r="C745" s="7">
        <f>IFERROR(VLOOKUP(B745,ชื่อสินค้า!A:C,2,FALSE),)</f>
        <v>0</v>
      </c>
      <c r="D745" s="8" t="str">
        <f>IFERROR(VLOOKUP(B745,ชื่อสินค้า!A:D,4,FALSE),"")</f>
        <v/>
      </c>
      <c r="E745" s="9"/>
      <c r="F745" s="9"/>
      <c r="G745" s="8" t="str">
        <f t="shared" si="15"/>
        <v/>
      </c>
      <c r="H745" s="10">
        <f t="shared" si="16"/>
        <v>0</v>
      </c>
      <c r="I745" s="8">
        <f>IF(G745&lt;&gt;"",E745-SUMIFS(ขายสินค้า!E:E,ขายสินค้า!G:G,H745),)</f>
        <v>0</v>
      </c>
      <c r="J745" s="11">
        <f t="shared" si="17"/>
        <v>0</v>
      </c>
      <c r="K745" s="11">
        <f>IF(B745&lt;&gt;"", IFERROR(SUMIF(ขายสินค้า!G:G,H745,ขายสินค้า!F:F)/(E745-I745),0),)</f>
        <v>0</v>
      </c>
      <c r="L745" s="12">
        <f t="shared" si="18"/>
        <v>0</v>
      </c>
      <c r="M745" s="13">
        <f t="shared" si="19"/>
        <v>0</v>
      </c>
    </row>
    <row r="746" spans="1:13">
      <c r="A746" s="14"/>
      <c r="B746" s="6"/>
      <c r="C746" s="7">
        <f>IFERROR(VLOOKUP(B746,ชื่อสินค้า!A:C,2,FALSE),)</f>
        <v>0</v>
      </c>
      <c r="D746" s="8" t="str">
        <f>IFERROR(VLOOKUP(B746,ชื่อสินค้า!A:D,4,FALSE),"")</f>
        <v/>
      </c>
      <c r="E746" s="9"/>
      <c r="F746" s="9"/>
      <c r="G746" s="8" t="str">
        <f t="shared" si="15"/>
        <v/>
      </c>
      <c r="H746" s="10">
        <f t="shared" si="16"/>
        <v>0</v>
      </c>
      <c r="I746" s="8">
        <f>IF(G746&lt;&gt;"",E746-SUMIFS(ขายสินค้า!E:E,ขายสินค้า!G:G,H746),)</f>
        <v>0</v>
      </c>
      <c r="J746" s="11">
        <f t="shared" si="17"/>
        <v>0</v>
      </c>
      <c r="K746" s="11">
        <f>IF(B746&lt;&gt;"", IFERROR(SUMIF(ขายสินค้า!G:G,H746,ขายสินค้า!F:F)/(E746-I746),0),)</f>
        <v>0</v>
      </c>
      <c r="L746" s="12">
        <f t="shared" si="18"/>
        <v>0</v>
      </c>
      <c r="M746" s="13">
        <f t="shared" si="19"/>
        <v>0</v>
      </c>
    </row>
    <row r="747" spans="1:13">
      <c r="A747" s="14"/>
      <c r="B747" s="6"/>
      <c r="C747" s="7">
        <f>IFERROR(VLOOKUP(B747,ชื่อสินค้า!A:C,2,FALSE),)</f>
        <v>0</v>
      </c>
      <c r="D747" s="8" t="str">
        <f>IFERROR(VLOOKUP(B747,ชื่อสินค้า!A:D,4,FALSE),"")</f>
        <v/>
      </c>
      <c r="E747" s="9"/>
      <c r="F747" s="9"/>
      <c r="G747" s="8" t="str">
        <f t="shared" si="15"/>
        <v/>
      </c>
      <c r="H747" s="10">
        <f t="shared" si="16"/>
        <v>0</v>
      </c>
      <c r="I747" s="8">
        <f>IF(G747&lt;&gt;"",E747-SUMIFS(ขายสินค้า!E:E,ขายสินค้า!G:G,H747),)</f>
        <v>0</v>
      </c>
      <c r="J747" s="11">
        <f t="shared" si="17"/>
        <v>0</v>
      </c>
      <c r="K747" s="11">
        <f>IF(B747&lt;&gt;"", IFERROR(SUMIF(ขายสินค้า!G:G,H747,ขายสินค้า!F:F)/(E747-I747),0),)</f>
        <v>0</v>
      </c>
      <c r="L747" s="12">
        <f t="shared" si="18"/>
        <v>0</v>
      </c>
      <c r="M747" s="13">
        <f t="shared" si="19"/>
        <v>0</v>
      </c>
    </row>
    <row r="748" spans="1:13">
      <c r="A748" s="14"/>
      <c r="B748" s="6"/>
      <c r="C748" s="7">
        <f>IFERROR(VLOOKUP(B748,ชื่อสินค้า!A:C,2,FALSE),)</f>
        <v>0</v>
      </c>
      <c r="D748" s="8" t="str">
        <f>IFERROR(VLOOKUP(B748,ชื่อสินค้า!A:D,4,FALSE),"")</f>
        <v/>
      </c>
      <c r="E748" s="9"/>
      <c r="F748" s="9"/>
      <c r="G748" s="8" t="str">
        <f t="shared" si="15"/>
        <v/>
      </c>
      <c r="H748" s="10">
        <f t="shared" si="16"/>
        <v>0</v>
      </c>
      <c r="I748" s="8">
        <f>IF(G748&lt;&gt;"",E748-SUMIFS(ขายสินค้า!E:E,ขายสินค้า!G:G,H748),)</f>
        <v>0</v>
      </c>
      <c r="J748" s="11">
        <f t="shared" si="17"/>
        <v>0</v>
      </c>
      <c r="K748" s="11">
        <f>IF(B748&lt;&gt;"", IFERROR(SUMIF(ขายสินค้า!G:G,H748,ขายสินค้า!F:F)/(E748-I748),0),)</f>
        <v>0</v>
      </c>
      <c r="L748" s="12">
        <f t="shared" si="18"/>
        <v>0</v>
      </c>
      <c r="M748" s="13">
        <f t="shared" si="19"/>
        <v>0</v>
      </c>
    </row>
    <row r="749" spans="1:13">
      <c r="A749" s="14"/>
      <c r="B749" s="6"/>
      <c r="C749" s="7">
        <f>IFERROR(VLOOKUP(B749,ชื่อสินค้า!A:C,2,FALSE),)</f>
        <v>0</v>
      </c>
      <c r="D749" s="8" t="str">
        <f>IFERROR(VLOOKUP(B749,ชื่อสินค้า!A:D,4,FALSE),"")</f>
        <v/>
      </c>
      <c r="E749" s="9"/>
      <c r="F749" s="9"/>
      <c r="G749" s="8" t="str">
        <f t="shared" si="15"/>
        <v/>
      </c>
      <c r="H749" s="10">
        <f t="shared" si="16"/>
        <v>0</v>
      </c>
      <c r="I749" s="8">
        <f>IF(G749&lt;&gt;"",E749-SUMIFS(ขายสินค้า!E:E,ขายสินค้า!G:G,H749),)</f>
        <v>0</v>
      </c>
      <c r="J749" s="11">
        <f t="shared" si="17"/>
        <v>0</v>
      </c>
      <c r="K749" s="11">
        <f>IF(B749&lt;&gt;"", IFERROR(SUMIF(ขายสินค้า!G:G,H749,ขายสินค้า!F:F)/(E749-I749),0),)</f>
        <v>0</v>
      </c>
      <c r="L749" s="12">
        <f t="shared" si="18"/>
        <v>0</v>
      </c>
      <c r="M749" s="13">
        <f t="shared" si="19"/>
        <v>0</v>
      </c>
    </row>
    <row r="750" spans="1:13">
      <c r="A750" s="14"/>
      <c r="B750" s="6"/>
      <c r="C750" s="7">
        <f>IFERROR(VLOOKUP(B750,ชื่อสินค้า!A:C,2,FALSE),)</f>
        <v>0</v>
      </c>
      <c r="D750" s="8" t="str">
        <f>IFERROR(VLOOKUP(B750,ชื่อสินค้า!A:D,4,FALSE),"")</f>
        <v/>
      </c>
      <c r="E750" s="9"/>
      <c r="F750" s="9"/>
      <c r="G750" s="8" t="str">
        <f t="shared" si="15"/>
        <v/>
      </c>
      <c r="H750" s="10">
        <f t="shared" si="16"/>
        <v>0</v>
      </c>
      <c r="I750" s="8">
        <f>IF(G750&lt;&gt;"",E750-SUMIFS(ขายสินค้า!E:E,ขายสินค้า!G:G,H750),)</f>
        <v>0</v>
      </c>
      <c r="J750" s="11">
        <f t="shared" si="17"/>
        <v>0</v>
      </c>
      <c r="K750" s="11">
        <f>IF(B750&lt;&gt;"", IFERROR(SUMIF(ขายสินค้า!G:G,H750,ขายสินค้า!F:F)/(E750-I750),0),)</f>
        <v>0</v>
      </c>
      <c r="L750" s="12">
        <f t="shared" si="18"/>
        <v>0</v>
      </c>
      <c r="M750" s="13">
        <f t="shared" si="19"/>
        <v>0</v>
      </c>
    </row>
    <row r="751" spans="1:13">
      <c r="A751" s="14"/>
      <c r="B751" s="6"/>
      <c r="C751" s="7">
        <f>IFERROR(VLOOKUP(B751,ชื่อสินค้า!A:C,2,FALSE),)</f>
        <v>0</v>
      </c>
      <c r="D751" s="8" t="str">
        <f>IFERROR(VLOOKUP(B751,ชื่อสินค้า!A:D,4,FALSE),"")</f>
        <v/>
      </c>
      <c r="E751" s="9"/>
      <c r="F751" s="9"/>
      <c r="G751" s="8" t="str">
        <f t="shared" si="15"/>
        <v/>
      </c>
      <c r="H751" s="10">
        <f t="shared" si="16"/>
        <v>0</v>
      </c>
      <c r="I751" s="8">
        <f>IF(G751&lt;&gt;"",E751-SUMIFS(ขายสินค้า!E:E,ขายสินค้า!G:G,H751),)</f>
        <v>0</v>
      </c>
      <c r="J751" s="11">
        <f t="shared" si="17"/>
        <v>0</v>
      </c>
      <c r="K751" s="11">
        <f>IF(B751&lt;&gt;"", IFERROR(SUMIF(ขายสินค้า!G:G,H751,ขายสินค้า!F:F)/(E751-I751),0),)</f>
        <v>0</v>
      </c>
      <c r="L751" s="12">
        <f t="shared" si="18"/>
        <v>0</v>
      </c>
      <c r="M751" s="13">
        <f t="shared" si="19"/>
        <v>0</v>
      </c>
    </row>
    <row r="752" spans="1:13">
      <c r="A752" s="14"/>
      <c r="B752" s="6"/>
      <c r="C752" s="7">
        <f>IFERROR(VLOOKUP(B752,ชื่อสินค้า!A:C,2,FALSE),)</f>
        <v>0</v>
      </c>
      <c r="D752" s="8" t="str">
        <f>IFERROR(VLOOKUP(B752,ชื่อสินค้า!A:D,4,FALSE),"")</f>
        <v/>
      </c>
      <c r="E752" s="9"/>
      <c r="F752" s="9"/>
      <c r="G752" s="8" t="str">
        <f t="shared" si="15"/>
        <v/>
      </c>
      <c r="H752" s="10">
        <f t="shared" si="16"/>
        <v>0</v>
      </c>
      <c r="I752" s="8">
        <f>IF(G752&lt;&gt;"",E752-SUMIFS(ขายสินค้า!E:E,ขายสินค้า!G:G,H752),)</f>
        <v>0</v>
      </c>
      <c r="J752" s="11">
        <f t="shared" si="17"/>
        <v>0</v>
      </c>
      <c r="K752" s="11">
        <f>IF(B752&lt;&gt;"", IFERROR(SUMIF(ขายสินค้า!G:G,H752,ขายสินค้า!F:F)/(E752-I752),0),)</f>
        <v>0</v>
      </c>
      <c r="L752" s="12">
        <f t="shared" si="18"/>
        <v>0</v>
      </c>
      <c r="M752" s="13">
        <f t="shared" si="19"/>
        <v>0</v>
      </c>
    </row>
    <row r="753" spans="1:13">
      <c r="A753" s="14"/>
      <c r="B753" s="6"/>
      <c r="C753" s="7">
        <f>IFERROR(VLOOKUP(B753,ชื่อสินค้า!A:C,2,FALSE),)</f>
        <v>0</v>
      </c>
      <c r="D753" s="8" t="str">
        <f>IFERROR(VLOOKUP(B753,ชื่อสินค้า!A:D,4,FALSE),"")</f>
        <v/>
      </c>
      <c r="E753" s="9"/>
      <c r="F753" s="9"/>
      <c r="G753" s="8" t="str">
        <f t="shared" si="15"/>
        <v/>
      </c>
      <c r="H753" s="10">
        <f t="shared" si="16"/>
        <v>0</v>
      </c>
      <c r="I753" s="8">
        <f>IF(G753&lt;&gt;"",E753-SUMIFS(ขายสินค้า!E:E,ขายสินค้า!G:G,H753),)</f>
        <v>0</v>
      </c>
      <c r="J753" s="11">
        <f t="shared" si="17"/>
        <v>0</v>
      </c>
      <c r="K753" s="11">
        <f>IF(B753&lt;&gt;"", IFERROR(SUMIF(ขายสินค้า!G:G,H753,ขายสินค้า!F:F)/(E753-I753),0),)</f>
        <v>0</v>
      </c>
      <c r="L753" s="12">
        <f t="shared" si="18"/>
        <v>0</v>
      </c>
      <c r="M753" s="13">
        <f t="shared" si="19"/>
        <v>0</v>
      </c>
    </row>
    <row r="754" spans="1:13">
      <c r="A754" s="14"/>
      <c r="B754" s="6"/>
      <c r="C754" s="7">
        <f>IFERROR(VLOOKUP(B754,ชื่อสินค้า!A:C,2,FALSE),)</f>
        <v>0</v>
      </c>
      <c r="D754" s="8" t="str">
        <f>IFERROR(VLOOKUP(B754,ชื่อสินค้า!A:D,4,FALSE),"")</f>
        <v/>
      </c>
      <c r="E754" s="9"/>
      <c r="F754" s="9"/>
      <c r="G754" s="8" t="str">
        <f t="shared" si="15"/>
        <v/>
      </c>
      <c r="H754" s="10">
        <f t="shared" si="16"/>
        <v>0</v>
      </c>
      <c r="I754" s="8">
        <f>IF(G754&lt;&gt;"",E754-SUMIFS(ขายสินค้า!E:E,ขายสินค้า!G:G,H754),)</f>
        <v>0</v>
      </c>
      <c r="J754" s="11">
        <f t="shared" si="17"/>
        <v>0</v>
      </c>
      <c r="K754" s="11">
        <f>IF(B754&lt;&gt;"", IFERROR(SUMIF(ขายสินค้า!G:G,H754,ขายสินค้า!F:F)/(E754-I754),0),)</f>
        <v>0</v>
      </c>
      <c r="L754" s="12">
        <f t="shared" si="18"/>
        <v>0</v>
      </c>
      <c r="M754" s="13">
        <f t="shared" si="19"/>
        <v>0</v>
      </c>
    </row>
    <row r="755" spans="1:13">
      <c r="A755" s="14"/>
      <c r="B755" s="6"/>
      <c r="C755" s="7">
        <f>IFERROR(VLOOKUP(B755,ชื่อสินค้า!A:C,2,FALSE),)</f>
        <v>0</v>
      </c>
      <c r="D755" s="8" t="str">
        <f>IFERROR(VLOOKUP(B755,ชื่อสินค้า!A:D,4,FALSE),"")</f>
        <v/>
      </c>
      <c r="E755" s="9"/>
      <c r="F755" s="9"/>
      <c r="G755" s="8" t="str">
        <f t="shared" si="15"/>
        <v/>
      </c>
      <c r="H755" s="10">
        <f t="shared" si="16"/>
        <v>0</v>
      </c>
      <c r="I755" s="8">
        <f>IF(G755&lt;&gt;"",E755-SUMIFS(ขายสินค้า!E:E,ขายสินค้า!G:G,H755),)</f>
        <v>0</v>
      </c>
      <c r="J755" s="11">
        <f t="shared" si="17"/>
        <v>0</v>
      </c>
      <c r="K755" s="11">
        <f>IF(B755&lt;&gt;"", IFERROR(SUMIF(ขายสินค้า!G:G,H755,ขายสินค้า!F:F)/(E755-I755),0),)</f>
        <v>0</v>
      </c>
      <c r="L755" s="12">
        <f t="shared" si="18"/>
        <v>0</v>
      </c>
      <c r="M755" s="13">
        <f t="shared" si="19"/>
        <v>0</v>
      </c>
    </row>
    <row r="756" spans="1:13">
      <c r="A756" s="14"/>
      <c r="B756" s="6"/>
      <c r="C756" s="7">
        <f>IFERROR(VLOOKUP(B756,ชื่อสินค้า!A:C,2,FALSE),)</f>
        <v>0</v>
      </c>
      <c r="D756" s="8" t="str">
        <f>IFERROR(VLOOKUP(B756,ชื่อสินค้า!A:D,4,FALSE),"")</f>
        <v/>
      </c>
      <c r="E756" s="9"/>
      <c r="F756" s="9"/>
      <c r="G756" s="8" t="str">
        <f t="shared" si="15"/>
        <v/>
      </c>
      <c r="H756" s="10">
        <f t="shared" si="16"/>
        <v>0</v>
      </c>
      <c r="I756" s="8">
        <f>IF(G756&lt;&gt;"",E756-SUMIFS(ขายสินค้า!E:E,ขายสินค้า!G:G,H756),)</f>
        <v>0</v>
      </c>
      <c r="J756" s="11">
        <f t="shared" si="17"/>
        <v>0</v>
      </c>
      <c r="K756" s="11">
        <f>IF(B756&lt;&gt;"", IFERROR(SUMIF(ขายสินค้า!G:G,H756,ขายสินค้า!F:F)/(E756-I756),0),)</f>
        <v>0</v>
      </c>
      <c r="L756" s="12">
        <f t="shared" si="18"/>
        <v>0</v>
      </c>
      <c r="M756" s="13">
        <f t="shared" si="19"/>
        <v>0</v>
      </c>
    </row>
    <row r="757" spans="1:13">
      <c r="A757" s="14"/>
      <c r="B757" s="6"/>
      <c r="C757" s="7">
        <f>IFERROR(VLOOKUP(B757,ชื่อสินค้า!A:C,2,FALSE),)</f>
        <v>0</v>
      </c>
      <c r="D757" s="8" t="str">
        <f>IFERROR(VLOOKUP(B757,ชื่อสินค้า!A:D,4,FALSE),"")</f>
        <v/>
      </c>
      <c r="E757" s="9"/>
      <c r="F757" s="9"/>
      <c r="G757" s="8" t="str">
        <f t="shared" si="15"/>
        <v/>
      </c>
      <c r="H757" s="10">
        <f t="shared" si="16"/>
        <v>0</v>
      </c>
      <c r="I757" s="8">
        <f>IF(G757&lt;&gt;"",E757-SUMIFS(ขายสินค้า!E:E,ขายสินค้า!G:G,H757),)</f>
        <v>0</v>
      </c>
      <c r="J757" s="11">
        <f t="shared" si="17"/>
        <v>0</v>
      </c>
      <c r="K757" s="11">
        <f>IF(B757&lt;&gt;"", IFERROR(SUMIF(ขายสินค้า!G:G,H757,ขายสินค้า!F:F)/(E757-I757),0),)</f>
        <v>0</v>
      </c>
      <c r="L757" s="12">
        <f t="shared" si="18"/>
        <v>0</v>
      </c>
      <c r="M757" s="13">
        <f t="shared" si="19"/>
        <v>0</v>
      </c>
    </row>
    <row r="758" spans="1:13">
      <c r="A758" s="14"/>
      <c r="B758" s="6"/>
      <c r="C758" s="7">
        <f>IFERROR(VLOOKUP(B758,ชื่อสินค้า!A:C,2,FALSE),)</f>
        <v>0</v>
      </c>
      <c r="D758" s="8" t="str">
        <f>IFERROR(VLOOKUP(B758,ชื่อสินค้า!A:D,4,FALSE),"")</f>
        <v/>
      </c>
      <c r="E758" s="9"/>
      <c r="F758" s="9"/>
      <c r="G758" s="8" t="str">
        <f t="shared" si="15"/>
        <v/>
      </c>
      <c r="H758" s="10">
        <f t="shared" si="16"/>
        <v>0</v>
      </c>
      <c r="I758" s="8">
        <f>IF(G758&lt;&gt;"",E758-SUMIFS(ขายสินค้า!E:E,ขายสินค้า!G:G,H758),)</f>
        <v>0</v>
      </c>
      <c r="J758" s="11">
        <f t="shared" si="17"/>
        <v>0</v>
      </c>
      <c r="K758" s="11">
        <f>IF(B758&lt;&gt;"", IFERROR(SUMIF(ขายสินค้า!G:G,H758,ขายสินค้า!F:F)/(E758-I758),0),)</f>
        <v>0</v>
      </c>
      <c r="L758" s="12">
        <f t="shared" si="18"/>
        <v>0</v>
      </c>
      <c r="M758" s="13">
        <f t="shared" si="19"/>
        <v>0</v>
      </c>
    </row>
    <row r="759" spans="1:13">
      <c r="A759" s="14"/>
      <c r="B759" s="6"/>
      <c r="C759" s="7">
        <f>IFERROR(VLOOKUP(B759,ชื่อสินค้า!A:C,2,FALSE),)</f>
        <v>0</v>
      </c>
      <c r="D759" s="8" t="str">
        <f>IFERROR(VLOOKUP(B759,ชื่อสินค้า!A:D,4,FALSE),"")</f>
        <v/>
      </c>
      <c r="E759" s="9"/>
      <c r="F759" s="9"/>
      <c r="G759" s="8" t="str">
        <f t="shared" si="15"/>
        <v/>
      </c>
      <c r="H759" s="10">
        <f t="shared" si="16"/>
        <v>0</v>
      </c>
      <c r="I759" s="8">
        <f>IF(G759&lt;&gt;"",E759-SUMIFS(ขายสินค้า!E:E,ขายสินค้า!G:G,H759),)</f>
        <v>0</v>
      </c>
      <c r="J759" s="11">
        <f t="shared" si="17"/>
        <v>0</v>
      </c>
      <c r="K759" s="11">
        <f>IF(B759&lt;&gt;"", IFERROR(SUMIF(ขายสินค้า!G:G,H759,ขายสินค้า!F:F)/(E759-I759),0),)</f>
        <v>0</v>
      </c>
      <c r="L759" s="12">
        <f t="shared" si="18"/>
        <v>0</v>
      </c>
      <c r="M759" s="13">
        <f t="shared" si="19"/>
        <v>0</v>
      </c>
    </row>
    <row r="760" spans="1:13">
      <c r="A760" s="14"/>
      <c r="B760" s="6"/>
      <c r="C760" s="7">
        <f>IFERROR(VLOOKUP(B760,ชื่อสินค้า!A:C,2,FALSE),)</f>
        <v>0</v>
      </c>
      <c r="D760" s="8" t="str">
        <f>IFERROR(VLOOKUP(B760,ชื่อสินค้า!A:D,4,FALSE),"")</f>
        <v/>
      </c>
      <c r="E760" s="9"/>
      <c r="F760" s="9"/>
      <c r="G760" s="8" t="str">
        <f t="shared" si="15"/>
        <v/>
      </c>
      <c r="H760" s="10">
        <f t="shared" si="16"/>
        <v>0</v>
      </c>
      <c r="I760" s="8">
        <f>IF(G760&lt;&gt;"",E760-SUMIFS(ขายสินค้า!E:E,ขายสินค้า!G:G,H760),)</f>
        <v>0</v>
      </c>
      <c r="J760" s="11">
        <f t="shared" si="17"/>
        <v>0</v>
      </c>
      <c r="K760" s="11">
        <f>IF(B760&lt;&gt;"", IFERROR(SUMIF(ขายสินค้า!G:G,H760,ขายสินค้า!F:F)/(E760-I760),0),)</f>
        <v>0</v>
      </c>
      <c r="L760" s="12">
        <f t="shared" si="18"/>
        <v>0</v>
      </c>
      <c r="M760" s="13">
        <f t="shared" si="19"/>
        <v>0</v>
      </c>
    </row>
    <row r="761" spans="1:13">
      <c r="A761" s="14"/>
      <c r="B761" s="6"/>
      <c r="C761" s="7">
        <f>IFERROR(VLOOKUP(B761,ชื่อสินค้า!A:C,2,FALSE),)</f>
        <v>0</v>
      </c>
      <c r="D761" s="8" t="str">
        <f>IFERROR(VLOOKUP(B761,ชื่อสินค้า!A:D,4,FALSE),"")</f>
        <v/>
      </c>
      <c r="E761" s="9"/>
      <c r="F761" s="9"/>
      <c r="G761" s="8" t="str">
        <f t="shared" si="15"/>
        <v/>
      </c>
      <c r="H761" s="10">
        <f t="shared" si="16"/>
        <v>0</v>
      </c>
      <c r="I761" s="8">
        <f>IF(G761&lt;&gt;"",E761-SUMIFS(ขายสินค้า!E:E,ขายสินค้า!G:G,H761),)</f>
        <v>0</v>
      </c>
      <c r="J761" s="11">
        <f t="shared" si="17"/>
        <v>0</v>
      </c>
      <c r="K761" s="11">
        <f>IF(B761&lt;&gt;"", IFERROR(SUMIF(ขายสินค้า!G:G,H761,ขายสินค้า!F:F)/(E761-I761),0),)</f>
        <v>0</v>
      </c>
      <c r="L761" s="12">
        <f t="shared" si="18"/>
        <v>0</v>
      </c>
      <c r="M761" s="13">
        <f t="shared" si="19"/>
        <v>0</v>
      </c>
    </row>
    <row r="762" spans="1:13">
      <c r="A762" s="14"/>
      <c r="B762" s="6"/>
      <c r="C762" s="7">
        <f>IFERROR(VLOOKUP(B762,ชื่อสินค้า!A:C,2,FALSE),)</f>
        <v>0</v>
      </c>
      <c r="D762" s="8" t="str">
        <f>IFERROR(VLOOKUP(B762,ชื่อสินค้า!A:D,4,FALSE),"")</f>
        <v/>
      </c>
      <c r="E762" s="9"/>
      <c r="F762" s="9"/>
      <c r="G762" s="8" t="str">
        <f t="shared" si="15"/>
        <v/>
      </c>
      <c r="H762" s="10">
        <f t="shared" si="16"/>
        <v>0</v>
      </c>
      <c r="I762" s="8">
        <f>IF(G762&lt;&gt;"",E762-SUMIFS(ขายสินค้า!E:E,ขายสินค้า!G:G,H762),)</f>
        <v>0</v>
      </c>
      <c r="J762" s="11">
        <f t="shared" si="17"/>
        <v>0</v>
      </c>
      <c r="K762" s="11">
        <f>IF(B762&lt;&gt;"", IFERROR(SUMIF(ขายสินค้า!G:G,H762,ขายสินค้า!F:F)/(E762-I762),0),)</f>
        <v>0</v>
      </c>
      <c r="L762" s="12">
        <f t="shared" si="18"/>
        <v>0</v>
      </c>
      <c r="M762" s="13">
        <f t="shared" si="19"/>
        <v>0</v>
      </c>
    </row>
    <row r="763" spans="1:13">
      <c r="A763" s="14"/>
      <c r="B763" s="6"/>
      <c r="C763" s="7">
        <f>IFERROR(VLOOKUP(B763,ชื่อสินค้า!A:C,2,FALSE),)</f>
        <v>0</v>
      </c>
      <c r="D763" s="8" t="str">
        <f>IFERROR(VLOOKUP(B763,ชื่อสินค้า!A:D,4,FALSE),"")</f>
        <v/>
      </c>
      <c r="E763" s="9"/>
      <c r="F763" s="9"/>
      <c r="G763" s="8" t="str">
        <f t="shared" si="15"/>
        <v/>
      </c>
      <c r="H763" s="10">
        <f t="shared" si="16"/>
        <v>0</v>
      </c>
      <c r="I763" s="8">
        <f>IF(G763&lt;&gt;"",E763-SUMIFS(ขายสินค้า!E:E,ขายสินค้า!G:G,H763),)</f>
        <v>0</v>
      </c>
      <c r="J763" s="11">
        <f t="shared" si="17"/>
        <v>0</v>
      </c>
      <c r="K763" s="11">
        <f>IF(B763&lt;&gt;"", IFERROR(SUMIF(ขายสินค้า!G:G,H763,ขายสินค้า!F:F)/(E763-I763),0),)</f>
        <v>0</v>
      </c>
      <c r="L763" s="12">
        <f t="shared" si="18"/>
        <v>0</v>
      </c>
      <c r="M763" s="13">
        <f t="shared" si="19"/>
        <v>0</v>
      </c>
    </row>
    <row r="764" spans="1:13">
      <c r="A764" s="14"/>
      <c r="B764" s="6"/>
      <c r="C764" s="7">
        <f>IFERROR(VLOOKUP(B764,ชื่อสินค้า!A:C,2,FALSE),)</f>
        <v>0</v>
      </c>
      <c r="D764" s="8" t="str">
        <f>IFERROR(VLOOKUP(B764,ชื่อสินค้า!A:D,4,FALSE),"")</f>
        <v/>
      </c>
      <c r="E764" s="9"/>
      <c r="F764" s="9"/>
      <c r="G764" s="8" t="str">
        <f t="shared" si="15"/>
        <v/>
      </c>
      <c r="H764" s="10">
        <f t="shared" si="16"/>
        <v>0</v>
      </c>
      <c r="I764" s="8">
        <f>IF(G764&lt;&gt;"",E764-SUMIFS(ขายสินค้า!E:E,ขายสินค้า!G:G,H764),)</f>
        <v>0</v>
      </c>
      <c r="J764" s="11">
        <f t="shared" si="17"/>
        <v>0</v>
      </c>
      <c r="K764" s="11">
        <f>IF(B764&lt;&gt;"", IFERROR(SUMIF(ขายสินค้า!G:G,H764,ขายสินค้า!F:F)/(E764-I764),0),)</f>
        <v>0</v>
      </c>
      <c r="L764" s="12">
        <f t="shared" si="18"/>
        <v>0</v>
      </c>
      <c r="M764" s="13">
        <f t="shared" si="19"/>
        <v>0</v>
      </c>
    </row>
    <row r="765" spans="1:13">
      <c r="A765" s="14"/>
      <c r="B765" s="6"/>
      <c r="C765" s="7">
        <f>IFERROR(VLOOKUP(B765,ชื่อสินค้า!A:C,2,FALSE),)</f>
        <v>0</v>
      </c>
      <c r="D765" s="8" t="str">
        <f>IFERROR(VLOOKUP(B765,ชื่อสินค้า!A:D,4,FALSE),"")</f>
        <v/>
      </c>
      <c r="E765" s="9"/>
      <c r="F765" s="9"/>
      <c r="G765" s="8" t="str">
        <f t="shared" si="15"/>
        <v/>
      </c>
      <c r="H765" s="10">
        <f t="shared" si="16"/>
        <v>0</v>
      </c>
      <c r="I765" s="8">
        <f>IF(G765&lt;&gt;"",E765-SUMIFS(ขายสินค้า!E:E,ขายสินค้า!G:G,H765),)</f>
        <v>0</v>
      </c>
      <c r="J765" s="11">
        <f t="shared" si="17"/>
        <v>0</v>
      </c>
      <c r="K765" s="11">
        <f>IF(B765&lt;&gt;"", IFERROR(SUMIF(ขายสินค้า!G:G,H765,ขายสินค้า!F:F)/(E765-I765),0),)</f>
        <v>0</v>
      </c>
      <c r="L765" s="12">
        <f t="shared" si="18"/>
        <v>0</v>
      </c>
      <c r="M765" s="13">
        <f t="shared" si="19"/>
        <v>0</v>
      </c>
    </row>
    <row r="766" spans="1:13">
      <c r="A766" s="14"/>
      <c r="B766" s="6"/>
      <c r="C766" s="7">
        <f>IFERROR(VLOOKUP(B766,ชื่อสินค้า!A:C,2,FALSE),)</f>
        <v>0</v>
      </c>
      <c r="D766" s="8" t="str">
        <f>IFERROR(VLOOKUP(B766,ชื่อสินค้า!A:D,4,FALSE),"")</f>
        <v/>
      </c>
      <c r="E766" s="9"/>
      <c r="F766" s="9"/>
      <c r="G766" s="8" t="str">
        <f t="shared" si="15"/>
        <v/>
      </c>
      <c r="H766" s="10">
        <f t="shared" si="16"/>
        <v>0</v>
      </c>
      <c r="I766" s="8">
        <f>IF(G766&lt;&gt;"",E766-SUMIFS(ขายสินค้า!E:E,ขายสินค้า!G:G,H766),)</f>
        <v>0</v>
      </c>
      <c r="J766" s="11">
        <f t="shared" si="17"/>
        <v>0</v>
      </c>
      <c r="K766" s="11">
        <f>IF(B766&lt;&gt;"", IFERROR(SUMIF(ขายสินค้า!G:G,H766,ขายสินค้า!F:F)/(E766-I766),0),)</f>
        <v>0</v>
      </c>
      <c r="L766" s="12">
        <f t="shared" si="18"/>
        <v>0</v>
      </c>
      <c r="M766" s="13">
        <f t="shared" si="19"/>
        <v>0</v>
      </c>
    </row>
    <row r="767" spans="1:13">
      <c r="A767" s="14"/>
      <c r="B767" s="6"/>
      <c r="C767" s="7">
        <f>IFERROR(VLOOKUP(B767,ชื่อสินค้า!A:C,2,FALSE),)</f>
        <v>0</v>
      </c>
      <c r="D767" s="8" t="str">
        <f>IFERROR(VLOOKUP(B767,ชื่อสินค้า!A:D,4,FALSE),"")</f>
        <v/>
      </c>
      <c r="E767" s="9"/>
      <c r="F767" s="9"/>
      <c r="G767" s="8" t="str">
        <f t="shared" ref="G767:G976" si="20">IF(LEN(B767)&gt;0,C767*E767+F767,"")</f>
        <v/>
      </c>
      <c r="H767" s="10">
        <f t="shared" ref="H767:H976" si="21">IF(B767&lt;&gt;"",COUNTIF($B$2:B767, B767) &amp; "-" &amp; B767,)</f>
        <v>0</v>
      </c>
      <c r="I767" s="8">
        <f>IF(G767&lt;&gt;"",E767-SUMIFS(ขายสินค้า!E:E,ขายสินค้า!G:G,H767),)</f>
        <v>0</v>
      </c>
      <c r="J767" s="11">
        <f t="shared" ref="J767:J976" si="22">IF(G767&lt;&gt;"",G767/E767,)</f>
        <v>0</v>
      </c>
      <c r="K767" s="11">
        <f>IF(B767&lt;&gt;"", IFERROR(SUMIF(ขายสินค้า!G:G,H767,ขายสินค้า!F:F)/(E767-I767),0),)</f>
        <v>0</v>
      </c>
      <c r="L767" s="12">
        <f t="shared" ref="L767:L976" si="23">IF(B767&lt;&gt;"",IFERROR((K767-J767)/K767,0),)</f>
        <v>0</v>
      </c>
      <c r="M767" s="13">
        <f t="shared" ref="M767:M976" si="24">IF(G767&lt;&gt;"",I767*J767,)</f>
        <v>0</v>
      </c>
    </row>
    <row r="768" spans="1:13">
      <c r="A768" s="14"/>
      <c r="B768" s="6"/>
      <c r="C768" s="7">
        <f>IFERROR(VLOOKUP(B768,ชื่อสินค้า!A:C,2,FALSE),)</f>
        <v>0</v>
      </c>
      <c r="D768" s="8" t="str">
        <f>IFERROR(VLOOKUP(B768,ชื่อสินค้า!A:D,4,FALSE),"")</f>
        <v/>
      </c>
      <c r="E768" s="9"/>
      <c r="F768" s="9"/>
      <c r="G768" s="8" t="str">
        <f t="shared" si="20"/>
        <v/>
      </c>
      <c r="H768" s="10">
        <f t="shared" si="21"/>
        <v>0</v>
      </c>
      <c r="I768" s="8">
        <f>IF(G768&lt;&gt;"",E768-SUMIFS(ขายสินค้า!E:E,ขายสินค้า!G:G,H768),)</f>
        <v>0</v>
      </c>
      <c r="J768" s="11">
        <f t="shared" si="22"/>
        <v>0</v>
      </c>
      <c r="K768" s="11">
        <f>IF(B768&lt;&gt;"", IFERROR(SUMIF(ขายสินค้า!G:G,H768,ขายสินค้า!F:F)/(E768-I768),0),)</f>
        <v>0</v>
      </c>
      <c r="L768" s="12">
        <f t="shared" si="23"/>
        <v>0</v>
      </c>
      <c r="M768" s="13">
        <f t="shared" si="24"/>
        <v>0</v>
      </c>
    </row>
    <row r="769" spans="1:13">
      <c r="A769" s="14"/>
      <c r="B769" s="6"/>
      <c r="C769" s="7">
        <f>IFERROR(VLOOKUP(B769,ชื่อสินค้า!A:C,2,FALSE),)</f>
        <v>0</v>
      </c>
      <c r="D769" s="8" t="str">
        <f>IFERROR(VLOOKUP(B769,ชื่อสินค้า!A:D,4,FALSE),"")</f>
        <v/>
      </c>
      <c r="E769" s="9"/>
      <c r="F769" s="9"/>
      <c r="G769" s="8" t="str">
        <f t="shared" si="20"/>
        <v/>
      </c>
      <c r="H769" s="10">
        <f t="shared" si="21"/>
        <v>0</v>
      </c>
      <c r="I769" s="8">
        <f>IF(G769&lt;&gt;"",E769-SUMIFS(ขายสินค้า!E:E,ขายสินค้า!G:G,H769),)</f>
        <v>0</v>
      </c>
      <c r="J769" s="11">
        <f t="shared" si="22"/>
        <v>0</v>
      </c>
      <c r="K769" s="11">
        <f>IF(B769&lt;&gt;"", IFERROR(SUMIF(ขายสินค้า!G:G,H769,ขายสินค้า!F:F)/(E769-I769),0),)</f>
        <v>0</v>
      </c>
      <c r="L769" s="12">
        <f t="shared" si="23"/>
        <v>0</v>
      </c>
      <c r="M769" s="13">
        <f t="shared" si="24"/>
        <v>0</v>
      </c>
    </row>
    <row r="770" spans="1:13">
      <c r="A770" s="14"/>
      <c r="B770" s="6"/>
      <c r="C770" s="7">
        <f>IFERROR(VLOOKUP(B770,ชื่อสินค้า!A:C,2,FALSE),)</f>
        <v>0</v>
      </c>
      <c r="D770" s="8" t="str">
        <f>IFERROR(VLOOKUP(B770,ชื่อสินค้า!A:D,4,FALSE),"")</f>
        <v/>
      </c>
      <c r="E770" s="9"/>
      <c r="F770" s="9"/>
      <c r="G770" s="8" t="str">
        <f t="shared" si="20"/>
        <v/>
      </c>
      <c r="H770" s="10">
        <f t="shared" si="21"/>
        <v>0</v>
      </c>
      <c r="I770" s="8">
        <f>IF(G770&lt;&gt;"",E770-SUMIFS(ขายสินค้า!E:E,ขายสินค้า!G:G,H770),)</f>
        <v>0</v>
      </c>
      <c r="J770" s="11">
        <f t="shared" si="22"/>
        <v>0</v>
      </c>
      <c r="K770" s="11">
        <f>IF(B770&lt;&gt;"", IFERROR(SUMIF(ขายสินค้า!G:G,H770,ขายสินค้า!F:F)/(E770-I770),0),)</f>
        <v>0</v>
      </c>
      <c r="L770" s="12">
        <f t="shared" si="23"/>
        <v>0</v>
      </c>
      <c r="M770" s="13">
        <f t="shared" si="24"/>
        <v>0</v>
      </c>
    </row>
    <row r="771" spans="1:13">
      <c r="A771" s="14"/>
      <c r="B771" s="6"/>
      <c r="C771" s="7">
        <f>IFERROR(VLOOKUP(B771,ชื่อสินค้า!A:C,2,FALSE),)</f>
        <v>0</v>
      </c>
      <c r="D771" s="8" t="str">
        <f>IFERROR(VLOOKUP(B771,ชื่อสินค้า!A:D,4,FALSE),"")</f>
        <v/>
      </c>
      <c r="E771" s="9"/>
      <c r="F771" s="9"/>
      <c r="G771" s="8" t="str">
        <f t="shared" si="20"/>
        <v/>
      </c>
      <c r="H771" s="10">
        <f t="shared" si="21"/>
        <v>0</v>
      </c>
      <c r="I771" s="8">
        <f>IF(G771&lt;&gt;"",E771-SUMIFS(ขายสินค้า!E:E,ขายสินค้า!G:G,H771),)</f>
        <v>0</v>
      </c>
      <c r="J771" s="11">
        <f t="shared" si="22"/>
        <v>0</v>
      </c>
      <c r="K771" s="11">
        <f>IF(B771&lt;&gt;"", IFERROR(SUMIF(ขายสินค้า!G:G,H771,ขายสินค้า!F:F)/(E771-I771),0),)</f>
        <v>0</v>
      </c>
      <c r="L771" s="12">
        <f t="shared" si="23"/>
        <v>0</v>
      </c>
      <c r="M771" s="13">
        <f t="shared" si="24"/>
        <v>0</v>
      </c>
    </row>
    <row r="772" spans="1:13">
      <c r="A772" s="14"/>
      <c r="B772" s="6"/>
      <c r="C772" s="7">
        <f>IFERROR(VLOOKUP(B772,ชื่อสินค้า!A:C,2,FALSE),)</f>
        <v>0</v>
      </c>
      <c r="D772" s="8" t="str">
        <f>IFERROR(VLOOKUP(B772,ชื่อสินค้า!A:D,4,FALSE),"")</f>
        <v/>
      </c>
      <c r="E772" s="9"/>
      <c r="F772" s="9"/>
      <c r="G772" s="8" t="str">
        <f t="shared" si="20"/>
        <v/>
      </c>
      <c r="H772" s="10">
        <f t="shared" si="21"/>
        <v>0</v>
      </c>
      <c r="I772" s="8">
        <f>IF(G772&lt;&gt;"",E772-SUMIFS(ขายสินค้า!E:E,ขายสินค้า!G:G,H772),)</f>
        <v>0</v>
      </c>
      <c r="J772" s="11">
        <f t="shared" si="22"/>
        <v>0</v>
      </c>
      <c r="K772" s="11">
        <f>IF(B772&lt;&gt;"", IFERROR(SUMIF(ขายสินค้า!G:G,H772,ขายสินค้า!F:F)/(E772-I772),0),)</f>
        <v>0</v>
      </c>
      <c r="L772" s="12">
        <f t="shared" si="23"/>
        <v>0</v>
      </c>
      <c r="M772" s="13">
        <f t="shared" si="24"/>
        <v>0</v>
      </c>
    </row>
    <row r="773" spans="1:13">
      <c r="A773" s="14"/>
      <c r="B773" s="6"/>
      <c r="C773" s="7">
        <f>IFERROR(VLOOKUP(B773,ชื่อสินค้า!A:C,2,FALSE),)</f>
        <v>0</v>
      </c>
      <c r="D773" s="8" t="str">
        <f>IFERROR(VLOOKUP(B773,ชื่อสินค้า!A:D,4,FALSE),"")</f>
        <v/>
      </c>
      <c r="E773" s="9"/>
      <c r="F773" s="9"/>
      <c r="G773" s="8" t="str">
        <f t="shared" si="20"/>
        <v/>
      </c>
      <c r="H773" s="10">
        <f t="shared" si="21"/>
        <v>0</v>
      </c>
      <c r="I773" s="8">
        <f>IF(G773&lt;&gt;"",E773-SUMIFS(ขายสินค้า!E:E,ขายสินค้า!G:G,H773),)</f>
        <v>0</v>
      </c>
      <c r="J773" s="11">
        <f t="shared" si="22"/>
        <v>0</v>
      </c>
      <c r="K773" s="11">
        <f>IF(B773&lt;&gt;"", IFERROR(SUMIF(ขายสินค้า!G:G,H773,ขายสินค้า!F:F)/(E773-I773),0),)</f>
        <v>0</v>
      </c>
      <c r="L773" s="12">
        <f t="shared" si="23"/>
        <v>0</v>
      </c>
      <c r="M773" s="13">
        <f t="shared" si="24"/>
        <v>0</v>
      </c>
    </row>
    <row r="774" spans="1:13">
      <c r="A774" s="14"/>
      <c r="B774" s="6"/>
      <c r="C774" s="7">
        <f>IFERROR(VLOOKUP(B774,ชื่อสินค้า!A:C,2,FALSE),)</f>
        <v>0</v>
      </c>
      <c r="D774" s="8" t="str">
        <f>IFERROR(VLOOKUP(B774,ชื่อสินค้า!A:D,4,FALSE),"")</f>
        <v/>
      </c>
      <c r="E774" s="9"/>
      <c r="F774" s="9"/>
      <c r="G774" s="8" t="str">
        <f t="shared" si="20"/>
        <v/>
      </c>
      <c r="H774" s="10">
        <f t="shared" si="21"/>
        <v>0</v>
      </c>
      <c r="I774" s="8">
        <f>IF(G774&lt;&gt;"",E774-SUMIFS(ขายสินค้า!E:E,ขายสินค้า!G:G,H774),)</f>
        <v>0</v>
      </c>
      <c r="J774" s="11">
        <f t="shared" si="22"/>
        <v>0</v>
      </c>
      <c r="K774" s="11">
        <f>IF(B774&lt;&gt;"", IFERROR(SUMIF(ขายสินค้า!G:G,H774,ขายสินค้า!F:F)/(E774-I774),0),)</f>
        <v>0</v>
      </c>
      <c r="L774" s="12">
        <f t="shared" si="23"/>
        <v>0</v>
      </c>
      <c r="M774" s="13">
        <f t="shared" si="24"/>
        <v>0</v>
      </c>
    </row>
    <row r="775" spans="1:13">
      <c r="A775" s="14"/>
      <c r="B775" s="6"/>
      <c r="C775" s="7">
        <f>IFERROR(VLOOKUP(B775,ชื่อสินค้า!A:C,2,FALSE),)</f>
        <v>0</v>
      </c>
      <c r="D775" s="8" t="str">
        <f>IFERROR(VLOOKUP(B775,ชื่อสินค้า!A:D,4,FALSE),"")</f>
        <v/>
      </c>
      <c r="E775" s="9"/>
      <c r="F775" s="9"/>
      <c r="G775" s="8" t="str">
        <f t="shared" si="20"/>
        <v/>
      </c>
      <c r="H775" s="10">
        <f t="shared" si="21"/>
        <v>0</v>
      </c>
      <c r="I775" s="8">
        <f>IF(G775&lt;&gt;"",E775-SUMIFS(ขายสินค้า!E:E,ขายสินค้า!G:G,H775),)</f>
        <v>0</v>
      </c>
      <c r="J775" s="11">
        <f t="shared" si="22"/>
        <v>0</v>
      </c>
      <c r="K775" s="11">
        <f>IF(B775&lt;&gt;"", IFERROR(SUMIF(ขายสินค้า!G:G,H775,ขายสินค้า!F:F)/(E775-I775),0),)</f>
        <v>0</v>
      </c>
      <c r="L775" s="12">
        <f t="shared" si="23"/>
        <v>0</v>
      </c>
      <c r="M775" s="13">
        <f t="shared" si="24"/>
        <v>0</v>
      </c>
    </row>
    <row r="776" spans="1:13">
      <c r="A776" s="14"/>
      <c r="B776" s="6"/>
      <c r="C776" s="7">
        <f>IFERROR(VLOOKUP(B776,ชื่อสินค้า!A:C,2,FALSE),)</f>
        <v>0</v>
      </c>
      <c r="D776" s="8" t="str">
        <f>IFERROR(VLOOKUP(B776,ชื่อสินค้า!A:D,4,FALSE),"")</f>
        <v/>
      </c>
      <c r="E776" s="9"/>
      <c r="F776" s="9"/>
      <c r="G776" s="8" t="str">
        <f t="shared" si="20"/>
        <v/>
      </c>
      <c r="H776" s="10">
        <f t="shared" si="21"/>
        <v>0</v>
      </c>
      <c r="I776" s="8">
        <f>IF(G776&lt;&gt;"",E776-SUMIFS(ขายสินค้า!E:E,ขายสินค้า!G:G,H776),)</f>
        <v>0</v>
      </c>
      <c r="J776" s="11">
        <f t="shared" si="22"/>
        <v>0</v>
      </c>
      <c r="K776" s="11">
        <f>IF(B776&lt;&gt;"", IFERROR(SUMIF(ขายสินค้า!G:G,H776,ขายสินค้า!F:F)/(E776-I776),0),)</f>
        <v>0</v>
      </c>
      <c r="L776" s="12">
        <f t="shared" si="23"/>
        <v>0</v>
      </c>
      <c r="M776" s="13">
        <f t="shared" si="24"/>
        <v>0</v>
      </c>
    </row>
    <row r="777" spans="1:13">
      <c r="A777" s="14"/>
      <c r="B777" s="6"/>
      <c r="C777" s="7">
        <f>IFERROR(VLOOKUP(B777,ชื่อสินค้า!A:C,2,FALSE),)</f>
        <v>0</v>
      </c>
      <c r="D777" s="8" t="str">
        <f>IFERROR(VLOOKUP(B777,ชื่อสินค้า!A:D,4,FALSE),"")</f>
        <v/>
      </c>
      <c r="E777" s="9"/>
      <c r="F777" s="9"/>
      <c r="G777" s="8" t="str">
        <f t="shared" si="20"/>
        <v/>
      </c>
      <c r="H777" s="10">
        <f t="shared" si="21"/>
        <v>0</v>
      </c>
      <c r="I777" s="8">
        <f>IF(G777&lt;&gt;"",E777-SUMIFS(ขายสินค้า!E:E,ขายสินค้า!G:G,H777),)</f>
        <v>0</v>
      </c>
      <c r="J777" s="11">
        <f t="shared" si="22"/>
        <v>0</v>
      </c>
      <c r="K777" s="11">
        <f>IF(B777&lt;&gt;"", IFERROR(SUMIF(ขายสินค้า!G:G,H777,ขายสินค้า!F:F)/(E777-I777),0),)</f>
        <v>0</v>
      </c>
      <c r="L777" s="12">
        <f t="shared" si="23"/>
        <v>0</v>
      </c>
      <c r="M777" s="13">
        <f t="shared" si="24"/>
        <v>0</v>
      </c>
    </row>
    <row r="778" spans="1:13">
      <c r="A778" s="14"/>
      <c r="B778" s="6"/>
      <c r="C778" s="7">
        <f>IFERROR(VLOOKUP(B778,ชื่อสินค้า!A:C,2,FALSE),)</f>
        <v>0</v>
      </c>
      <c r="D778" s="8" t="str">
        <f>IFERROR(VLOOKUP(B778,ชื่อสินค้า!A:D,4,FALSE),"")</f>
        <v/>
      </c>
      <c r="E778" s="9"/>
      <c r="F778" s="9"/>
      <c r="G778" s="8" t="str">
        <f t="shared" si="20"/>
        <v/>
      </c>
      <c r="H778" s="10">
        <f t="shared" si="21"/>
        <v>0</v>
      </c>
      <c r="I778" s="8">
        <f>IF(G778&lt;&gt;"",E778-SUMIFS(ขายสินค้า!E:E,ขายสินค้า!G:G,H778),)</f>
        <v>0</v>
      </c>
      <c r="J778" s="11">
        <f t="shared" si="22"/>
        <v>0</v>
      </c>
      <c r="K778" s="11">
        <f>IF(B778&lt;&gt;"", IFERROR(SUMIF(ขายสินค้า!G:G,H778,ขายสินค้า!F:F)/(E778-I778),0),)</f>
        <v>0</v>
      </c>
      <c r="L778" s="12">
        <f t="shared" si="23"/>
        <v>0</v>
      </c>
      <c r="M778" s="13">
        <f t="shared" si="24"/>
        <v>0</v>
      </c>
    </row>
    <row r="779" spans="1:13">
      <c r="A779" s="14"/>
      <c r="B779" s="6"/>
      <c r="C779" s="7">
        <f>IFERROR(VLOOKUP(B779,ชื่อสินค้า!A:C,2,FALSE),)</f>
        <v>0</v>
      </c>
      <c r="D779" s="8" t="str">
        <f>IFERROR(VLOOKUP(B779,ชื่อสินค้า!A:D,4,FALSE),"")</f>
        <v/>
      </c>
      <c r="E779" s="9"/>
      <c r="F779" s="9"/>
      <c r="G779" s="8" t="str">
        <f t="shared" si="20"/>
        <v/>
      </c>
      <c r="H779" s="10">
        <f t="shared" si="21"/>
        <v>0</v>
      </c>
      <c r="I779" s="8">
        <f>IF(G779&lt;&gt;"",E779-SUMIFS(ขายสินค้า!E:E,ขายสินค้า!G:G,H779),)</f>
        <v>0</v>
      </c>
      <c r="J779" s="11">
        <f t="shared" si="22"/>
        <v>0</v>
      </c>
      <c r="K779" s="11">
        <f>IF(B779&lt;&gt;"", IFERROR(SUMIF(ขายสินค้า!G:G,H779,ขายสินค้า!F:F)/(E779-I779),0),)</f>
        <v>0</v>
      </c>
      <c r="L779" s="12">
        <f t="shared" si="23"/>
        <v>0</v>
      </c>
      <c r="M779" s="13">
        <f t="shared" si="24"/>
        <v>0</v>
      </c>
    </row>
    <row r="780" spans="1:13">
      <c r="A780" s="14"/>
      <c r="B780" s="6"/>
      <c r="C780" s="7">
        <f>IFERROR(VLOOKUP(B780,ชื่อสินค้า!A:C,2,FALSE),)</f>
        <v>0</v>
      </c>
      <c r="D780" s="8" t="str">
        <f>IFERROR(VLOOKUP(B780,ชื่อสินค้า!A:D,4,FALSE),"")</f>
        <v/>
      </c>
      <c r="E780" s="9"/>
      <c r="F780" s="9"/>
      <c r="G780" s="8" t="str">
        <f t="shared" si="20"/>
        <v/>
      </c>
      <c r="H780" s="10">
        <f t="shared" si="21"/>
        <v>0</v>
      </c>
      <c r="I780" s="8">
        <f>IF(G780&lt;&gt;"",E780-SUMIFS(ขายสินค้า!E:E,ขายสินค้า!G:G,H780),)</f>
        <v>0</v>
      </c>
      <c r="J780" s="11">
        <f t="shared" si="22"/>
        <v>0</v>
      </c>
      <c r="K780" s="11">
        <f>IF(B780&lt;&gt;"", IFERROR(SUMIF(ขายสินค้า!G:G,H780,ขายสินค้า!F:F)/(E780-I780),0),)</f>
        <v>0</v>
      </c>
      <c r="L780" s="12">
        <f t="shared" si="23"/>
        <v>0</v>
      </c>
      <c r="M780" s="13">
        <f t="shared" si="24"/>
        <v>0</v>
      </c>
    </row>
    <row r="781" spans="1:13">
      <c r="A781" s="14"/>
      <c r="B781" s="6"/>
      <c r="C781" s="7">
        <f>IFERROR(VLOOKUP(B781,ชื่อสินค้า!A:C,2,FALSE),)</f>
        <v>0</v>
      </c>
      <c r="D781" s="8" t="str">
        <f>IFERROR(VLOOKUP(B781,ชื่อสินค้า!A:D,4,FALSE),"")</f>
        <v/>
      </c>
      <c r="E781" s="9"/>
      <c r="F781" s="9"/>
      <c r="G781" s="8" t="str">
        <f t="shared" si="20"/>
        <v/>
      </c>
      <c r="H781" s="10">
        <f t="shared" si="21"/>
        <v>0</v>
      </c>
      <c r="I781" s="8">
        <f>IF(G781&lt;&gt;"",E781-SUMIFS(ขายสินค้า!E:E,ขายสินค้า!G:G,H781),)</f>
        <v>0</v>
      </c>
      <c r="J781" s="11">
        <f t="shared" si="22"/>
        <v>0</v>
      </c>
      <c r="K781" s="11">
        <f>IF(B781&lt;&gt;"", IFERROR(SUMIF(ขายสินค้า!G:G,H781,ขายสินค้า!F:F)/(E781-I781),0),)</f>
        <v>0</v>
      </c>
      <c r="L781" s="12">
        <f t="shared" si="23"/>
        <v>0</v>
      </c>
      <c r="M781" s="13">
        <f t="shared" si="24"/>
        <v>0</v>
      </c>
    </row>
    <row r="782" spans="1:13">
      <c r="A782" s="14"/>
      <c r="B782" s="6"/>
      <c r="C782" s="7">
        <f>IFERROR(VLOOKUP(B782,ชื่อสินค้า!A:C,2,FALSE),)</f>
        <v>0</v>
      </c>
      <c r="D782" s="8" t="str">
        <f>IFERROR(VLOOKUP(B782,ชื่อสินค้า!A:D,4,FALSE),"")</f>
        <v/>
      </c>
      <c r="E782" s="9"/>
      <c r="F782" s="9"/>
      <c r="G782" s="8" t="str">
        <f t="shared" si="20"/>
        <v/>
      </c>
      <c r="H782" s="10">
        <f t="shared" si="21"/>
        <v>0</v>
      </c>
      <c r="I782" s="8">
        <f>IF(G782&lt;&gt;"",E782-SUMIFS(ขายสินค้า!E:E,ขายสินค้า!G:G,H782),)</f>
        <v>0</v>
      </c>
      <c r="J782" s="11">
        <f t="shared" si="22"/>
        <v>0</v>
      </c>
      <c r="K782" s="11">
        <f>IF(B782&lt;&gt;"", IFERROR(SUMIF(ขายสินค้า!G:G,H782,ขายสินค้า!F:F)/(E782-I782),0),)</f>
        <v>0</v>
      </c>
      <c r="L782" s="12">
        <f t="shared" si="23"/>
        <v>0</v>
      </c>
      <c r="M782" s="13">
        <f t="shared" si="24"/>
        <v>0</v>
      </c>
    </row>
    <row r="783" spans="1:13">
      <c r="A783" s="14"/>
      <c r="B783" s="6"/>
      <c r="C783" s="7">
        <f>IFERROR(VLOOKUP(B783,ชื่อสินค้า!A:C,2,FALSE),)</f>
        <v>0</v>
      </c>
      <c r="D783" s="8" t="str">
        <f>IFERROR(VLOOKUP(B783,ชื่อสินค้า!A:D,4,FALSE),"")</f>
        <v/>
      </c>
      <c r="E783" s="9"/>
      <c r="F783" s="9"/>
      <c r="G783" s="8" t="str">
        <f t="shared" si="20"/>
        <v/>
      </c>
      <c r="H783" s="10">
        <f t="shared" si="21"/>
        <v>0</v>
      </c>
      <c r="I783" s="8">
        <f>IF(G783&lt;&gt;"",E783-SUMIFS(ขายสินค้า!E:E,ขายสินค้า!G:G,H783),)</f>
        <v>0</v>
      </c>
      <c r="J783" s="11">
        <f t="shared" si="22"/>
        <v>0</v>
      </c>
      <c r="K783" s="11">
        <f>IF(B783&lt;&gt;"", IFERROR(SUMIF(ขายสินค้า!G:G,H783,ขายสินค้า!F:F)/(E783-I783),0),)</f>
        <v>0</v>
      </c>
      <c r="L783" s="12">
        <f t="shared" si="23"/>
        <v>0</v>
      </c>
      <c r="M783" s="13">
        <f t="shared" si="24"/>
        <v>0</v>
      </c>
    </row>
    <row r="784" spans="1:13">
      <c r="A784" s="14"/>
      <c r="B784" s="6"/>
      <c r="C784" s="7">
        <f>IFERROR(VLOOKUP(B784,ชื่อสินค้า!A:C,2,FALSE),)</f>
        <v>0</v>
      </c>
      <c r="D784" s="8" t="str">
        <f>IFERROR(VLOOKUP(B784,ชื่อสินค้า!A:D,4,FALSE),"")</f>
        <v/>
      </c>
      <c r="E784" s="9"/>
      <c r="F784" s="9"/>
      <c r="G784" s="8" t="str">
        <f t="shared" si="20"/>
        <v/>
      </c>
      <c r="H784" s="10">
        <f t="shared" si="21"/>
        <v>0</v>
      </c>
      <c r="I784" s="8">
        <f>IF(G784&lt;&gt;"",E784-SUMIFS(ขายสินค้า!E:E,ขายสินค้า!G:G,H784),)</f>
        <v>0</v>
      </c>
      <c r="J784" s="11">
        <f t="shared" si="22"/>
        <v>0</v>
      </c>
      <c r="K784" s="11">
        <f>IF(B784&lt;&gt;"", IFERROR(SUMIF(ขายสินค้า!G:G,H784,ขายสินค้า!F:F)/(E784-I784),0),)</f>
        <v>0</v>
      </c>
      <c r="L784" s="12">
        <f t="shared" si="23"/>
        <v>0</v>
      </c>
      <c r="M784" s="13">
        <f t="shared" si="24"/>
        <v>0</v>
      </c>
    </row>
    <row r="785" spans="1:13">
      <c r="A785" s="14"/>
      <c r="B785" s="6"/>
      <c r="C785" s="7">
        <f>IFERROR(VLOOKUP(B785,ชื่อสินค้า!A:C,2,FALSE),)</f>
        <v>0</v>
      </c>
      <c r="D785" s="8" t="str">
        <f>IFERROR(VLOOKUP(B785,ชื่อสินค้า!A:D,4,FALSE),"")</f>
        <v/>
      </c>
      <c r="E785" s="9"/>
      <c r="F785" s="9"/>
      <c r="G785" s="8" t="str">
        <f t="shared" si="20"/>
        <v/>
      </c>
      <c r="H785" s="10">
        <f t="shared" si="21"/>
        <v>0</v>
      </c>
      <c r="I785" s="8">
        <f>IF(G785&lt;&gt;"",E785-SUMIFS(ขายสินค้า!E:E,ขายสินค้า!G:G,H785),)</f>
        <v>0</v>
      </c>
      <c r="J785" s="11">
        <f t="shared" si="22"/>
        <v>0</v>
      </c>
      <c r="K785" s="11">
        <f>IF(B785&lt;&gt;"", IFERROR(SUMIF(ขายสินค้า!G:G,H785,ขายสินค้า!F:F)/(E785-I785),0),)</f>
        <v>0</v>
      </c>
      <c r="L785" s="12">
        <f t="shared" si="23"/>
        <v>0</v>
      </c>
      <c r="M785" s="13">
        <f t="shared" si="24"/>
        <v>0</v>
      </c>
    </row>
    <row r="786" spans="1:13">
      <c r="A786" s="14"/>
      <c r="B786" s="6"/>
      <c r="C786" s="7">
        <f>IFERROR(VLOOKUP(B786,ชื่อสินค้า!A:C,2,FALSE),)</f>
        <v>0</v>
      </c>
      <c r="D786" s="8" t="str">
        <f>IFERROR(VLOOKUP(B786,ชื่อสินค้า!A:D,4,FALSE),"")</f>
        <v/>
      </c>
      <c r="E786" s="9"/>
      <c r="F786" s="9"/>
      <c r="G786" s="8" t="str">
        <f t="shared" si="20"/>
        <v/>
      </c>
      <c r="H786" s="10">
        <f t="shared" si="21"/>
        <v>0</v>
      </c>
      <c r="I786" s="8">
        <f>IF(G786&lt;&gt;"",E786-SUMIFS(ขายสินค้า!E:E,ขายสินค้า!G:G,H786),)</f>
        <v>0</v>
      </c>
      <c r="J786" s="11">
        <f t="shared" si="22"/>
        <v>0</v>
      </c>
      <c r="K786" s="11">
        <f>IF(B786&lt;&gt;"", IFERROR(SUMIF(ขายสินค้า!G:G,H786,ขายสินค้า!F:F)/(E786-I786),0),)</f>
        <v>0</v>
      </c>
      <c r="L786" s="12">
        <f t="shared" si="23"/>
        <v>0</v>
      </c>
      <c r="M786" s="13">
        <f t="shared" si="24"/>
        <v>0</v>
      </c>
    </row>
    <row r="787" spans="1:13">
      <c r="A787" s="14"/>
      <c r="B787" s="6"/>
      <c r="C787" s="7">
        <f>IFERROR(VLOOKUP(B787,ชื่อสินค้า!A:C,2,FALSE),)</f>
        <v>0</v>
      </c>
      <c r="D787" s="8" t="str">
        <f>IFERROR(VLOOKUP(B787,ชื่อสินค้า!A:D,4,FALSE),"")</f>
        <v/>
      </c>
      <c r="E787" s="9"/>
      <c r="F787" s="9"/>
      <c r="G787" s="8" t="str">
        <f t="shared" si="20"/>
        <v/>
      </c>
      <c r="H787" s="10">
        <f t="shared" si="21"/>
        <v>0</v>
      </c>
      <c r="I787" s="8">
        <f>IF(G787&lt;&gt;"",E787-SUMIFS(ขายสินค้า!E:E,ขายสินค้า!G:G,H787),)</f>
        <v>0</v>
      </c>
      <c r="J787" s="11">
        <f t="shared" si="22"/>
        <v>0</v>
      </c>
      <c r="K787" s="11">
        <f>IF(B787&lt;&gt;"", IFERROR(SUMIF(ขายสินค้า!G:G,H787,ขายสินค้า!F:F)/(E787-I787),0),)</f>
        <v>0</v>
      </c>
      <c r="L787" s="12">
        <f t="shared" si="23"/>
        <v>0</v>
      </c>
      <c r="M787" s="13">
        <f t="shared" si="24"/>
        <v>0</v>
      </c>
    </row>
    <row r="788" spans="1:13">
      <c r="A788" s="14"/>
      <c r="B788" s="6"/>
      <c r="C788" s="7">
        <f>IFERROR(VLOOKUP(B788,ชื่อสินค้า!A:C,2,FALSE),)</f>
        <v>0</v>
      </c>
      <c r="D788" s="8" t="str">
        <f>IFERROR(VLOOKUP(B788,ชื่อสินค้า!A:D,4,FALSE),"")</f>
        <v/>
      </c>
      <c r="E788" s="9"/>
      <c r="F788" s="9"/>
      <c r="G788" s="8" t="str">
        <f t="shared" si="20"/>
        <v/>
      </c>
      <c r="H788" s="10">
        <f t="shared" si="21"/>
        <v>0</v>
      </c>
      <c r="I788" s="8">
        <f>IF(G788&lt;&gt;"",E788-SUMIFS(ขายสินค้า!E:E,ขายสินค้า!G:G,H788),)</f>
        <v>0</v>
      </c>
      <c r="J788" s="11">
        <f t="shared" si="22"/>
        <v>0</v>
      </c>
      <c r="K788" s="11">
        <f>IF(B788&lt;&gt;"", IFERROR(SUMIF(ขายสินค้า!G:G,H788,ขายสินค้า!F:F)/(E788-I788),0),)</f>
        <v>0</v>
      </c>
      <c r="L788" s="12">
        <f t="shared" si="23"/>
        <v>0</v>
      </c>
      <c r="M788" s="13">
        <f t="shared" si="24"/>
        <v>0</v>
      </c>
    </row>
    <row r="789" spans="1:13">
      <c r="A789" s="14"/>
      <c r="B789" s="6"/>
      <c r="C789" s="7">
        <f>IFERROR(VLOOKUP(B789,ชื่อสินค้า!A:C,2,FALSE),)</f>
        <v>0</v>
      </c>
      <c r="D789" s="8" t="str">
        <f>IFERROR(VLOOKUP(B789,ชื่อสินค้า!A:D,4,FALSE),"")</f>
        <v/>
      </c>
      <c r="E789" s="9"/>
      <c r="F789" s="9"/>
      <c r="G789" s="8" t="str">
        <f t="shared" si="20"/>
        <v/>
      </c>
      <c r="H789" s="10">
        <f t="shared" si="21"/>
        <v>0</v>
      </c>
      <c r="I789" s="8">
        <f>IF(G789&lt;&gt;"",E789-SUMIFS(ขายสินค้า!E:E,ขายสินค้า!G:G,H789),)</f>
        <v>0</v>
      </c>
      <c r="J789" s="11">
        <f t="shared" si="22"/>
        <v>0</v>
      </c>
      <c r="K789" s="11">
        <f>IF(B789&lt;&gt;"", IFERROR(SUMIF(ขายสินค้า!G:G,H789,ขายสินค้า!F:F)/(E789-I789),0),)</f>
        <v>0</v>
      </c>
      <c r="L789" s="12">
        <f t="shared" si="23"/>
        <v>0</v>
      </c>
      <c r="M789" s="13">
        <f t="shared" si="24"/>
        <v>0</v>
      </c>
    </row>
    <row r="790" spans="1:13">
      <c r="A790" s="14"/>
      <c r="B790" s="6"/>
      <c r="C790" s="7">
        <f>IFERROR(VLOOKUP(B790,ชื่อสินค้า!A:C,2,FALSE),)</f>
        <v>0</v>
      </c>
      <c r="D790" s="8" t="str">
        <f>IFERROR(VLOOKUP(B790,ชื่อสินค้า!A:D,4,FALSE),"")</f>
        <v/>
      </c>
      <c r="E790" s="9"/>
      <c r="F790" s="9"/>
      <c r="G790" s="8" t="str">
        <f t="shared" si="20"/>
        <v/>
      </c>
      <c r="H790" s="10">
        <f t="shared" si="21"/>
        <v>0</v>
      </c>
      <c r="I790" s="8">
        <f>IF(G790&lt;&gt;"",E790-SUMIFS(ขายสินค้า!E:E,ขายสินค้า!G:G,H790),)</f>
        <v>0</v>
      </c>
      <c r="J790" s="11">
        <f t="shared" si="22"/>
        <v>0</v>
      </c>
      <c r="K790" s="11">
        <f>IF(B790&lt;&gt;"", IFERROR(SUMIF(ขายสินค้า!G:G,H790,ขายสินค้า!F:F)/(E790-I790),0),)</f>
        <v>0</v>
      </c>
      <c r="L790" s="12">
        <f t="shared" si="23"/>
        <v>0</v>
      </c>
      <c r="M790" s="13">
        <f t="shared" si="24"/>
        <v>0</v>
      </c>
    </row>
    <row r="791" spans="1:13">
      <c r="A791" s="14"/>
      <c r="B791" s="6"/>
      <c r="C791" s="7">
        <f>IFERROR(VLOOKUP(B791,ชื่อสินค้า!A:C,2,FALSE),)</f>
        <v>0</v>
      </c>
      <c r="D791" s="8" t="str">
        <f>IFERROR(VLOOKUP(B791,ชื่อสินค้า!A:D,4,FALSE),"")</f>
        <v/>
      </c>
      <c r="E791" s="9"/>
      <c r="F791" s="9"/>
      <c r="G791" s="8" t="str">
        <f t="shared" si="20"/>
        <v/>
      </c>
      <c r="H791" s="10">
        <f t="shared" si="21"/>
        <v>0</v>
      </c>
      <c r="I791" s="8">
        <f>IF(G791&lt;&gt;"",E791-SUMIFS(ขายสินค้า!E:E,ขายสินค้า!G:G,H791),)</f>
        <v>0</v>
      </c>
      <c r="J791" s="11">
        <f t="shared" si="22"/>
        <v>0</v>
      </c>
      <c r="K791" s="11">
        <f>IF(B791&lt;&gt;"", IFERROR(SUMIF(ขายสินค้า!G:G,H791,ขายสินค้า!F:F)/(E791-I791),0),)</f>
        <v>0</v>
      </c>
      <c r="L791" s="12">
        <f t="shared" si="23"/>
        <v>0</v>
      </c>
      <c r="M791" s="13">
        <f t="shared" si="24"/>
        <v>0</v>
      </c>
    </row>
    <row r="792" spans="1:13">
      <c r="A792" s="14"/>
      <c r="B792" s="6"/>
      <c r="C792" s="7">
        <f>IFERROR(VLOOKUP(B792,ชื่อสินค้า!A:C,2,FALSE),)</f>
        <v>0</v>
      </c>
      <c r="D792" s="8" t="str">
        <f>IFERROR(VLOOKUP(B792,ชื่อสินค้า!A:D,4,FALSE),"")</f>
        <v/>
      </c>
      <c r="E792" s="9"/>
      <c r="F792" s="9"/>
      <c r="G792" s="8" t="str">
        <f t="shared" si="20"/>
        <v/>
      </c>
      <c r="H792" s="10">
        <f t="shared" si="21"/>
        <v>0</v>
      </c>
      <c r="I792" s="8">
        <f>IF(G792&lt;&gt;"",E792-SUMIFS(ขายสินค้า!E:E,ขายสินค้า!G:G,H792),)</f>
        <v>0</v>
      </c>
      <c r="J792" s="11">
        <f t="shared" si="22"/>
        <v>0</v>
      </c>
      <c r="K792" s="11">
        <f>IF(B792&lt;&gt;"", IFERROR(SUMIF(ขายสินค้า!G:G,H792,ขายสินค้า!F:F)/(E792-I792),0),)</f>
        <v>0</v>
      </c>
      <c r="L792" s="12">
        <f t="shared" si="23"/>
        <v>0</v>
      </c>
      <c r="M792" s="13">
        <f t="shared" si="24"/>
        <v>0</v>
      </c>
    </row>
    <row r="793" spans="1:13">
      <c r="A793" s="14"/>
      <c r="B793" s="6"/>
      <c r="C793" s="7">
        <f>IFERROR(VLOOKUP(B793,ชื่อสินค้า!A:C,2,FALSE),)</f>
        <v>0</v>
      </c>
      <c r="D793" s="8" t="str">
        <f>IFERROR(VLOOKUP(B793,ชื่อสินค้า!A:D,4,FALSE),"")</f>
        <v/>
      </c>
      <c r="E793" s="9"/>
      <c r="F793" s="9"/>
      <c r="G793" s="8" t="str">
        <f t="shared" si="20"/>
        <v/>
      </c>
      <c r="H793" s="10">
        <f t="shared" si="21"/>
        <v>0</v>
      </c>
      <c r="I793" s="8">
        <f>IF(G793&lt;&gt;"",E793-SUMIFS(ขายสินค้า!E:E,ขายสินค้า!G:G,H793),)</f>
        <v>0</v>
      </c>
      <c r="J793" s="11">
        <f t="shared" si="22"/>
        <v>0</v>
      </c>
      <c r="K793" s="11">
        <f>IF(B793&lt;&gt;"", IFERROR(SUMIF(ขายสินค้า!G:G,H793,ขายสินค้า!F:F)/(E793-I793),0),)</f>
        <v>0</v>
      </c>
      <c r="L793" s="12">
        <f t="shared" si="23"/>
        <v>0</v>
      </c>
      <c r="M793" s="13">
        <f t="shared" si="24"/>
        <v>0</v>
      </c>
    </row>
    <row r="794" spans="1:13">
      <c r="A794" s="14"/>
      <c r="B794" s="6"/>
      <c r="C794" s="7">
        <f>IFERROR(VLOOKUP(B794,ชื่อสินค้า!A:C,2,FALSE),)</f>
        <v>0</v>
      </c>
      <c r="D794" s="8" t="str">
        <f>IFERROR(VLOOKUP(B794,ชื่อสินค้า!A:D,4,FALSE),"")</f>
        <v/>
      </c>
      <c r="E794" s="9"/>
      <c r="F794" s="9"/>
      <c r="G794" s="8" t="str">
        <f t="shared" si="20"/>
        <v/>
      </c>
      <c r="H794" s="10">
        <f t="shared" si="21"/>
        <v>0</v>
      </c>
      <c r="I794" s="8">
        <f>IF(G794&lt;&gt;"",E794-SUMIFS(ขายสินค้า!E:E,ขายสินค้า!G:G,H794),)</f>
        <v>0</v>
      </c>
      <c r="J794" s="11">
        <f t="shared" si="22"/>
        <v>0</v>
      </c>
      <c r="K794" s="11">
        <f>IF(B794&lt;&gt;"", IFERROR(SUMIF(ขายสินค้า!G:G,H794,ขายสินค้า!F:F)/(E794-I794),0),)</f>
        <v>0</v>
      </c>
      <c r="L794" s="12">
        <f t="shared" si="23"/>
        <v>0</v>
      </c>
      <c r="M794" s="13">
        <f t="shared" si="24"/>
        <v>0</v>
      </c>
    </row>
    <row r="795" spans="1:13">
      <c r="A795" s="14"/>
      <c r="B795" s="6"/>
      <c r="C795" s="7">
        <f>IFERROR(VLOOKUP(B795,ชื่อสินค้า!A:C,2,FALSE),)</f>
        <v>0</v>
      </c>
      <c r="D795" s="8" t="str">
        <f>IFERROR(VLOOKUP(B795,ชื่อสินค้า!A:D,4,FALSE),"")</f>
        <v/>
      </c>
      <c r="E795" s="9"/>
      <c r="F795" s="9"/>
      <c r="G795" s="8" t="str">
        <f t="shared" si="20"/>
        <v/>
      </c>
      <c r="H795" s="10">
        <f t="shared" si="21"/>
        <v>0</v>
      </c>
      <c r="I795" s="8">
        <f>IF(G795&lt;&gt;"",E795-SUMIFS(ขายสินค้า!E:E,ขายสินค้า!G:G,H795),)</f>
        <v>0</v>
      </c>
      <c r="J795" s="11">
        <f t="shared" si="22"/>
        <v>0</v>
      </c>
      <c r="K795" s="11">
        <f>IF(B795&lt;&gt;"", IFERROR(SUMIF(ขายสินค้า!G:G,H795,ขายสินค้า!F:F)/(E795-I795),0),)</f>
        <v>0</v>
      </c>
      <c r="L795" s="12">
        <f t="shared" si="23"/>
        <v>0</v>
      </c>
      <c r="M795" s="13">
        <f t="shared" si="24"/>
        <v>0</v>
      </c>
    </row>
    <row r="796" spans="1:13">
      <c r="A796" s="14"/>
      <c r="B796" s="6"/>
      <c r="C796" s="7">
        <f>IFERROR(VLOOKUP(B796,ชื่อสินค้า!A:C,2,FALSE),)</f>
        <v>0</v>
      </c>
      <c r="D796" s="8" t="str">
        <f>IFERROR(VLOOKUP(B796,ชื่อสินค้า!A:D,4,FALSE),"")</f>
        <v/>
      </c>
      <c r="E796" s="9"/>
      <c r="F796" s="9"/>
      <c r="G796" s="8" t="str">
        <f t="shared" si="20"/>
        <v/>
      </c>
      <c r="H796" s="10">
        <f t="shared" si="21"/>
        <v>0</v>
      </c>
      <c r="I796" s="8">
        <f>IF(G796&lt;&gt;"",E796-SUMIFS(ขายสินค้า!E:E,ขายสินค้า!G:G,H796),)</f>
        <v>0</v>
      </c>
      <c r="J796" s="11">
        <f t="shared" si="22"/>
        <v>0</v>
      </c>
      <c r="K796" s="11">
        <f>IF(B796&lt;&gt;"", IFERROR(SUMIF(ขายสินค้า!G:G,H796,ขายสินค้า!F:F)/(E796-I796),0),)</f>
        <v>0</v>
      </c>
      <c r="L796" s="12">
        <f t="shared" si="23"/>
        <v>0</v>
      </c>
      <c r="M796" s="13">
        <f t="shared" si="24"/>
        <v>0</v>
      </c>
    </row>
    <row r="797" spans="1:13">
      <c r="A797" s="14"/>
      <c r="B797" s="6"/>
      <c r="C797" s="7">
        <f>IFERROR(VLOOKUP(B797,ชื่อสินค้า!A:C,2,FALSE),)</f>
        <v>0</v>
      </c>
      <c r="D797" s="8" t="str">
        <f>IFERROR(VLOOKUP(B797,ชื่อสินค้า!A:D,4,FALSE),"")</f>
        <v/>
      </c>
      <c r="E797" s="9"/>
      <c r="F797" s="9"/>
      <c r="G797" s="8" t="str">
        <f t="shared" si="20"/>
        <v/>
      </c>
      <c r="H797" s="10">
        <f t="shared" si="21"/>
        <v>0</v>
      </c>
      <c r="I797" s="8">
        <f>IF(G797&lt;&gt;"",E797-SUMIFS(ขายสินค้า!E:E,ขายสินค้า!G:G,H797),)</f>
        <v>0</v>
      </c>
      <c r="J797" s="11">
        <f t="shared" si="22"/>
        <v>0</v>
      </c>
      <c r="K797" s="11">
        <f>IF(B797&lt;&gt;"", IFERROR(SUMIF(ขายสินค้า!G:G,H797,ขายสินค้า!F:F)/(E797-I797),0),)</f>
        <v>0</v>
      </c>
      <c r="L797" s="12">
        <f t="shared" si="23"/>
        <v>0</v>
      </c>
      <c r="M797" s="13">
        <f t="shared" si="24"/>
        <v>0</v>
      </c>
    </row>
    <row r="798" spans="1:13">
      <c r="A798" s="14"/>
      <c r="B798" s="6"/>
      <c r="C798" s="7">
        <f>IFERROR(VLOOKUP(B798,ชื่อสินค้า!A:C,2,FALSE),)</f>
        <v>0</v>
      </c>
      <c r="D798" s="8" t="str">
        <f>IFERROR(VLOOKUP(B798,ชื่อสินค้า!A:D,4,FALSE),"")</f>
        <v/>
      </c>
      <c r="E798" s="9"/>
      <c r="F798" s="9"/>
      <c r="G798" s="8" t="str">
        <f t="shared" si="20"/>
        <v/>
      </c>
      <c r="H798" s="10">
        <f t="shared" si="21"/>
        <v>0</v>
      </c>
      <c r="I798" s="8">
        <f>IF(G798&lt;&gt;"",E798-SUMIFS(ขายสินค้า!E:E,ขายสินค้า!G:G,H798),)</f>
        <v>0</v>
      </c>
      <c r="J798" s="11">
        <f t="shared" si="22"/>
        <v>0</v>
      </c>
      <c r="K798" s="11">
        <f>IF(B798&lt;&gt;"", IFERROR(SUMIF(ขายสินค้า!G:G,H798,ขายสินค้า!F:F)/(E798-I798),0),)</f>
        <v>0</v>
      </c>
      <c r="L798" s="12">
        <f t="shared" si="23"/>
        <v>0</v>
      </c>
      <c r="M798" s="13">
        <f t="shared" si="24"/>
        <v>0</v>
      </c>
    </row>
    <row r="799" spans="1:13">
      <c r="A799" s="14"/>
      <c r="B799" s="6"/>
      <c r="C799" s="7">
        <f>IFERROR(VLOOKUP(B799,ชื่อสินค้า!A:C,2,FALSE),)</f>
        <v>0</v>
      </c>
      <c r="D799" s="8" t="str">
        <f>IFERROR(VLOOKUP(B799,ชื่อสินค้า!A:D,4,FALSE),"")</f>
        <v/>
      </c>
      <c r="E799" s="9"/>
      <c r="F799" s="9"/>
      <c r="G799" s="8" t="str">
        <f t="shared" si="20"/>
        <v/>
      </c>
      <c r="H799" s="10">
        <f t="shared" si="21"/>
        <v>0</v>
      </c>
      <c r="I799" s="8">
        <f>IF(G799&lt;&gt;"",E799-SUMIFS(ขายสินค้า!E:E,ขายสินค้า!G:G,H799),)</f>
        <v>0</v>
      </c>
      <c r="J799" s="11">
        <f t="shared" si="22"/>
        <v>0</v>
      </c>
      <c r="K799" s="11">
        <f>IF(B799&lt;&gt;"", IFERROR(SUMIF(ขายสินค้า!G:G,H799,ขายสินค้า!F:F)/(E799-I799),0),)</f>
        <v>0</v>
      </c>
      <c r="L799" s="12">
        <f t="shared" si="23"/>
        <v>0</v>
      </c>
      <c r="M799" s="13">
        <f t="shared" si="24"/>
        <v>0</v>
      </c>
    </row>
    <row r="800" spans="1:13">
      <c r="A800" s="14"/>
      <c r="B800" s="6"/>
      <c r="C800" s="7">
        <f>IFERROR(VLOOKUP(B800,ชื่อสินค้า!A:C,2,FALSE),)</f>
        <v>0</v>
      </c>
      <c r="D800" s="8" t="str">
        <f>IFERROR(VLOOKUP(B800,ชื่อสินค้า!A:D,4,FALSE),"")</f>
        <v/>
      </c>
      <c r="E800" s="9"/>
      <c r="F800" s="9"/>
      <c r="G800" s="8" t="str">
        <f t="shared" si="20"/>
        <v/>
      </c>
      <c r="H800" s="10">
        <f t="shared" si="21"/>
        <v>0</v>
      </c>
      <c r="I800" s="8">
        <f>IF(G800&lt;&gt;"",E800-SUMIFS(ขายสินค้า!E:E,ขายสินค้า!G:G,H800),)</f>
        <v>0</v>
      </c>
      <c r="J800" s="11">
        <f t="shared" si="22"/>
        <v>0</v>
      </c>
      <c r="K800" s="11">
        <f>IF(B800&lt;&gt;"", IFERROR(SUMIF(ขายสินค้า!G:G,H800,ขายสินค้า!F:F)/(E800-I800),0),)</f>
        <v>0</v>
      </c>
      <c r="L800" s="12">
        <f t="shared" si="23"/>
        <v>0</v>
      </c>
      <c r="M800" s="13">
        <f t="shared" si="24"/>
        <v>0</v>
      </c>
    </row>
    <row r="801" spans="1:13">
      <c r="A801" s="14"/>
      <c r="B801" s="6"/>
      <c r="C801" s="7">
        <f>IFERROR(VLOOKUP(B801,ชื่อสินค้า!A:C,2,FALSE),)</f>
        <v>0</v>
      </c>
      <c r="D801" s="8" t="str">
        <f>IFERROR(VLOOKUP(B801,ชื่อสินค้า!A:D,4,FALSE),"")</f>
        <v/>
      </c>
      <c r="E801" s="9"/>
      <c r="F801" s="9"/>
      <c r="G801" s="8" t="str">
        <f t="shared" si="20"/>
        <v/>
      </c>
      <c r="H801" s="10">
        <f t="shared" si="21"/>
        <v>0</v>
      </c>
      <c r="I801" s="8">
        <f>IF(G801&lt;&gt;"",E801-SUMIFS(ขายสินค้า!E:E,ขายสินค้า!G:G,H801),)</f>
        <v>0</v>
      </c>
      <c r="J801" s="11">
        <f t="shared" si="22"/>
        <v>0</v>
      </c>
      <c r="K801" s="11">
        <f>IF(B801&lt;&gt;"", IFERROR(SUMIF(ขายสินค้า!G:G,H801,ขายสินค้า!F:F)/(E801-I801),0),)</f>
        <v>0</v>
      </c>
      <c r="L801" s="12">
        <f t="shared" si="23"/>
        <v>0</v>
      </c>
      <c r="M801" s="13">
        <f t="shared" si="24"/>
        <v>0</v>
      </c>
    </row>
    <row r="802" spans="1:13">
      <c r="A802" s="14"/>
      <c r="B802" s="6"/>
      <c r="C802" s="7">
        <f>IFERROR(VLOOKUP(B802,ชื่อสินค้า!A:C,2,FALSE),)</f>
        <v>0</v>
      </c>
      <c r="D802" s="8" t="str">
        <f>IFERROR(VLOOKUP(B802,ชื่อสินค้า!A:D,4,FALSE),"")</f>
        <v/>
      </c>
      <c r="E802" s="9"/>
      <c r="F802" s="9"/>
      <c r="G802" s="8" t="str">
        <f t="shared" si="20"/>
        <v/>
      </c>
      <c r="H802" s="10">
        <f t="shared" si="21"/>
        <v>0</v>
      </c>
      <c r="I802" s="8">
        <f>IF(G802&lt;&gt;"",E802-SUMIFS(ขายสินค้า!E:E,ขายสินค้า!G:G,H802),)</f>
        <v>0</v>
      </c>
      <c r="J802" s="11">
        <f t="shared" si="22"/>
        <v>0</v>
      </c>
      <c r="K802" s="11">
        <f>IF(B802&lt;&gt;"", IFERROR(SUMIF(ขายสินค้า!G:G,H802,ขายสินค้า!F:F)/(E802-I802),0),)</f>
        <v>0</v>
      </c>
      <c r="L802" s="12">
        <f t="shared" si="23"/>
        <v>0</v>
      </c>
      <c r="M802" s="13">
        <f t="shared" si="24"/>
        <v>0</v>
      </c>
    </row>
    <row r="803" spans="1:13">
      <c r="A803" s="14"/>
      <c r="B803" s="6"/>
      <c r="C803" s="7">
        <f>IFERROR(VLOOKUP(B803,ชื่อสินค้า!A:C,2,FALSE),)</f>
        <v>0</v>
      </c>
      <c r="D803" s="8" t="str">
        <f>IFERROR(VLOOKUP(B803,ชื่อสินค้า!A:D,4,FALSE),"")</f>
        <v/>
      </c>
      <c r="E803" s="9"/>
      <c r="F803" s="9"/>
      <c r="G803" s="8" t="str">
        <f t="shared" si="20"/>
        <v/>
      </c>
      <c r="H803" s="10">
        <f t="shared" si="21"/>
        <v>0</v>
      </c>
      <c r="I803" s="8">
        <f>IF(G803&lt;&gt;"",E803-SUMIFS(ขายสินค้า!E:E,ขายสินค้า!G:G,H803),)</f>
        <v>0</v>
      </c>
      <c r="J803" s="11">
        <f t="shared" si="22"/>
        <v>0</v>
      </c>
      <c r="K803" s="11">
        <f>IF(B803&lt;&gt;"", IFERROR(SUMIF(ขายสินค้า!G:G,H803,ขายสินค้า!F:F)/(E803-I803),0),)</f>
        <v>0</v>
      </c>
      <c r="L803" s="12">
        <f t="shared" si="23"/>
        <v>0</v>
      </c>
      <c r="M803" s="13">
        <f t="shared" si="24"/>
        <v>0</v>
      </c>
    </row>
    <row r="804" spans="1:13">
      <c r="A804" s="14"/>
      <c r="B804" s="6"/>
      <c r="C804" s="7">
        <f>IFERROR(VLOOKUP(B804,ชื่อสินค้า!A:C,2,FALSE),)</f>
        <v>0</v>
      </c>
      <c r="D804" s="8" t="str">
        <f>IFERROR(VLOOKUP(B804,ชื่อสินค้า!A:D,4,FALSE),"")</f>
        <v/>
      </c>
      <c r="E804" s="9"/>
      <c r="F804" s="9"/>
      <c r="G804" s="8" t="str">
        <f t="shared" si="20"/>
        <v/>
      </c>
      <c r="H804" s="10">
        <f t="shared" si="21"/>
        <v>0</v>
      </c>
      <c r="I804" s="8">
        <f>IF(G804&lt;&gt;"",E804-SUMIFS(ขายสินค้า!E:E,ขายสินค้า!G:G,H804),)</f>
        <v>0</v>
      </c>
      <c r="J804" s="11">
        <f t="shared" si="22"/>
        <v>0</v>
      </c>
      <c r="K804" s="11">
        <f>IF(B804&lt;&gt;"", IFERROR(SUMIF(ขายสินค้า!G:G,H804,ขายสินค้า!F:F)/(E804-I804),0),)</f>
        <v>0</v>
      </c>
      <c r="L804" s="12">
        <f t="shared" si="23"/>
        <v>0</v>
      </c>
      <c r="M804" s="13">
        <f t="shared" si="24"/>
        <v>0</v>
      </c>
    </row>
    <row r="805" spans="1:13">
      <c r="A805" s="14"/>
      <c r="B805" s="6"/>
      <c r="C805" s="7">
        <f>IFERROR(VLOOKUP(B805,ชื่อสินค้า!A:C,2,FALSE),)</f>
        <v>0</v>
      </c>
      <c r="D805" s="8" t="str">
        <f>IFERROR(VLOOKUP(B805,ชื่อสินค้า!A:D,4,FALSE),"")</f>
        <v/>
      </c>
      <c r="E805" s="9"/>
      <c r="F805" s="9"/>
      <c r="G805" s="8" t="str">
        <f t="shared" si="20"/>
        <v/>
      </c>
      <c r="H805" s="10">
        <f t="shared" si="21"/>
        <v>0</v>
      </c>
      <c r="I805" s="8">
        <f>IF(G805&lt;&gt;"",E805-SUMIFS(ขายสินค้า!E:E,ขายสินค้า!G:G,H805),)</f>
        <v>0</v>
      </c>
      <c r="J805" s="11">
        <f t="shared" si="22"/>
        <v>0</v>
      </c>
      <c r="K805" s="11">
        <f>IF(B805&lt;&gt;"", IFERROR(SUMIF(ขายสินค้า!G:G,H805,ขายสินค้า!F:F)/(E805-I805),0),)</f>
        <v>0</v>
      </c>
      <c r="L805" s="12">
        <f t="shared" si="23"/>
        <v>0</v>
      </c>
      <c r="M805" s="13">
        <f t="shared" si="24"/>
        <v>0</v>
      </c>
    </row>
    <row r="806" spans="1:13">
      <c r="A806" s="14"/>
      <c r="B806" s="6"/>
      <c r="C806" s="7">
        <f>IFERROR(VLOOKUP(B806,ชื่อสินค้า!A:C,2,FALSE),)</f>
        <v>0</v>
      </c>
      <c r="D806" s="8" t="str">
        <f>IFERROR(VLOOKUP(B806,ชื่อสินค้า!A:D,4,FALSE),"")</f>
        <v/>
      </c>
      <c r="E806" s="9"/>
      <c r="F806" s="9"/>
      <c r="G806" s="8" t="str">
        <f t="shared" si="20"/>
        <v/>
      </c>
      <c r="H806" s="10">
        <f t="shared" si="21"/>
        <v>0</v>
      </c>
      <c r="I806" s="8">
        <f>IF(G806&lt;&gt;"",E806-SUMIFS(ขายสินค้า!E:E,ขายสินค้า!G:G,H806),)</f>
        <v>0</v>
      </c>
      <c r="J806" s="11">
        <f t="shared" si="22"/>
        <v>0</v>
      </c>
      <c r="K806" s="11">
        <f>IF(B806&lt;&gt;"", IFERROR(SUMIF(ขายสินค้า!G:G,H806,ขายสินค้า!F:F)/(E806-I806),0),)</f>
        <v>0</v>
      </c>
      <c r="L806" s="12">
        <f t="shared" si="23"/>
        <v>0</v>
      </c>
      <c r="M806" s="13">
        <f t="shared" si="24"/>
        <v>0</v>
      </c>
    </row>
    <row r="807" spans="1:13">
      <c r="A807" s="14"/>
      <c r="B807" s="6"/>
      <c r="C807" s="7">
        <f>IFERROR(VLOOKUP(B807,ชื่อสินค้า!A:C,2,FALSE),)</f>
        <v>0</v>
      </c>
      <c r="D807" s="8" t="str">
        <f>IFERROR(VLOOKUP(B807,ชื่อสินค้า!A:D,4,FALSE),"")</f>
        <v/>
      </c>
      <c r="E807" s="9"/>
      <c r="F807" s="9"/>
      <c r="G807" s="8" t="str">
        <f t="shared" si="20"/>
        <v/>
      </c>
      <c r="H807" s="10">
        <f t="shared" si="21"/>
        <v>0</v>
      </c>
      <c r="I807" s="8">
        <f>IF(G807&lt;&gt;"",E807-SUMIFS(ขายสินค้า!E:E,ขายสินค้า!G:G,H807),)</f>
        <v>0</v>
      </c>
      <c r="J807" s="11">
        <f t="shared" si="22"/>
        <v>0</v>
      </c>
      <c r="K807" s="11">
        <f>IF(B807&lt;&gt;"", IFERROR(SUMIF(ขายสินค้า!G:G,H807,ขายสินค้า!F:F)/(E807-I807),0),)</f>
        <v>0</v>
      </c>
      <c r="L807" s="12">
        <f t="shared" si="23"/>
        <v>0</v>
      </c>
      <c r="M807" s="13">
        <f t="shared" si="24"/>
        <v>0</v>
      </c>
    </row>
    <row r="808" spans="1:13">
      <c r="A808" s="14"/>
      <c r="B808" s="6"/>
      <c r="C808" s="7">
        <f>IFERROR(VLOOKUP(B808,ชื่อสินค้า!A:C,2,FALSE),)</f>
        <v>0</v>
      </c>
      <c r="D808" s="8" t="str">
        <f>IFERROR(VLOOKUP(B808,ชื่อสินค้า!A:D,4,FALSE),"")</f>
        <v/>
      </c>
      <c r="E808" s="9"/>
      <c r="F808" s="9"/>
      <c r="G808" s="8" t="str">
        <f t="shared" si="20"/>
        <v/>
      </c>
      <c r="H808" s="10">
        <f t="shared" si="21"/>
        <v>0</v>
      </c>
      <c r="I808" s="8">
        <f>IF(G808&lt;&gt;"",E808-SUMIFS(ขายสินค้า!E:E,ขายสินค้า!G:G,H808),)</f>
        <v>0</v>
      </c>
      <c r="J808" s="11">
        <f t="shared" si="22"/>
        <v>0</v>
      </c>
      <c r="K808" s="11">
        <f>IF(B808&lt;&gt;"", IFERROR(SUMIF(ขายสินค้า!G:G,H808,ขายสินค้า!F:F)/(E808-I808),0),)</f>
        <v>0</v>
      </c>
      <c r="L808" s="12">
        <f t="shared" si="23"/>
        <v>0</v>
      </c>
      <c r="M808" s="13">
        <f t="shared" si="24"/>
        <v>0</v>
      </c>
    </row>
    <row r="809" spans="1:13">
      <c r="A809" s="14"/>
      <c r="B809" s="6"/>
      <c r="C809" s="7">
        <f>IFERROR(VLOOKUP(B809,ชื่อสินค้า!A:C,2,FALSE),)</f>
        <v>0</v>
      </c>
      <c r="D809" s="8" t="str">
        <f>IFERROR(VLOOKUP(B809,ชื่อสินค้า!A:D,4,FALSE),"")</f>
        <v/>
      </c>
      <c r="E809" s="9"/>
      <c r="F809" s="9"/>
      <c r="G809" s="8" t="str">
        <f t="shared" si="20"/>
        <v/>
      </c>
      <c r="H809" s="10">
        <f t="shared" si="21"/>
        <v>0</v>
      </c>
      <c r="I809" s="8">
        <f>IF(G809&lt;&gt;"",E809-SUMIFS(ขายสินค้า!E:E,ขายสินค้า!G:G,H809),)</f>
        <v>0</v>
      </c>
      <c r="J809" s="11">
        <f t="shared" si="22"/>
        <v>0</v>
      </c>
      <c r="K809" s="11">
        <f>IF(B809&lt;&gt;"", IFERROR(SUMIF(ขายสินค้า!G:G,H809,ขายสินค้า!F:F)/(E809-I809),0),)</f>
        <v>0</v>
      </c>
      <c r="L809" s="12">
        <f t="shared" si="23"/>
        <v>0</v>
      </c>
      <c r="M809" s="13">
        <f t="shared" si="24"/>
        <v>0</v>
      </c>
    </row>
    <row r="810" spans="1:13">
      <c r="A810" s="14"/>
      <c r="B810" s="6"/>
      <c r="C810" s="7">
        <f>IFERROR(VLOOKUP(B810,ชื่อสินค้า!A:C,2,FALSE),)</f>
        <v>0</v>
      </c>
      <c r="D810" s="8" t="str">
        <f>IFERROR(VLOOKUP(B810,ชื่อสินค้า!A:D,4,FALSE),"")</f>
        <v/>
      </c>
      <c r="E810" s="9"/>
      <c r="F810" s="9"/>
      <c r="G810" s="8" t="str">
        <f t="shared" si="20"/>
        <v/>
      </c>
      <c r="H810" s="10">
        <f t="shared" si="21"/>
        <v>0</v>
      </c>
      <c r="I810" s="8">
        <f>IF(G810&lt;&gt;"",E810-SUMIFS(ขายสินค้า!E:E,ขายสินค้า!G:G,H810),)</f>
        <v>0</v>
      </c>
      <c r="J810" s="11">
        <f t="shared" si="22"/>
        <v>0</v>
      </c>
      <c r="K810" s="11">
        <f>IF(B810&lt;&gt;"", IFERROR(SUMIF(ขายสินค้า!G:G,H810,ขายสินค้า!F:F)/(E810-I810),0),)</f>
        <v>0</v>
      </c>
      <c r="L810" s="12">
        <f t="shared" si="23"/>
        <v>0</v>
      </c>
      <c r="M810" s="13">
        <f t="shared" si="24"/>
        <v>0</v>
      </c>
    </row>
    <row r="811" spans="1:13">
      <c r="A811" s="14"/>
      <c r="B811" s="6"/>
      <c r="C811" s="7">
        <f>IFERROR(VLOOKUP(B811,ชื่อสินค้า!A:C,2,FALSE),)</f>
        <v>0</v>
      </c>
      <c r="D811" s="8" t="str">
        <f>IFERROR(VLOOKUP(B811,ชื่อสินค้า!A:D,4,FALSE),"")</f>
        <v/>
      </c>
      <c r="E811" s="9"/>
      <c r="F811" s="9"/>
      <c r="G811" s="8" t="str">
        <f t="shared" si="20"/>
        <v/>
      </c>
      <c r="H811" s="10">
        <f t="shared" si="21"/>
        <v>0</v>
      </c>
      <c r="I811" s="8">
        <f>IF(G811&lt;&gt;"",E811-SUMIFS(ขายสินค้า!E:E,ขายสินค้า!G:G,H811),)</f>
        <v>0</v>
      </c>
      <c r="J811" s="11">
        <f t="shared" si="22"/>
        <v>0</v>
      </c>
      <c r="K811" s="11">
        <f>IF(B811&lt;&gt;"", IFERROR(SUMIF(ขายสินค้า!G:G,H811,ขายสินค้า!F:F)/(E811-I811),0),)</f>
        <v>0</v>
      </c>
      <c r="L811" s="12">
        <f t="shared" si="23"/>
        <v>0</v>
      </c>
      <c r="M811" s="13">
        <f t="shared" si="24"/>
        <v>0</v>
      </c>
    </row>
    <row r="812" spans="1:13">
      <c r="A812" s="14"/>
      <c r="B812" s="6"/>
      <c r="C812" s="7">
        <f>IFERROR(VLOOKUP(B812,ชื่อสินค้า!A:C,2,FALSE),)</f>
        <v>0</v>
      </c>
      <c r="D812" s="8" t="str">
        <f>IFERROR(VLOOKUP(B812,ชื่อสินค้า!A:D,4,FALSE),"")</f>
        <v/>
      </c>
      <c r="E812" s="9"/>
      <c r="F812" s="9"/>
      <c r="G812" s="8" t="str">
        <f t="shared" si="20"/>
        <v/>
      </c>
      <c r="H812" s="10">
        <f t="shared" si="21"/>
        <v>0</v>
      </c>
      <c r="I812" s="8">
        <f>IF(G812&lt;&gt;"",E812-SUMIFS(ขายสินค้า!E:E,ขายสินค้า!G:G,H812),)</f>
        <v>0</v>
      </c>
      <c r="J812" s="11">
        <f t="shared" si="22"/>
        <v>0</v>
      </c>
      <c r="K812" s="11">
        <f>IF(B812&lt;&gt;"", IFERROR(SUMIF(ขายสินค้า!G:G,H812,ขายสินค้า!F:F)/(E812-I812),0),)</f>
        <v>0</v>
      </c>
      <c r="L812" s="12">
        <f t="shared" si="23"/>
        <v>0</v>
      </c>
      <c r="M812" s="13">
        <f t="shared" si="24"/>
        <v>0</v>
      </c>
    </row>
    <row r="813" spans="1:13">
      <c r="A813" s="14"/>
      <c r="B813" s="6"/>
      <c r="C813" s="7">
        <f>IFERROR(VLOOKUP(B813,ชื่อสินค้า!A:C,2,FALSE),)</f>
        <v>0</v>
      </c>
      <c r="D813" s="8" t="str">
        <f>IFERROR(VLOOKUP(B813,ชื่อสินค้า!A:D,4,FALSE),"")</f>
        <v/>
      </c>
      <c r="E813" s="9"/>
      <c r="F813" s="9"/>
      <c r="G813" s="8" t="str">
        <f t="shared" si="20"/>
        <v/>
      </c>
      <c r="H813" s="10">
        <f t="shared" si="21"/>
        <v>0</v>
      </c>
      <c r="I813" s="8">
        <f>IF(G813&lt;&gt;"",E813-SUMIFS(ขายสินค้า!E:E,ขายสินค้า!G:G,H813),)</f>
        <v>0</v>
      </c>
      <c r="J813" s="11">
        <f t="shared" si="22"/>
        <v>0</v>
      </c>
      <c r="K813" s="11">
        <f>IF(B813&lt;&gt;"", IFERROR(SUMIF(ขายสินค้า!G:G,H813,ขายสินค้า!F:F)/(E813-I813),0),)</f>
        <v>0</v>
      </c>
      <c r="L813" s="12">
        <f t="shared" si="23"/>
        <v>0</v>
      </c>
      <c r="M813" s="13">
        <f t="shared" si="24"/>
        <v>0</v>
      </c>
    </row>
    <row r="814" spans="1:13">
      <c r="A814" s="14"/>
      <c r="B814" s="6"/>
      <c r="C814" s="7">
        <f>IFERROR(VLOOKUP(B814,ชื่อสินค้า!A:C,2,FALSE),)</f>
        <v>0</v>
      </c>
      <c r="D814" s="8" t="str">
        <f>IFERROR(VLOOKUP(B814,ชื่อสินค้า!A:D,4,FALSE),"")</f>
        <v/>
      </c>
      <c r="E814" s="9"/>
      <c r="F814" s="9"/>
      <c r="G814" s="8" t="str">
        <f t="shared" si="20"/>
        <v/>
      </c>
      <c r="H814" s="10">
        <f t="shared" si="21"/>
        <v>0</v>
      </c>
      <c r="I814" s="8">
        <f>IF(G814&lt;&gt;"",E814-SUMIFS(ขายสินค้า!E:E,ขายสินค้า!G:G,H814),)</f>
        <v>0</v>
      </c>
      <c r="J814" s="11">
        <f t="shared" si="22"/>
        <v>0</v>
      </c>
      <c r="K814" s="11">
        <f>IF(B814&lt;&gt;"", IFERROR(SUMIF(ขายสินค้า!G:G,H814,ขายสินค้า!F:F)/(E814-I814),0),)</f>
        <v>0</v>
      </c>
      <c r="L814" s="12">
        <f t="shared" si="23"/>
        <v>0</v>
      </c>
      <c r="M814" s="13">
        <f t="shared" si="24"/>
        <v>0</v>
      </c>
    </row>
    <row r="815" spans="1:13">
      <c r="A815" s="14"/>
      <c r="B815" s="6"/>
      <c r="C815" s="7">
        <f>IFERROR(VLOOKUP(B815,ชื่อสินค้า!A:C,2,FALSE),)</f>
        <v>0</v>
      </c>
      <c r="D815" s="8" t="str">
        <f>IFERROR(VLOOKUP(B815,ชื่อสินค้า!A:D,4,FALSE),"")</f>
        <v/>
      </c>
      <c r="E815" s="9"/>
      <c r="F815" s="9"/>
      <c r="G815" s="8" t="str">
        <f t="shared" si="20"/>
        <v/>
      </c>
      <c r="H815" s="10">
        <f t="shared" si="21"/>
        <v>0</v>
      </c>
      <c r="I815" s="8">
        <f>IF(G815&lt;&gt;"",E815-SUMIFS(ขายสินค้า!E:E,ขายสินค้า!G:G,H815),)</f>
        <v>0</v>
      </c>
      <c r="J815" s="11">
        <f t="shared" si="22"/>
        <v>0</v>
      </c>
      <c r="K815" s="11">
        <f>IF(B815&lt;&gt;"", IFERROR(SUMIF(ขายสินค้า!G:G,H815,ขายสินค้า!F:F)/(E815-I815),0),)</f>
        <v>0</v>
      </c>
      <c r="L815" s="12">
        <f t="shared" si="23"/>
        <v>0</v>
      </c>
      <c r="M815" s="13">
        <f t="shared" si="24"/>
        <v>0</v>
      </c>
    </row>
    <row r="816" spans="1:13">
      <c r="A816" s="14"/>
      <c r="B816" s="6"/>
      <c r="C816" s="7">
        <f>IFERROR(VLOOKUP(B816,ชื่อสินค้า!A:C,2,FALSE),)</f>
        <v>0</v>
      </c>
      <c r="D816" s="8" t="str">
        <f>IFERROR(VLOOKUP(B816,ชื่อสินค้า!A:D,4,FALSE),"")</f>
        <v/>
      </c>
      <c r="E816" s="9"/>
      <c r="F816" s="9"/>
      <c r="G816" s="8" t="str">
        <f t="shared" si="20"/>
        <v/>
      </c>
      <c r="H816" s="10">
        <f t="shared" si="21"/>
        <v>0</v>
      </c>
      <c r="I816" s="8">
        <f>IF(G816&lt;&gt;"",E816-SUMIFS(ขายสินค้า!E:E,ขายสินค้า!G:G,H816),)</f>
        <v>0</v>
      </c>
      <c r="J816" s="11">
        <f t="shared" si="22"/>
        <v>0</v>
      </c>
      <c r="K816" s="11">
        <f>IF(B816&lt;&gt;"", IFERROR(SUMIF(ขายสินค้า!G:G,H816,ขายสินค้า!F:F)/(E816-I816),0),)</f>
        <v>0</v>
      </c>
      <c r="L816" s="12">
        <f t="shared" si="23"/>
        <v>0</v>
      </c>
      <c r="M816" s="13">
        <f t="shared" si="24"/>
        <v>0</v>
      </c>
    </row>
    <row r="817" spans="1:13">
      <c r="A817" s="14"/>
      <c r="B817" s="6"/>
      <c r="C817" s="7">
        <f>IFERROR(VLOOKUP(B817,ชื่อสินค้า!A:C,2,FALSE),)</f>
        <v>0</v>
      </c>
      <c r="D817" s="8" t="str">
        <f>IFERROR(VLOOKUP(B817,ชื่อสินค้า!A:D,4,FALSE),"")</f>
        <v/>
      </c>
      <c r="E817" s="9"/>
      <c r="F817" s="9"/>
      <c r="G817" s="8" t="str">
        <f t="shared" si="20"/>
        <v/>
      </c>
      <c r="H817" s="10">
        <f t="shared" si="21"/>
        <v>0</v>
      </c>
      <c r="I817" s="8">
        <f>IF(G817&lt;&gt;"",E817-SUMIFS(ขายสินค้า!E:E,ขายสินค้า!G:G,H817),)</f>
        <v>0</v>
      </c>
      <c r="J817" s="11">
        <f t="shared" si="22"/>
        <v>0</v>
      </c>
      <c r="K817" s="11">
        <f>IF(B817&lt;&gt;"", IFERROR(SUMIF(ขายสินค้า!G:G,H817,ขายสินค้า!F:F)/(E817-I817),0),)</f>
        <v>0</v>
      </c>
      <c r="L817" s="12">
        <f t="shared" si="23"/>
        <v>0</v>
      </c>
      <c r="M817" s="13">
        <f t="shared" si="24"/>
        <v>0</v>
      </c>
    </row>
    <row r="818" spans="1:13">
      <c r="A818" s="14"/>
      <c r="B818" s="6"/>
      <c r="C818" s="7">
        <f>IFERROR(VLOOKUP(B818,ชื่อสินค้า!A:C,2,FALSE),)</f>
        <v>0</v>
      </c>
      <c r="D818" s="8" t="str">
        <f>IFERROR(VLOOKUP(B818,ชื่อสินค้า!A:D,4,FALSE),"")</f>
        <v/>
      </c>
      <c r="E818" s="9"/>
      <c r="F818" s="9"/>
      <c r="G818" s="8" t="str">
        <f t="shared" si="20"/>
        <v/>
      </c>
      <c r="H818" s="10">
        <f t="shared" si="21"/>
        <v>0</v>
      </c>
      <c r="I818" s="8">
        <f>IF(G818&lt;&gt;"",E818-SUMIFS(ขายสินค้า!E:E,ขายสินค้า!G:G,H818),)</f>
        <v>0</v>
      </c>
      <c r="J818" s="11">
        <f t="shared" si="22"/>
        <v>0</v>
      </c>
      <c r="K818" s="11">
        <f>IF(B818&lt;&gt;"", IFERROR(SUMIF(ขายสินค้า!G:G,H818,ขายสินค้า!F:F)/(E818-I818),0),)</f>
        <v>0</v>
      </c>
      <c r="L818" s="12">
        <f t="shared" si="23"/>
        <v>0</v>
      </c>
      <c r="M818" s="13">
        <f t="shared" si="24"/>
        <v>0</v>
      </c>
    </row>
    <row r="819" spans="1:13">
      <c r="A819" s="14"/>
      <c r="B819" s="6"/>
      <c r="C819" s="7">
        <f>IFERROR(VLOOKUP(B819,ชื่อสินค้า!A:C,2,FALSE),)</f>
        <v>0</v>
      </c>
      <c r="D819" s="8" t="str">
        <f>IFERROR(VLOOKUP(B819,ชื่อสินค้า!A:D,4,FALSE),"")</f>
        <v/>
      </c>
      <c r="E819" s="9"/>
      <c r="F819" s="9"/>
      <c r="G819" s="8" t="str">
        <f t="shared" si="20"/>
        <v/>
      </c>
      <c r="H819" s="10">
        <f t="shared" si="21"/>
        <v>0</v>
      </c>
      <c r="I819" s="8">
        <f>IF(G819&lt;&gt;"",E819-SUMIFS(ขายสินค้า!E:E,ขายสินค้า!G:G,H819),)</f>
        <v>0</v>
      </c>
      <c r="J819" s="11">
        <f t="shared" si="22"/>
        <v>0</v>
      </c>
      <c r="K819" s="11">
        <f>IF(B819&lt;&gt;"", IFERROR(SUMIF(ขายสินค้า!G:G,H819,ขายสินค้า!F:F)/(E819-I819),0),)</f>
        <v>0</v>
      </c>
      <c r="L819" s="12">
        <f t="shared" si="23"/>
        <v>0</v>
      </c>
      <c r="M819" s="13">
        <f t="shared" si="24"/>
        <v>0</v>
      </c>
    </row>
    <row r="820" spans="1:13">
      <c r="A820" s="14"/>
      <c r="B820" s="6"/>
      <c r="C820" s="7">
        <f>IFERROR(VLOOKUP(B820,ชื่อสินค้า!A:C,2,FALSE),)</f>
        <v>0</v>
      </c>
      <c r="D820" s="8" t="str">
        <f>IFERROR(VLOOKUP(B820,ชื่อสินค้า!A:D,4,FALSE),"")</f>
        <v/>
      </c>
      <c r="E820" s="9"/>
      <c r="F820" s="9"/>
      <c r="G820" s="8" t="str">
        <f t="shared" si="20"/>
        <v/>
      </c>
      <c r="H820" s="10">
        <f t="shared" si="21"/>
        <v>0</v>
      </c>
      <c r="I820" s="8">
        <f>IF(G820&lt;&gt;"",E820-SUMIFS(ขายสินค้า!E:E,ขายสินค้า!G:G,H820),)</f>
        <v>0</v>
      </c>
      <c r="J820" s="11">
        <f t="shared" si="22"/>
        <v>0</v>
      </c>
      <c r="K820" s="11">
        <f>IF(B820&lt;&gt;"", IFERROR(SUMIF(ขายสินค้า!G:G,H820,ขายสินค้า!F:F)/(E820-I820),0),)</f>
        <v>0</v>
      </c>
      <c r="L820" s="12">
        <f t="shared" si="23"/>
        <v>0</v>
      </c>
      <c r="M820" s="13">
        <f t="shared" si="24"/>
        <v>0</v>
      </c>
    </row>
    <row r="821" spans="1:13">
      <c r="A821" s="14"/>
      <c r="B821" s="6"/>
      <c r="C821" s="7">
        <f>IFERROR(VLOOKUP(B821,ชื่อสินค้า!A:C,2,FALSE),)</f>
        <v>0</v>
      </c>
      <c r="D821" s="8" t="str">
        <f>IFERROR(VLOOKUP(B821,ชื่อสินค้า!A:D,4,FALSE),"")</f>
        <v/>
      </c>
      <c r="E821" s="9"/>
      <c r="F821" s="9"/>
      <c r="G821" s="8" t="str">
        <f t="shared" si="20"/>
        <v/>
      </c>
      <c r="H821" s="10">
        <f t="shared" si="21"/>
        <v>0</v>
      </c>
      <c r="I821" s="8">
        <f>IF(G821&lt;&gt;"",E821-SUMIFS(ขายสินค้า!E:E,ขายสินค้า!G:G,H821),)</f>
        <v>0</v>
      </c>
      <c r="J821" s="11">
        <f t="shared" si="22"/>
        <v>0</v>
      </c>
      <c r="K821" s="11">
        <f>IF(B821&lt;&gt;"", IFERROR(SUMIF(ขายสินค้า!G:G,H821,ขายสินค้า!F:F)/(E821-I821),0),)</f>
        <v>0</v>
      </c>
      <c r="L821" s="12">
        <f t="shared" si="23"/>
        <v>0</v>
      </c>
      <c r="M821" s="13">
        <f t="shared" si="24"/>
        <v>0</v>
      </c>
    </row>
    <row r="822" spans="1:13">
      <c r="A822" s="14"/>
      <c r="B822" s="6"/>
      <c r="C822" s="7">
        <f>IFERROR(VLOOKUP(B822,ชื่อสินค้า!A:C,2,FALSE),)</f>
        <v>0</v>
      </c>
      <c r="D822" s="8" t="str">
        <f>IFERROR(VLOOKUP(B822,ชื่อสินค้า!A:D,4,FALSE),"")</f>
        <v/>
      </c>
      <c r="E822" s="9"/>
      <c r="F822" s="9"/>
      <c r="G822" s="8" t="str">
        <f t="shared" si="20"/>
        <v/>
      </c>
      <c r="H822" s="10">
        <f t="shared" si="21"/>
        <v>0</v>
      </c>
      <c r="I822" s="8">
        <f>IF(G822&lt;&gt;"",E822-SUMIFS(ขายสินค้า!E:E,ขายสินค้า!G:G,H822),)</f>
        <v>0</v>
      </c>
      <c r="J822" s="11">
        <f t="shared" si="22"/>
        <v>0</v>
      </c>
      <c r="K822" s="11">
        <f>IF(B822&lt;&gt;"", IFERROR(SUMIF(ขายสินค้า!G:G,H822,ขายสินค้า!F:F)/(E822-I822),0),)</f>
        <v>0</v>
      </c>
      <c r="L822" s="12">
        <f t="shared" si="23"/>
        <v>0</v>
      </c>
      <c r="M822" s="13">
        <f t="shared" si="24"/>
        <v>0</v>
      </c>
    </row>
    <row r="823" spans="1:13">
      <c r="A823" s="14"/>
      <c r="B823" s="6"/>
      <c r="C823" s="7">
        <f>IFERROR(VLOOKUP(B823,ชื่อสินค้า!A:C,2,FALSE),)</f>
        <v>0</v>
      </c>
      <c r="D823" s="8" t="str">
        <f>IFERROR(VLOOKUP(B823,ชื่อสินค้า!A:D,4,FALSE),"")</f>
        <v/>
      </c>
      <c r="E823" s="9"/>
      <c r="F823" s="9"/>
      <c r="G823" s="8" t="str">
        <f t="shared" si="20"/>
        <v/>
      </c>
      <c r="H823" s="10">
        <f t="shared" si="21"/>
        <v>0</v>
      </c>
      <c r="I823" s="8">
        <f>IF(G823&lt;&gt;"",E823-SUMIFS(ขายสินค้า!E:E,ขายสินค้า!G:G,H823),)</f>
        <v>0</v>
      </c>
      <c r="J823" s="11">
        <f t="shared" si="22"/>
        <v>0</v>
      </c>
      <c r="K823" s="11">
        <f>IF(B823&lt;&gt;"", IFERROR(SUMIF(ขายสินค้า!G:G,H823,ขายสินค้า!F:F)/(E823-I823),0),)</f>
        <v>0</v>
      </c>
      <c r="L823" s="12">
        <f t="shared" si="23"/>
        <v>0</v>
      </c>
      <c r="M823" s="13">
        <f t="shared" si="24"/>
        <v>0</v>
      </c>
    </row>
    <row r="824" spans="1:13">
      <c r="A824" s="14"/>
      <c r="B824" s="6"/>
      <c r="C824" s="7">
        <f>IFERROR(VLOOKUP(B824,ชื่อสินค้า!A:C,2,FALSE),)</f>
        <v>0</v>
      </c>
      <c r="D824" s="8" t="str">
        <f>IFERROR(VLOOKUP(B824,ชื่อสินค้า!A:D,4,FALSE),"")</f>
        <v/>
      </c>
      <c r="E824" s="9"/>
      <c r="F824" s="9"/>
      <c r="G824" s="8" t="str">
        <f t="shared" si="20"/>
        <v/>
      </c>
      <c r="H824" s="10">
        <f t="shared" si="21"/>
        <v>0</v>
      </c>
      <c r="I824" s="8">
        <f>IF(G824&lt;&gt;"",E824-SUMIFS(ขายสินค้า!E:E,ขายสินค้า!G:G,H824),)</f>
        <v>0</v>
      </c>
      <c r="J824" s="11">
        <f t="shared" si="22"/>
        <v>0</v>
      </c>
      <c r="K824" s="11">
        <f>IF(B824&lt;&gt;"", IFERROR(SUMIF(ขายสินค้า!G:G,H824,ขายสินค้า!F:F)/(E824-I824),0),)</f>
        <v>0</v>
      </c>
      <c r="L824" s="12">
        <f t="shared" si="23"/>
        <v>0</v>
      </c>
      <c r="M824" s="13">
        <f t="shared" si="24"/>
        <v>0</v>
      </c>
    </row>
    <row r="825" spans="1:13">
      <c r="A825" s="14"/>
      <c r="B825" s="6"/>
      <c r="C825" s="7">
        <f>IFERROR(VLOOKUP(B825,ชื่อสินค้า!A:C,2,FALSE),)</f>
        <v>0</v>
      </c>
      <c r="D825" s="8" t="str">
        <f>IFERROR(VLOOKUP(B825,ชื่อสินค้า!A:D,4,FALSE),"")</f>
        <v/>
      </c>
      <c r="E825" s="9"/>
      <c r="F825" s="9"/>
      <c r="G825" s="8" t="str">
        <f t="shared" si="20"/>
        <v/>
      </c>
      <c r="H825" s="10">
        <f t="shared" si="21"/>
        <v>0</v>
      </c>
      <c r="I825" s="8">
        <f>IF(G825&lt;&gt;"",E825-SUMIFS(ขายสินค้า!E:E,ขายสินค้า!G:G,H825),)</f>
        <v>0</v>
      </c>
      <c r="J825" s="11">
        <f t="shared" si="22"/>
        <v>0</v>
      </c>
      <c r="K825" s="11">
        <f>IF(B825&lt;&gt;"", IFERROR(SUMIF(ขายสินค้า!G:G,H825,ขายสินค้า!F:F)/(E825-I825),0),)</f>
        <v>0</v>
      </c>
      <c r="L825" s="12">
        <f t="shared" si="23"/>
        <v>0</v>
      </c>
      <c r="M825" s="13">
        <f t="shared" si="24"/>
        <v>0</v>
      </c>
    </row>
    <row r="826" spans="1:13">
      <c r="A826" s="14"/>
      <c r="B826" s="6"/>
      <c r="C826" s="7">
        <f>IFERROR(VLOOKUP(B826,ชื่อสินค้า!A:C,2,FALSE),)</f>
        <v>0</v>
      </c>
      <c r="D826" s="8" t="str">
        <f>IFERROR(VLOOKUP(B826,ชื่อสินค้า!A:D,4,FALSE),"")</f>
        <v/>
      </c>
      <c r="E826" s="9"/>
      <c r="F826" s="9"/>
      <c r="G826" s="8" t="str">
        <f t="shared" si="20"/>
        <v/>
      </c>
      <c r="H826" s="10">
        <f t="shared" si="21"/>
        <v>0</v>
      </c>
      <c r="I826" s="8">
        <f>IF(G826&lt;&gt;"",E826-SUMIFS(ขายสินค้า!E:E,ขายสินค้า!G:G,H826),)</f>
        <v>0</v>
      </c>
      <c r="J826" s="11">
        <f t="shared" si="22"/>
        <v>0</v>
      </c>
      <c r="K826" s="11">
        <f>IF(B826&lt;&gt;"", IFERROR(SUMIF(ขายสินค้า!G:G,H826,ขายสินค้า!F:F)/(E826-I826),0),)</f>
        <v>0</v>
      </c>
      <c r="L826" s="12">
        <f t="shared" si="23"/>
        <v>0</v>
      </c>
      <c r="M826" s="13">
        <f t="shared" si="24"/>
        <v>0</v>
      </c>
    </row>
    <row r="827" spans="1:13">
      <c r="A827" s="14"/>
      <c r="B827" s="6"/>
      <c r="C827" s="7">
        <f>IFERROR(VLOOKUP(B827,ชื่อสินค้า!A:C,2,FALSE),)</f>
        <v>0</v>
      </c>
      <c r="D827" s="8" t="str">
        <f>IFERROR(VLOOKUP(B827,ชื่อสินค้า!A:D,4,FALSE),"")</f>
        <v/>
      </c>
      <c r="E827" s="9"/>
      <c r="F827" s="9"/>
      <c r="G827" s="8" t="str">
        <f t="shared" si="20"/>
        <v/>
      </c>
      <c r="H827" s="10">
        <f t="shared" si="21"/>
        <v>0</v>
      </c>
      <c r="I827" s="8">
        <f>IF(G827&lt;&gt;"",E827-SUMIFS(ขายสินค้า!E:E,ขายสินค้า!G:G,H827),)</f>
        <v>0</v>
      </c>
      <c r="J827" s="11">
        <f t="shared" si="22"/>
        <v>0</v>
      </c>
      <c r="K827" s="11">
        <f>IF(B827&lt;&gt;"", IFERROR(SUMIF(ขายสินค้า!G:G,H827,ขายสินค้า!F:F)/(E827-I827),0),)</f>
        <v>0</v>
      </c>
      <c r="L827" s="12">
        <f t="shared" si="23"/>
        <v>0</v>
      </c>
      <c r="M827" s="13">
        <f t="shared" si="24"/>
        <v>0</v>
      </c>
    </row>
    <row r="828" spans="1:13">
      <c r="A828" s="14"/>
      <c r="B828" s="6"/>
      <c r="C828" s="7">
        <f>IFERROR(VLOOKUP(B828,ชื่อสินค้า!A:C,2,FALSE),)</f>
        <v>0</v>
      </c>
      <c r="D828" s="8" t="str">
        <f>IFERROR(VLOOKUP(B828,ชื่อสินค้า!A:D,4,FALSE),"")</f>
        <v/>
      </c>
      <c r="E828" s="9"/>
      <c r="F828" s="9"/>
      <c r="G828" s="8" t="str">
        <f t="shared" si="20"/>
        <v/>
      </c>
      <c r="H828" s="10">
        <f t="shared" si="21"/>
        <v>0</v>
      </c>
      <c r="I828" s="8">
        <f>IF(G828&lt;&gt;"",E828-SUMIFS(ขายสินค้า!E:E,ขายสินค้า!G:G,H828),)</f>
        <v>0</v>
      </c>
      <c r="J828" s="11">
        <f t="shared" si="22"/>
        <v>0</v>
      </c>
      <c r="K828" s="11">
        <f>IF(B828&lt;&gt;"", IFERROR(SUMIF(ขายสินค้า!G:G,H828,ขายสินค้า!F:F)/(E828-I828),0),)</f>
        <v>0</v>
      </c>
      <c r="L828" s="12">
        <f t="shared" si="23"/>
        <v>0</v>
      </c>
      <c r="M828" s="13">
        <f t="shared" si="24"/>
        <v>0</v>
      </c>
    </row>
    <row r="829" spans="1:13">
      <c r="A829" s="14"/>
      <c r="B829" s="6"/>
      <c r="C829" s="7">
        <f>IFERROR(VLOOKUP(B829,ชื่อสินค้า!A:C,2,FALSE),)</f>
        <v>0</v>
      </c>
      <c r="D829" s="8" t="str">
        <f>IFERROR(VLOOKUP(B829,ชื่อสินค้า!A:D,4,FALSE),"")</f>
        <v/>
      </c>
      <c r="E829" s="9"/>
      <c r="F829" s="9"/>
      <c r="G829" s="8" t="str">
        <f t="shared" si="20"/>
        <v/>
      </c>
      <c r="H829" s="10">
        <f t="shared" si="21"/>
        <v>0</v>
      </c>
      <c r="I829" s="8">
        <f>IF(G829&lt;&gt;"",E829-SUMIFS(ขายสินค้า!E:E,ขายสินค้า!G:G,H829),)</f>
        <v>0</v>
      </c>
      <c r="J829" s="11">
        <f t="shared" si="22"/>
        <v>0</v>
      </c>
      <c r="K829" s="11">
        <f>IF(B829&lt;&gt;"", IFERROR(SUMIF(ขายสินค้า!G:G,H829,ขายสินค้า!F:F)/(E829-I829),0),)</f>
        <v>0</v>
      </c>
      <c r="L829" s="12">
        <f t="shared" si="23"/>
        <v>0</v>
      </c>
      <c r="M829" s="13">
        <f t="shared" si="24"/>
        <v>0</v>
      </c>
    </row>
    <row r="830" spans="1:13">
      <c r="A830" s="14"/>
      <c r="B830" s="6"/>
      <c r="C830" s="7">
        <f>IFERROR(VLOOKUP(B830,ชื่อสินค้า!A:C,2,FALSE),)</f>
        <v>0</v>
      </c>
      <c r="D830" s="8" t="str">
        <f>IFERROR(VLOOKUP(B830,ชื่อสินค้า!A:D,4,FALSE),"")</f>
        <v/>
      </c>
      <c r="E830" s="9"/>
      <c r="F830" s="9"/>
      <c r="G830" s="8" t="str">
        <f t="shared" si="20"/>
        <v/>
      </c>
      <c r="H830" s="10">
        <f t="shared" si="21"/>
        <v>0</v>
      </c>
      <c r="I830" s="8">
        <f>IF(G830&lt;&gt;"",E830-SUMIFS(ขายสินค้า!E:E,ขายสินค้า!G:G,H830),)</f>
        <v>0</v>
      </c>
      <c r="J830" s="11">
        <f t="shared" si="22"/>
        <v>0</v>
      </c>
      <c r="K830" s="11">
        <f>IF(B830&lt;&gt;"", IFERROR(SUMIF(ขายสินค้า!G:G,H830,ขายสินค้า!F:F)/(E830-I830),0),)</f>
        <v>0</v>
      </c>
      <c r="L830" s="12">
        <f t="shared" si="23"/>
        <v>0</v>
      </c>
      <c r="M830" s="13">
        <f t="shared" si="24"/>
        <v>0</v>
      </c>
    </row>
    <row r="831" spans="1:13">
      <c r="A831" s="14"/>
      <c r="B831" s="6"/>
      <c r="C831" s="7">
        <f>IFERROR(VLOOKUP(B831,ชื่อสินค้า!A:C,2,FALSE),)</f>
        <v>0</v>
      </c>
      <c r="D831" s="8" t="str">
        <f>IFERROR(VLOOKUP(B831,ชื่อสินค้า!A:D,4,FALSE),"")</f>
        <v/>
      </c>
      <c r="E831" s="9"/>
      <c r="F831" s="9"/>
      <c r="G831" s="8" t="str">
        <f t="shared" si="20"/>
        <v/>
      </c>
      <c r="H831" s="10">
        <f t="shared" si="21"/>
        <v>0</v>
      </c>
      <c r="I831" s="8">
        <f>IF(G831&lt;&gt;"",E831-SUMIFS(ขายสินค้า!E:E,ขายสินค้า!G:G,H831),)</f>
        <v>0</v>
      </c>
      <c r="J831" s="11">
        <f t="shared" si="22"/>
        <v>0</v>
      </c>
      <c r="K831" s="11">
        <f>IF(B831&lt;&gt;"", IFERROR(SUMIF(ขายสินค้า!G:G,H831,ขายสินค้า!F:F)/(E831-I831),0),)</f>
        <v>0</v>
      </c>
      <c r="L831" s="12">
        <f t="shared" si="23"/>
        <v>0</v>
      </c>
      <c r="M831" s="13">
        <f t="shared" si="24"/>
        <v>0</v>
      </c>
    </row>
    <row r="832" spans="1:13">
      <c r="A832" s="14"/>
      <c r="B832" s="6"/>
      <c r="C832" s="7">
        <f>IFERROR(VLOOKUP(B832,ชื่อสินค้า!A:C,2,FALSE),)</f>
        <v>0</v>
      </c>
      <c r="D832" s="8" t="str">
        <f>IFERROR(VLOOKUP(B832,ชื่อสินค้า!A:D,4,FALSE),"")</f>
        <v/>
      </c>
      <c r="E832" s="9"/>
      <c r="F832" s="9"/>
      <c r="G832" s="8" t="str">
        <f t="shared" si="20"/>
        <v/>
      </c>
      <c r="H832" s="10">
        <f t="shared" si="21"/>
        <v>0</v>
      </c>
      <c r="I832" s="8">
        <f>IF(G832&lt;&gt;"",E832-SUMIFS(ขายสินค้า!E:E,ขายสินค้า!G:G,H832),)</f>
        <v>0</v>
      </c>
      <c r="J832" s="11">
        <f t="shared" si="22"/>
        <v>0</v>
      </c>
      <c r="K832" s="11">
        <f>IF(B832&lt;&gt;"", IFERROR(SUMIF(ขายสินค้า!G:G,H832,ขายสินค้า!F:F)/(E832-I832),0),)</f>
        <v>0</v>
      </c>
      <c r="L832" s="12">
        <f t="shared" si="23"/>
        <v>0</v>
      </c>
      <c r="M832" s="13">
        <f t="shared" si="24"/>
        <v>0</v>
      </c>
    </row>
    <row r="833" spans="1:13">
      <c r="A833" s="14"/>
      <c r="B833" s="6"/>
      <c r="C833" s="7">
        <f>IFERROR(VLOOKUP(B833,ชื่อสินค้า!A:C,2,FALSE),)</f>
        <v>0</v>
      </c>
      <c r="D833" s="8" t="str">
        <f>IFERROR(VLOOKUP(B833,ชื่อสินค้า!A:D,4,FALSE),"")</f>
        <v/>
      </c>
      <c r="E833" s="9"/>
      <c r="F833" s="9"/>
      <c r="G833" s="8" t="str">
        <f t="shared" si="20"/>
        <v/>
      </c>
      <c r="H833" s="10">
        <f t="shared" si="21"/>
        <v>0</v>
      </c>
      <c r="I833" s="8">
        <f>IF(G833&lt;&gt;"",E833-SUMIFS(ขายสินค้า!E:E,ขายสินค้า!G:G,H833),)</f>
        <v>0</v>
      </c>
      <c r="J833" s="11">
        <f t="shared" si="22"/>
        <v>0</v>
      </c>
      <c r="K833" s="11">
        <f>IF(B833&lt;&gt;"", IFERROR(SUMIF(ขายสินค้า!G:G,H833,ขายสินค้า!F:F)/(E833-I833),0),)</f>
        <v>0</v>
      </c>
      <c r="L833" s="12">
        <f t="shared" si="23"/>
        <v>0</v>
      </c>
      <c r="M833" s="13">
        <f t="shared" si="24"/>
        <v>0</v>
      </c>
    </row>
    <row r="834" spans="1:13">
      <c r="A834" s="14"/>
      <c r="B834" s="6"/>
      <c r="C834" s="7">
        <f>IFERROR(VLOOKUP(B834,ชื่อสินค้า!A:C,2,FALSE),)</f>
        <v>0</v>
      </c>
      <c r="D834" s="8" t="str">
        <f>IFERROR(VLOOKUP(B834,ชื่อสินค้า!A:D,4,FALSE),"")</f>
        <v/>
      </c>
      <c r="E834" s="9"/>
      <c r="F834" s="9"/>
      <c r="G834" s="8" t="str">
        <f t="shared" si="20"/>
        <v/>
      </c>
      <c r="H834" s="10">
        <f t="shared" si="21"/>
        <v>0</v>
      </c>
      <c r="I834" s="8">
        <f>IF(G834&lt;&gt;"",E834-SUMIFS(ขายสินค้า!E:E,ขายสินค้า!G:G,H834),)</f>
        <v>0</v>
      </c>
      <c r="J834" s="11">
        <f t="shared" si="22"/>
        <v>0</v>
      </c>
      <c r="K834" s="11">
        <f>IF(B834&lt;&gt;"", IFERROR(SUMIF(ขายสินค้า!G:G,H834,ขายสินค้า!F:F)/(E834-I834),0),)</f>
        <v>0</v>
      </c>
      <c r="L834" s="12">
        <f t="shared" si="23"/>
        <v>0</v>
      </c>
      <c r="M834" s="13">
        <f t="shared" si="24"/>
        <v>0</v>
      </c>
    </row>
    <row r="835" spans="1:13">
      <c r="A835" s="14"/>
      <c r="B835" s="6"/>
      <c r="C835" s="7">
        <f>IFERROR(VLOOKUP(B835,ชื่อสินค้า!A:C,2,FALSE),)</f>
        <v>0</v>
      </c>
      <c r="D835" s="8" t="str">
        <f>IFERROR(VLOOKUP(B835,ชื่อสินค้า!A:D,4,FALSE),"")</f>
        <v/>
      </c>
      <c r="E835" s="9"/>
      <c r="F835" s="9"/>
      <c r="G835" s="8" t="str">
        <f t="shared" si="20"/>
        <v/>
      </c>
      <c r="H835" s="10">
        <f t="shared" si="21"/>
        <v>0</v>
      </c>
      <c r="I835" s="8">
        <f>IF(G835&lt;&gt;"",E835-SUMIFS(ขายสินค้า!E:E,ขายสินค้า!G:G,H835),)</f>
        <v>0</v>
      </c>
      <c r="J835" s="11">
        <f t="shared" si="22"/>
        <v>0</v>
      </c>
      <c r="K835" s="11">
        <f>IF(B835&lt;&gt;"", IFERROR(SUMIF(ขายสินค้า!G:G,H835,ขายสินค้า!F:F)/(E835-I835),0),)</f>
        <v>0</v>
      </c>
      <c r="L835" s="12">
        <f t="shared" si="23"/>
        <v>0</v>
      </c>
      <c r="M835" s="13">
        <f t="shared" si="24"/>
        <v>0</v>
      </c>
    </row>
    <row r="836" spans="1:13">
      <c r="A836" s="14"/>
      <c r="B836" s="6"/>
      <c r="C836" s="7">
        <f>IFERROR(VLOOKUP(B836,ชื่อสินค้า!A:C,2,FALSE),)</f>
        <v>0</v>
      </c>
      <c r="D836" s="8" t="str">
        <f>IFERROR(VLOOKUP(B836,ชื่อสินค้า!A:D,4,FALSE),"")</f>
        <v/>
      </c>
      <c r="E836" s="9"/>
      <c r="F836" s="9"/>
      <c r="G836" s="8" t="str">
        <f t="shared" si="20"/>
        <v/>
      </c>
      <c r="H836" s="10">
        <f t="shared" si="21"/>
        <v>0</v>
      </c>
      <c r="I836" s="8">
        <f>IF(G836&lt;&gt;"",E836-SUMIFS(ขายสินค้า!E:E,ขายสินค้า!G:G,H836),)</f>
        <v>0</v>
      </c>
      <c r="J836" s="11">
        <f t="shared" si="22"/>
        <v>0</v>
      </c>
      <c r="K836" s="11">
        <f>IF(B836&lt;&gt;"", IFERROR(SUMIF(ขายสินค้า!G:G,H836,ขายสินค้า!F:F)/(E836-I836),0),)</f>
        <v>0</v>
      </c>
      <c r="L836" s="12">
        <f t="shared" si="23"/>
        <v>0</v>
      </c>
      <c r="M836" s="13">
        <f t="shared" si="24"/>
        <v>0</v>
      </c>
    </row>
    <row r="837" spans="1:13">
      <c r="A837" s="14"/>
      <c r="B837" s="6"/>
      <c r="C837" s="7">
        <f>IFERROR(VLOOKUP(B837,ชื่อสินค้า!A:C,2,FALSE),)</f>
        <v>0</v>
      </c>
      <c r="D837" s="8" t="str">
        <f>IFERROR(VLOOKUP(B837,ชื่อสินค้า!A:D,4,FALSE),"")</f>
        <v/>
      </c>
      <c r="E837" s="9"/>
      <c r="F837" s="9"/>
      <c r="G837" s="8" t="str">
        <f t="shared" si="20"/>
        <v/>
      </c>
      <c r="H837" s="10">
        <f t="shared" si="21"/>
        <v>0</v>
      </c>
      <c r="I837" s="8">
        <f>IF(G837&lt;&gt;"",E837-SUMIFS(ขายสินค้า!E:E,ขายสินค้า!G:G,H837),)</f>
        <v>0</v>
      </c>
      <c r="J837" s="11">
        <f t="shared" si="22"/>
        <v>0</v>
      </c>
      <c r="K837" s="11">
        <f>IF(B837&lt;&gt;"", IFERROR(SUMIF(ขายสินค้า!G:G,H837,ขายสินค้า!F:F)/(E837-I837),0),)</f>
        <v>0</v>
      </c>
      <c r="L837" s="12">
        <f t="shared" si="23"/>
        <v>0</v>
      </c>
      <c r="M837" s="13">
        <f t="shared" si="24"/>
        <v>0</v>
      </c>
    </row>
    <row r="838" spans="1:13">
      <c r="A838" s="14"/>
      <c r="B838" s="6"/>
      <c r="C838" s="7">
        <f>IFERROR(VLOOKUP(B838,ชื่อสินค้า!A:C,2,FALSE),)</f>
        <v>0</v>
      </c>
      <c r="D838" s="8" t="str">
        <f>IFERROR(VLOOKUP(B838,ชื่อสินค้า!A:D,4,FALSE),"")</f>
        <v/>
      </c>
      <c r="E838" s="9"/>
      <c r="F838" s="9"/>
      <c r="G838" s="8" t="str">
        <f t="shared" si="20"/>
        <v/>
      </c>
      <c r="H838" s="10">
        <f t="shared" si="21"/>
        <v>0</v>
      </c>
      <c r="I838" s="8">
        <f>IF(G838&lt;&gt;"",E838-SUMIFS(ขายสินค้า!E:E,ขายสินค้า!G:G,H838),)</f>
        <v>0</v>
      </c>
      <c r="J838" s="11">
        <f t="shared" si="22"/>
        <v>0</v>
      </c>
      <c r="K838" s="11">
        <f>IF(B838&lt;&gt;"", IFERROR(SUMIF(ขายสินค้า!G:G,H838,ขายสินค้า!F:F)/(E838-I838),0),)</f>
        <v>0</v>
      </c>
      <c r="L838" s="12">
        <f t="shared" si="23"/>
        <v>0</v>
      </c>
      <c r="M838" s="13">
        <f t="shared" si="24"/>
        <v>0</v>
      </c>
    </row>
    <row r="839" spans="1:13">
      <c r="A839" s="14"/>
      <c r="B839" s="6"/>
      <c r="C839" s="7">
        <f>IFERROR(VLOOKUP(B839,ชื่อสินค้า!A:C,2,FALSE),)</f>
        <v>0</v>
      </c>
      <c r="D839" s="8" t="str">
        <f>IFERROR(VLOOKUP(B839,ชื่อสินค้า!A:D,4,FALSE),"")</f>
        <v/>
      </c>
      <c r="E839" s="9"/>
      <c r="F839" s="9"/>
      <c r="G839" s="8" t="str">
        <f t="shared" si="20"/>
        <v/>
      </c>
      <c r="H839" s="10">
        <f t="shared" si="21"/>
        <v>0</v>
      </c>
      <c r="I839" s="8">
        <f>IF(G839&lt;&gt;"",E839-SUMIFS(ขายสินค้า!E:E,ขายสินค้า!G:G,H839),)</f>
        <v>0</v>
      </c>
      <c r="J839" s="11">
        <f t="shared" si="22"/>
        <v>0</v>
      </c>
      <c r="K839" s="11">
        <f>IF(B839&lt;&gt;"", IFERROR(SUMIF(ขายสินค้า!G:G,H839,ขายสินค้า!F:F)/(E839-I839),0),)</f>
        <v>0</v>
      </c>
      <c r="L839" s="12">
        <f t="shared" si="23"/>
        <v>0</v>
      </c>
      <c r="M839" s="13">
        <f t="shared" si="24"/>
        <v>0</v>
      </c>
    </row>
    <row r="840" spans="1:13">
      <c r="A840" s="14"/>
      <c r="B840" s="6"/>
      <c r="C840" s="7">
        <f>IFERROR(VLOOKUP(B840,ชื่อสินค้า!A:C,2,FALSE),)</f>
        <v>0</v>
      </c>
      <c r="D840" s="8" t="str">
        <f>IFERROR(VLOOKUP(B840,ชื่อสินค้า!A:D,4,FALSE),"")</f>
        <v/>
      </c>
      <c r="E840" s="9"/>
      <c r="F840" s="9"/>
      <c r="G840" s="8" t="str">
        <f t="shared" si="20"/>
        <v/>
      </c>
      <c r="H840" s="10">
        <f t="shared" si="21"/>
        <v>0</v>
      </c>
      <c r="I840" s="8">
        <f>IF(G840&lt;&gt;"",E840-SUMIFS(ขายสินค้า!E:E,ขายสินค้า!G:G,H840),)</f>
        <v>0</v>
      </c>
      <c r="J840" s="11">
        <f t="shared" si="22"/>
        <v>0</v>
      </c>
      <c r="K840" s="11">
        <f>IF(B840&lt;&gt;"", IFERROR(SUMIF(ขายสินค้า!G:G,H840,ขายสินค้า!F:F)/(E840-I840),0),)</f>
        <v>0</v>
      </c>
      <c r="L840" s="12">
        <f t="shared" si="23"/>
        <v>0</v>
      </c>
      <c r="M840" s="13">
        <f t="shared" si="24"/>
        <v>0</v>
      </c>
    </row>
    <row r="841" spans="1:13">
      <c r="A841" s="14"/>
      <c r="B841" s="6"/>
      <c r="C841" s="7">
        <f>IFERROR(VLOOKUP(B841,ชื่อสินค้า!A:C,2,FALSE),)</f>
        <v>0</v>
      </c>
      <c r="D841" s="8" t="str">
        <f>IFERROR(VLOOKUP(B841,ชื่อสินค้า!A:D,4,FALSE),"")</f>
        <v/>
      </c>
      <c r="E841" s="9"/>
      <c r="F841" s="9"/>
      <c r="G841" s="8" t="str">
        <f t="shared" si="20"/>
        <v/>
      </c>
      <c r="H841" s="10">
        <f t="shared" si="21"/>
        <v>0</v>
      </c>
      <c r="I841" s="8">
        <f>IF(G841&lt;&gt;"",E841-SUMIFS(ขายสินค้า!E:E,ขายสินค้า!G:G,H841),)</f>
        <v>0</v>
      </c>
      <c r="J841" s="11">
        <f t="shared" si="22"/>
        <v>0</v>
      </c>
      <c r="K841" s="11">
        <f>IF(B841&lt;&gt;"", IFERROR(SUMIF(ขายสินค้า!G:G,H841,ขายสินค้า!F:F)/(E841-I841),0),)</f>
        <v>0</v>
      </c>
      <c r="L841" s="12">
        <f t="shared" si="23"/>
        <v>0</v>
      </c>
      <c r="M841" s="13">
        <f t="shared" si="24"/>
        <v>0</v>
      </c>
    </row>
    <row r="842" spans="1:13">
      <c r="A842" s="14"/>
      <c r="B842" s="6"/>
      <c r="C842" s="7">
        <f>IFERROR(VLOOKUP(B842,ชื่อสินค้า!A:C,2,FALSE),)</f>
        <v>0</v>
      </c>
      <c r="D842" s="8" t="str">
        <f>IFERROR(VLOOKUP(B842,ชื่อสินค้า!A:D,4,FALSE),"")</f>
        <v/>
      </c>
      <c r="E842" s="9"/>
      <c r="F842" s="9"/>
      <c r="G842" s="8" t="str">
        <f t="shared" si="20"/>
        <v/>
      </c>
      <c r="H842" s="10">
        <f t="shared" si="21"/>
        <v>0</v>
      </c>
      <c r="I842" s="8">
        <f>IF(G842&lt;&gt;"",E842-SUMIFS(ขายสินค้า!E:E,ขายสินค้า!G:G,H842),)</f>
        <v>0</v>
      </c>
      <c r="J842" s="11">
        <f t="shared" si="22"/>
        <v>0</v>
      </c>
      <c r="K842" s="11">
        <f>IF(B842&lt;&gt;"", IFERROR(SUMIF(ขายสินค้า!G:G,H842,ขายสินค้า!F:F)/(E842-I842),0),)</f>
        <v>0</v>
      </c>
      <c r="L842" s="12">
        <f t="shared" si="23"/>
        <v>0</v>
      </c>
      <c r="M842" s="13">
        <f t="shared" si="24"/>
        <v>0</v>
      </c>
    </row>
    <row r="843" spans="1:13">
      <c r="A843" s="14"/>
      <c r="B843" s="6"/>
      <c r="C843" s="7">
        <f>IFERROR(VLOOKUP(B843,ชื่อสินค้า!A:C,2,FALSE),)</f>
        <v>0</v>
      </c>
      <c r="D843" s="8" t="str">
        <f>IFERROR(VLOOKUP(B843,ชื่อสินค้า!A:D,4,FALSE),"")</f>
        <v/>
      </c>
      <c r="E843" s="9"/>
      <c r="F843" s="9"/>
      <c r="G843" s="8" t="str">
        <f t="shared" si="20"/>
        <v/>
      </c>
      <c r="H843" s="10">
        <f t="shared" si="21"/>
        <v>0</v>
      </c>
      <c r="I843" s="8">
        <f>IF(G843&lt;&gt;"",E843-SUMIFS(ขายสินค้า!E:E,ขายสินค้า!G:G,H843),)</f>
        <v>0</v>
      </c>
      <c r="J843" s="11">
        <f t="shared" si="22"/>
        <v>0</v>
      </c>
      <c r="K843" s="11">
        <f>IF(B843&lt;&gt;"", IFERROR(SUMIF(ขายสินค้า!G:G,H843,ขายสินค้า!F:F)/(E843-I843),0),)</f>
        <v>0</v>
      </c>
      <c r="L843" s="12">
        <f t="shared" si="23"/>
        <v>0</v>
      </c>
      <c r="M843" s="13">
        <f t="shared" si="24"/>
        <v>0</v>
      </c>
    </row>
    <row r="844" spans="1:13">
      <c r="A844" s="14"/>
      <c r="B844" s="6"/>
      <c r="C844" s="7">
        <f>IFERROR(VLOOKUP(B844,ชื่อสินค้า!A:C,2,FALSE),)</f>
        <v>0</v>
      </c>
      <c r="D844" s="8" t="str">
        <f>IFERROR(VLOOKUP(B844,ชื่อสินค้า!A:D,4,FALSE),"")</f>
        <v/>
      </c>
      <c r="E844" s="9"/>
      <c r="F844" s="9"/>
      <c r="G844" s="8" t="str">
        <f t="shared" si="20"/>
        <v/>
      </c>
      <c r="H844" s="10">
        <f t="shared" si="21"/>
        <v>0</v>
      </c>
      <c r="I844" s="8">
        <f>IF(G844&lt;&gt;"",E844-SUMIFS(ขายสินค้า!E:E,ขายสินค้า!G:G,H844),)</f>
        <v>0</v>
      </c>
      <c r="J844" s="11">
        <f t="shared" si="22"/>
        <v>0</v>
      </c>
      <c r="K844" s="11">
        <f>IF(B844&lt;&gt;"", IFERROR(SUMIF(ขายสินค้า!G:G,H844,ขายสินค้า!F:F)/(E844-I844),0),)</f>
        <v>0</v>
      </c>
      <c r="L844" s="12">
        <f t="shared" si="23"/>
        <v>0</v>
      </c>
      <c r="M844" s="13">
        <f t="shared" si="24"/>
        <v>0</v>
      </c>
    </row>
    <row r="845" spans="1:13">
      <c r="A845" s="14"/>
      <c r="B845" s="6"/>
      <c r="C845" s="7">
        <f>IFERROR(VLOOKUP(B845,ชื่อสินค้า!A:C,2,FALSE),)</f>
        <v>0</v>
      </c>
      <c r="D845" s="8" t="str">
        <f>IFERROR(VLOOKUP(B845,ชื่อสินค้า!A:D,4,FALSE),"")</f>
        <v/>
      </c>
      <c r="E845" s="9"/>
      <c r="F845" s="9"/>
      <c r="G845" s="8" t="str">
        <f t="shared" si="20"/>
        <v/>
      </c>
      <c r="H845" s="10">
        <f t="shared" si="21"/>
        <v>0</v>
      </c>
      <c r="I845" s="8">
        <f>IF(G845&lt;&gt;"",E845-SUMIFS(ขายสินค้า!E:E,ขายสินค้า!G:G,H845),)</f>
        <v>0</v>
      </c>
      <c r="J845" s="11">
        <f t="shared" si="22"/>
        <v>0</v>
      </c>
      <c r="K845" s="11">
        <f>IF(B845&lt;&gt;"", IFERROR(SUMIF(ขายสินค้า!G:G,H845,ขายสินค้า!F:F)/(E845-I845),0),)</f>
        <v>0</v>
      </c>
      <c r="L845" s="12">
        <f t="shared" si="23"/>
        <v>0</v>
      </c>
      <c r="M845" s="13">
        <f t="shared" si="24"/>
        <v>0</v>
      </c>
    </row>
    <row r="846" spans="1:13">
      <c r="A846" s="14"/>
      <c r="B846" s="6"/>
      <c r="C846" s="7">
        <f>IFERROR(VLOOKUP(B846,ชื่อสินค้า!A:C,2,FALSE),)</f>
        <v>0</v>
      </c>
      <c r="D846" s="8" t="str">
        <f>IFERROR(VLOOKUP(B846,ชื่อสินค้า!A:D,4,FALSE),"")</f>
        <v/>
      </c>
      <c r="E846" s="9"/>
      <c r="F846" s="9"/>
      <c r="G846" s="8" t="str">
        <f t="shared" si="20"/>
        <v/>
      </c>
      <c r="H846" s="10">
        <f t="shared" si="21"/>
        <v>0</v>
      </c>
      <c r="I846" s="8">
        <f>IF(G846&lt;&gt;"",E846-SUMIFS(ขายสินค้า!E:E,ขายสินค้า!G:G,H846),)</f>
        <v>0</v>
      </c>
      <c r="J846" s="11">
        <f t="shared" si="22"/>
        <v>0</v>
      </c>
      <c r="K846" s="11">
        <f>IF(B846&lt;&gt;"", IFERROR(SUMIF(ขายสินค้า!G:G,H846,ขายสินค้า!F:F)/(E846-I846),0),)</f>
        <v>0</v>
      </c>
      <c r="L846" s="12">
        <f t="shared" si="23"/>
        <v>0</v>
      </c>
      <c r="M846" s="13">
        <f t="shared" si="24"/>
        <v>0</v>
      </c>
    </row>
    <row r="847" spans="1:13">
      <c r="A847" s="14"/>
      <c r="B847" s="6"/>
      <c r="C847" s="7">
        <f>IFERROR(VLOOKUP(B847,ชื่อสินค้า!A:C,2,FALSE),)</f>
        <v>0</v>
      </c>
      <c r="D847" s="8" t="str">
        <f>IFERROR(VLOOKUP(B847,ชื่อสินค้า!A:D,4,FALSE),"")</f>
        <v/>
      </c>
      <c r="E847" s="9"/>
      <c r="F847" s="9"/>
      <c r="G847" s="8" t="str">
        <f t="shared" si="20"/>
        <v/>
      </c>
      <c r="H847" s="10">
        <f t="shared" si="21"/>
        <v>0</v>
      </c>
      <c r="I847" s="8">
        <f>IF(G847&lt;&gt;"",E847-SUMIFS(ขายสินค้า!E:E,ขายสินค้า!G:G,H847),)</f>
        <v>0</v>
      </c>
      <c r="J847" s="11">
        <f t="shared" si="22"/>
        <v>0</v>
      </c>
      <c r="K847" s="11">
        <f>IF(B847&lt;&gt;"", IFERROR(SUMIF(ขายสินค้า!G:G,H847,ขายสินค้า!F:F)/(E847-I847),0),)</f>
        <v>0</v>
      </c>
      <c r="L847" s="12">
        <f t="shared" si="23"/>
        <v>0</v>
      </c>
      <c r="M847" s="13">
        <f t="shared" si="24"/>
        <v>0</v>
      </c>
    </row>
    <row r="848" spans="1:13">
      <c r="A848" s="14"/>
      <c r="B848" s="6"/>
      <c r="C848" s="7">
        <f>IFERROR(VLOOKUP(B848,ชื่อสินค้า!A:C,2,FALSE),)</f>
        <v>0</v>
      </c>
      <c r="D848" s="8" t="str">
        <f>IFERROR(VLOOKUP(B848,ชื่อสินค้า!A:D,4,FALSE),"")</f>
        <v/>
      </c>
      <c r="E848" s="9"/>
      <c r="F848" s="9"/>
      <c r="G848" s="8" t="str">
        <f t="shared" si="20"/>
        <v/>
      </c>
      <c r="H848" s="10">
        <f t="shared" si="21"/>
        <v>0</v>
      </c>
      <c r="I848" s="8">
        <f>IF(G848&lt;&gt;"",E848-SUMIFS(ขายสินค้า!E:E,ขายสินค้า!G:G,H848),)</f>
        <v>0</v>
      </c>
      <c r="J848" s="11">
        <f t="shared" si="22"/>
        <v>0</v>
      </c>
      <c r="K848" s="11">
        <f>IF(B848&lt;&gt;"", IFERROR(SUMIF(ขายสินค้า!G:G,H848,ขายสินค้า!F:F)/(E848-I848),0),)</f>
        <v>0</v>
      </c>
      <c r="L848" s="12">
        <f t="shared" si="23"/>
        <v>0</v>
      </c>
      <c r="M848" s="13">
        <f t="shared" si="24"/>
        <v>0</v>
      </c>
    </row>
    <row r="849" spans="1:13">
      <c r="A849" s="14"/>
      <c r="B849" s="6"/>
      <c r="C849" s="7">
        <f>IFERROR(VLOOKUP(B849,ชื่อสินค้า!A:C,2,FALSE),)</f>
        <v>0</v>
      </c>
      <c r="D849" s="8" t="str">
        <f>IFERROR(VLOOKUP(B849,ชื่อสินค้า!A:D,4,FALSE),"")</f>
        <v/>
      </c>
      <c r="E849" s="9"/>
      <c r="F849" s="9"/>
      <c r="G849" s="8" t="str">
        <f t="shared" si="20"/>
        <v/>
      </c>
      <c r="H849" s="10">
        <f t="shared" si="21"/>
        <v>0</v>
      </c>
      <c r="I849" s="8">
        <f>IF(G849&lt;&gt;"",E849-SUMIFS(ขายสินค้า!E:E,ขายสินค้า!G:G,H849),)</f>
        <v>0</v>
      </c>
      <c r="J849" s="11">
        <f t="shared" si="22"/>
        <v>0</v>
      </c>
      <c r="K849" s="11">
        <f>IF(B849&lt;&gt;"", IFERROR(SUMIF(ขายสินค้า!G:G,H849,ขายสินค้า!F:F)/(E849-I849),0),)</f>
        <v>0</v>
      </c>
      <c r="L849" s="12">
        <f t="shared" si="23"/>
        <v>0</v>
      </c>
      <c r="M849" s="13">
        <f t="shared" si="24"/>
        <v>0</v>
      </c>
    </row>
    <row r="850" spans="1:13">
      <c r="A850" s="14"/>
      <c r="B850" s="6"/>
      <c r="C850" s="7">
        <f>IFERROR(VLOOKUP(B850,ชื่อสินค้า!A:C,2,FALSE),)</f>
        <v>0</v>
      </c>
      <c r="D850" s="8" t="str">
        <f>IFERROR(VLOOKUP(B850,ชื่อสินค้า!A:D,4,FALSE),"")</f>
        <v/>
      </c>
      <c r="E850" s="9"/>
      <c r="F850" s="9"/>
      <c r="G850" s="8" t="str">
        <f t="shared" si="20"/>
        <v/>
      </c>
      <c r="H850" s="10">
        <f t="shared" si="21"/>
        <v>0</v>
      </c>
      <c r="I850" s="8">
        <f>IF(G850&lt;&gt;"",E850-SUMIFS(ขายสินค้า!E:E,ขายสินค้า!G:G,H850),)</f>
        <v>0</v>
      </c>
      <c r="J850" s="11">
        <f t="shared" si="22"/>
        <v>0</v>
      </c>
      <c r="K850" s="11">
        <f>IF(B850&lt;&gt;"", IFERROR(SUMIF(ขายสินค้า!G:G,H850,ขายสินค้า!F:F)/(E850-I850),0),)</f>
        <v>0</v>
      </c>
      <c r="L850" s="12">
        <f t="shared" si="23"/>
        <v>0</v>
      </c>
      <c r="M850" s="13">
        <f t="shared" si="24"/>
        <v>0</v>
      </c>
    </row>
    <row r="851" spans="1:13">
      <c r="A851" s="14"/>
      <c r="B851" s="6"/>
      <c r="C851" s="7">
        <f>IFERROR(VLOOKUP(B851,ชื่อสินค้า!A:C,2,FALSE),)</f>
        <v>0</v>
      </c>
      <c r="D851" s="8" t="str">
        <f>IFERROR(VLOOKUP(B851,ชื่อสินค้า!A:D,4,FALSE),"")</f>
        <v/>
      </c>
      <c r="E851" s="9"/>
      <c r="F851" s="9"/>
      <c r="G851" s="8" t="str">
        <f t="shared" si="20"/>
        <v/>
      </c>
      <c r="H851" s="10">
        <f t="shared" si="21"/>
        <v>0</v>
      </c>
      <c r="I851" s="8">
        <f>IF(G851&lt;&gt;"",E851-SUMIFS(ขายสินค้า!E:E,ขายสินค้า!G:G,H851),)</f>
        <v>0</v>
      </c>
      <c r="J851" s="11">
        <f t="shared" si="22"/>
        <v>0</v>
      </c>
      <c r="K851" s="11">
        <f>IF(B851&lt;&gt;"", IFERROR(SUMIF(ขายสินค้า!G:G,H851,ขายสินค้า!F:F)/(E851-I851),0),)</f>
        <v>0</v>
      </c>
      <c r="L851" s="12">
        <f t="shared" si="23"/>
        <v>0</v>
      </c>
      <c r="M851" s="13">
        <f t="shared" si="24"/>
        <v>0</v>
      </c>
    </row>
    <row r="852" spans="1:13">
      <c r="A852" s="14"/>
      <c r="B852" s="6"/>
      <c r="C852" s="7">
        <f>IFERROR(VLOOKUP(B852,ชื่อสินค้า!A:C,2,FALSE),)</f>
        <v>0</v>
      </c>
      <c r="D852" s="8" t="str">
        <f>IFERROR(VLOOKUP(B852,ชื่อสินค้า!A:D,4,FALSE),"")</f>
        <v/>
      </c>
      <c r="E852" s="9"/>
      <c r="F852" s="9"/>
      <c r="G852" s="8" t="str">
        <f t="shared" si="20"/>
        <v/>
      </c>
      <c r="H852" s="10">
        <f t="shared" si="21"/>
        <v>0</v>
      </c>
      <c r="I852" s="8">
        <f>IF(G852&lt;&gt;"",E852-SUMIFS(ขายสินค้า!E:E,ขายสินค้า!G:G,H852),)</f>
        <v>0</v>
      </c>
      <c r="J852" s="11">
        <f t="shared" si="22"/>
        <v>0</v>
      </c>
      <c r="K852" s="11">
        <f>IF(B852&lt;&gt;"", IFERROR(SUMIF(ขายสินค้า!G:G,H852,ขายสินค้า!F:F)/(E852-I852),0),)</f>
        <v>0</v>
      </c>
      <c r="L852" s="12">
        <f t="shared" si="23"/>
        <v>0</v>
      </c>
      <c r="M852" s="13">
        <f t="shared" si="24"/>
        <v>0</v>
      </c>
    </row>
    <row r="853" spans="1:13">
      <c r="A853" s="14"/>
      <c r="B853" s="6"/>
      <c r="C853" s="7">
        <f>IFERROR(VLOOKUP(B853,ชื่อสินค้า!A:C,2,FALSE),)</f>
        <v>0</v>
      </c>
      <c r="D853" s="8" t="str">
        <f>IFERROR(VLOOKUP(B853,ชื่อสินค้า!A:D,4,FALSE),"")</f>
        <v/>
      </c>
      <c r="E853" s="9"/>
      <c r="F853" s="9"/>
      <c r="G853" s="8" t="str">
        <f t="shared" si="20"/>
        <v/>
      </c>
      <c r="H853" s="10">
        <f t="shared" si="21"/>
        <v>0</v>
      </c>
      <c r="I853" s="8">
        <f>IF(G853&lt;&gt;"",E853-SUMIFS(ขายสินค้า!E:E,ขายสินค้า!G:G,H853),)</f>
        <v>0</v>
      </c>
      <c r="J853" s="11">
        <f t="shared" si="22"/>
        <v>0</v>
      </c>
      <c r="K853" s="11">
        <f>IF(B853&lt;&gt;"", IFERROR(SUMIF(ขายสินค้า!G:G,H853,ขายสินค้า!F:F)/(E853-I853),0),)</f>
        <v>0</v>
      </c>
      <c r="L853" s="12">
        <f t="shared" si="23"/>
        <v>0</v>
      </c>
      <c r="M853" s="13">
        <f t="shared" si="24"/>
        <v>0</v>
      </c>
    </row>
    <row r="854" spans="1:13">
      <c r="A854" s="14"/>
      <c r="B854" s="6"/>
      <c r="C854" s="7">
        <f>IFERROR(VLOOKUP(B854,ชื่อสินค้า!A:C,2,FALSE),)</f>
        <v>0</v>
      </c>
      <c r="D854" s="8" t="str">
        <f>IFERROR(VLOOKUP(B854,ชื่อสินค้า!A:D,4,FALSE),"")</f>
        <v/>
      </c>
      <c r="E854" s="9"/>
      <c r="F854" s="9"/>
      <c r="G854" s="8" t="str">
        <f t="shared" si="20"/>
        <v/>
      </c>
      <c r="H854" s="10">
        <f t="shared" si="21"/>
        <v>0</v>
      </c>
      <c r="I854" s="8">
        <f>IF(G854&lt;&gt;"",E854-SUMIFS(ขายสินค้า!E:E,ขายสินค้า!G:G,H854),)</f>
        <v>0</v>
      </c>
      <c r="J854" s="11">
        <f t="shared" si="22"/>
        <v>0</v>
      </c>
      <c r="K854" s="11">
        <f>IF(B854&lt;&gt;"", IFERROR(SUMIF(ขายสินค้า!G:G,H854,ขายสินค้า!F:F)/(E854-I854),0),)</f>
        <v>0</v>
      </c>
      <c r="L854" s="12">
        <f t="shared" si="23"/>
        <v>0</v>
      </c>
      <c r="M854" s="13">
        <f t="shared" si="24"/>
        <v>0</v>
      </c>
    </row>
    <row r="855" spans="1:13">
      <c r="A855" s="14"/>
      <c r="B855" s="6"/>
      <c r="C855" s="7">
        <f>IFERROR(VLOOKUP(B855,ชื่อสินค้า!A:C,2,FALSE),)</f>
        <v>0</v>
      </c>
      <c r="D855" s="8" t="str">
        <f>IFERROR(VLOOKUP(B855,ชื่อสินค้า!A:D,4,FALSE),"")</f>
        <v/>
      </c>
      <c r="E855" s="9"/>
      <c r="F855" s="9"/>
      <c r="G855" s="8" t="str">
        <f t="shared" si="20"/>
        <v/>
      </c>
      <c r="H855" s="10">
        <f t="shared" si="21"/>
        <v>0</v>
      </c>
      <c r="I855" s="8">
        <f>IF(G855&lt;&gt;"",E855-SUMIFS(ขายสินค้า!E:E,ขายสินค้า!G:G,H855),)</f>
        <v>0</v>
      </c>
      <c r="J855" s="11">
        <f t="shared" si="22"/>
        <v>0</v>
      </c>
      <c r="K855" s="11">
        <f>IF(B855&lt;&gt;"", IFERROR(SUMIF(ขายสินค้า!G:G,H855,ขายสินค้า!F:F)/(E855-I855),0),)</f>
        <v>0</v>
      </c>
      <c r="L855" s="12">
        <f t="shared" si="23"/>
        <v>0</v>
      </c>
      <c r="M855" s="13">
        <f t="shared" si="24"/>
        <v>0</v>
      </c>
    </row>
    <row r="856" spans="1:13">
      <c r="A856" s="14"/>
      <c r="B856" s="6"/>
      <c r="C856" s="7">
        <f>IFERROR(VLOOKUP(B856,ชื่อสินค้า!A:C,2,FALSE),)</f>
        <v>0</v>
      </c>
      <c r="D856" s="8" t="str">
        <f>IFERROR(VLOOKUP(B856,ชื่อสินค้า!A:D,4,FALSE),"")</f>
        <v/>
      </c>
      <c r="E856" s="9"/>
      <c r="F856" s="9"/>
      <c r="G856" s="8" t="str">
        <f t="shared" si="20"/>
        <v/>
      </c>
      <c r="H856" s="10">
        <f t="shared" si="21"/>
        <v>0</v>
      </c>
      <c r="I856" s="8">
        <f>IF(G856&lt;&gt;"",E856-SUMIFS(ขายสินค้า!E:E,ขายสินค้า!G:G,H856),)</f>
        <v>0</v>
      </c>
      <c r="J856" s="11">
        <f t="shared" si="22"/>
        <v>0</v>
      </c>
      <c r="K856" s="11">
        <f>IF(B856&lt;&gt;"", IFERROR(SUMIF(ขายสินค้า!G:G,H856,ขายสินค้า!F:F)/(E856-I856),0),)</f>
        <v>0</v>
      </c>
      <c r="L856" s="12">
        <f t="shared" si="23"/>
        <v>0</v>
      </c>
      <c r="M856" s="13">
        <f t="shared" si="24"/>
        <v>0</v>
      </c>
    </row>
    <row r="857" spans="1:13">
      <c r="A857" s="14"/>
      <c r="B857" s="6"/>
      <c r="C857" s="7">
        <f>IFERROR(VLOOKUP(B857,ชื่อสินค้า!A:C,2,FALSE),)</f>
        <v>0</v>
      </c>
      <c r="D857" s="8" t="str">
        <f>IFERROR(VLOOKUP(B857,ชื่อสินค้า!A:D,4,FALSE),"")</f>
        <v/>
      </c>
      <c r="E857" s="9"/>
      <c r="F857" s="9"/>
      <c r="G857" s="8" t="str">
        <f t="shared" si="20"/>
        <v/>
      </c>
      <c r="H857" s="10">
        <f t="shared" si="21"/>
        <v>0</v>
      </c>
      <c r="I857" s="8">
        <f>IF(G857&lt;&gt;"",E857-SUMIFS(ขายสินค้า!E:E,ขายสินค้า!G:G,H857),)</f>
        <v>0</v>
      </c>
      <c r="J857" s="11">
        <f t="shared" si="22"/>
        <v>0</v>
      </c>
      <c r="K857" s="11">
        <f>IF(B857&lt;&gt;"", IFERROR(SUMIF(ขายสินค้า!G:G,H857,ขายสินค้า!F:F)/(E857-I857),0),)</f>
        <v>0</v>
      </c>
      <c r="L857" s="12">
        <f t="shared" si="23"/>
        <v>0</v>
      </c>
      <c r="M857" s="13">
        <f t="shared" si="24"/>
        <v>0</v>
      </c>
    </row>
    <row r="858" spans="1:13">
      <c r="A858" s="14"/>
      <c r="B858" s="6"/>
      <c r="C858" s="7">
        <f>IFERROR(VLOOKUP(B858,ชื่อสินค้า!A:C,2,FALSE),)</f>
        <v>0</v>
      </c>
      <c r="D858" s="8" t="str">
        <f>IFERROR(VLOOKUP(B858,ชื่อสินค้า!A:D,4,FALSE),"")</f>
        <v/>
      </c>
      <c r="E858" s="9"/>
      <c r="F858" s="9"/>
      <c r="G858" s="8" t="str">
        <f t="shared" si="20"/>
        <v/>
      </c>
      <c r="H858" s="10">
        <f t="shared" si="21"/>
        <v>0</v>
      </c>
      <c r="I858" s="8">
        <f>IF(G858&lt;&gt;"",E858-SUMIFS(ขายสินค้า!E:E,ขายสินค้า!G:G,H858),)</f>
        <v>0</v>
      </c>
      <c r="J858" s="11">
        <f t="shared" si="22"/>
        <v>0</v>
      </c>
      <c r="K858" s="11">
        <f>IF(B858&lt;&gt;"", IFERROR(SUMIF(ขายสินค้า!G:G,H858,ขายสินค้า!F:F)/(E858-I858),0),)</f>
        <v>0</v>
      </c>
      <c r="L858" s="12">
        <f t="shared" si="23"/>
        <v>0</v>
      </c>
      <c r="M858" s="13">
        <f t="shared" si="24"/>
        <v>0</v>
      </c>
    </row>
    <row r="859" spans="1:13">
      <c r="A859" s="14"/>
      <c r="B859" s="6"/>
      <c r="C859" s="7">
        <f>IFERROR(VLOOKUP(B859,ชื่อสินค้า!A:C,2,FALSE),)</f>
        <v>0</v>
      </c>
      <c r="D859" s="8" t="str">
        <f>IFERROR(VLOOKUP(B859,ชื่อสินค้า!A:D,4,FALSE),"")</f>
        <v/>
      </c>
      <c r="E859" s="9"/>
      <c r="F859" s="9"/>
      <c r="G859" s="8" t="str">
        <f t="shared" si="20"/>
        <v/>
      </c>
      <c r="H859" s="10">
        <f t="shared" si="21"/>
        <v>0</v>
      </c>
      <c r="I859" s="8">
        <f>IF(G859&lt;&gt;"",E859-SUMIFS(ขายสินค้า!E:E,ขายสินค้า!G:G,H859),)</f>
        <v>0</v>
      </c>
      <c r="J859" s="11">
        <f t="shared" si="22"/>
        <v>0</v>
      </c>
      <c r="K859" s="11">
        <f>IF(B859&lt;&gt;"", IFERROR(SUMIF(ขายสินค้า!G:G,H859,ขายสินค้า!F:F)/(E859-I859),0),)</f>
        <v>0</v>
      </c>
      <c r="L859" s="12">
        <f t="shared" si="23"/>
        <v>0</v>
      </c>
      <c r="M859" s="13">
        <f t="shared" si="24"/>
        <v>0</v>
      </c>
    </row>
    <row r="860" spans="1:13">
      <c r="A860" s="14"/>
      <c r="B860" s="6"/>
      <c r="C860" s="7">
        <f>IFERROR(VLOOKUP(B860,ชื่อสินค้า!A:C,2,FALSE),)</f>
        <v>0</v>
      </c>
      <c r="D860" s="8" t="str">
        <f>IFERROR(VLOOKUP(B860,ชื่อสินค้า!A:D,4,FALSE),"")</f>
        <v/>
      </c>
      <c r="E860" s="9"/>
      <c r="F860" s="9"/>
      <c r="G860" s="8" t="str">
        <f t="shared" si="20"/>
        <v/>
      </c>
      <c r="H860" s="10">
        <f t="shared" si="21"/>
        <v>0</v>
      </c>
      <c r="I860" s="8">
        <f>IF(G860&lt;&gt;"",E860-SUMIFS(ขายสินค้า!E:E,ขายสินค้า!G:G,H860),)</f>
        <v>0</v>
      </c>
      <c r="J860" s="11">
        <f t="shared" si="22"/>
        <v>0</v>
      </c>
      <c r="K860" s="11">
        <f>IF(B860&lt;&gt;"", IFERROR(SUMIF(ขายสินค้า!G:G,H860,ขายสินค้า!F:F)/(E860-I860),0),)</f>
        <v>0</v>
      </c>
      <c r="L860" s="12">
        <f t="shared" si="23"/>
        <v>0</v>
      </c>
      <c r="M860" s="13">
        <f t="shared" si="24"/>
        <v>0</v>
      </c>
    </row>
    <row r="861" spans="1:13">
      <c r="A861" s="14"/>
      <c r="B861" s="6"/>
      <c r="C861" s="7">
        <f>IFERROR(VLOOKUP(B861,ชื่อสินค้า!A:C,2,FALSE),)</f>
        <v>0</v>
      </c>
      <c r="D861" s="8" t="str">
        <f>IFERROR(VLOOKUP(B861,ชื่อสินค้า!A:D,4,FALSE),"")</f>
        <v/>
      </c>
      <c r="E861" s="9"/>
      <c r="F861" s="9"/>
      <c r="G861" s="8" t="str">
        <f t="shared" si="20"/>
        <v/>
      </c>
      <c r="H861" s="10">
        <f t="shared" si="21"/>
        <v>0</v>
      </c>
      <c r="I861" s="8">
        <f>IF(G861&lt;&gt;"",E861-SUMIFS(ขายสินค้า!E:E,ขายสินค้า!G:G,H861),)</f>
        <v>0</v>
      </c>
      <c r="J861" s="11">
        <f t="shared" si="22"/>
        <v>0</v>
      </c>
      <c r="K861" s="11">
        <f>IF(B861&lt;&gt;"", IFERROR(SUMIF(ขายสินค้า!G:G,H861,ขายสินค้า!F:F)/(E861-I861),0),)</f>
        <v>0</v>
      </c>
      <c r="L861" s="12">
        <f t="shared" si="23"/>
        <v>0</v>
      </c>
      <c r="M861" s="13">
        <f t="shared" si="24"/>
        <v>0</v>
      </c>
    </row>
    <row r="862" spans="1:13">
      <c r="A862" s="14"/>
      <c r="B862" s="6"/>
      <c r="C862" s="7">
        <f>IFERROR(VLOOKUP(B862,ชื่อสินค้า!A:C,2,FALSE),)</f>
        <v>0</v>
      </c>
      <c r="D862" s="8" t="str">
        <f>IFERROR(VLOOKUP(B862,ชื่อสินค้า!A:D,4,FALSE),"")</f>
        <v/>
      </c>
      <c r="E862" s="9"/>
      <c r="F862" s="9"/>
      <c r="G862" s="8" t="str">
        <f t="shared" si="20"/>
        <v/>
      </c>
      <c r="H862" s="10">
        <f t="shared" si="21"/>
        <v>0</v>
      </c>
      <c r="I862" s="8">
        <f>IF(G862&lt;&gt;"",E862-SUMIFS(ขายสินค้า!E:E,ขายสินค้า!G:G,H862),)</f>
        <v>0</v>
      </c>
      <c r="J862" s="11">
        <f t="shared" si="22"/>
        <v>0</v>
      </c>
      <c r="K862" s="11">
        <f>IF(B862&lt;&gt;"", IFERROR(SUMIF(ขายสินค้า!G:G,H862,ขายสินค้า!F:F)/(E862-I862),0),)</f>
        <v>0</v>
      </c>
      <c r="L862" s="12">
        <f t="shared" si="23"/>
        <v>0</v>
      </c>
      <c r="M862" s="13">
        <f t="shared" si="24"/>
        <v>0</v>
      </c>
    </row>
    <row r="863" spans="1:13">
      <c r="A863" s="14"/>
      <c r="B863" s="6"/>
      <c r="C863" s="7">
        <f>IFERROR(VLOOKUP(B863,ชื่อสินค้า!A:C,2,FALSE),)</f>
        <v>0</v>
      </c>
      <c r="D863" s="8" t="str">
        <f>IFERROR(VLOOKUP(B863,ชื่อสินค้า!A:D,4,FALSE),"")</f>
        <v/>
      </c>
      <c r="E863" s="9"/>
      <c r="F863" s="9"/>
      <c r="G863" s="8" t="str">
        <f t="shared" si="20"/>
        <v/>
      </c>
      <c r="H863" s="10">
        <f t="shared" si="21"/>
        <v>0</v>
      </c>
      <c r="I863" s="8">
        <f>IF(G863&lt;&gt;"",E863-SUMIFS(ขายสินค้า!E:E,ขายสินค้า!G:G,H863),)</f>
        <v>0</v>
      </c>
      <c r="J863" s="11">
        <f t="shared" si="22"/>
        <v>0</v>
      </c>
      <c r="K863" s="11">
        <f>IF(B863&lt;&gt;"", IFERROR(SUMIF(ขายสินค้า!G:G,H863,ขายสินค้า!F:F)/(E863-I863),0),)</f>
        <v>0</v>
      </c>
      <c r="L863" s="12">
        <f t="shared" si="23"/>
        <v>0</v>
      </c>
      <c r="M863" s="13">
        <f t="shared" si="24"/>
        <v>0</v>
      </c>
    </row>
    <row r="864" spans="1:13">
      <c r="A864" s="14"/>
      <c r="B864" s="6"/>
      <c r="C864" s="7">
        <f>IFERROR(VLOOKUP(B864,ชื่อสินค้า!A:C,2,FALSE),)</f>
        <v>0</v>
      </c>
      <c r="D864" s="8" t="str">
        <f>IFERROR(VLOOKUP(B864,ชื่อสินค้า!A:D,4,FALSE),"")</f>
        <v/>
      </c>
      <c r="E864" s="9"/>
      <c r="F864" s="9"/>
      <c r="G864" s="8" t="str">
        <f t="shared" si="20"/>
        <v/>
      </c>
      <c r="H864" s="10">
        <f t="shared" si="21"/>
        <v>0</v>
      </c>
      <c r="I864" s="8">
        <f>IF(G864&lt;&gt;"",E864-SUMIFS(ขายสินค้า!E:E,ขายสินค้า!G:G,H864),)</f>
        <v>0</v>
      </c>
      <c r="J864" s="11">
        <f t="shared" si="22"/>
        <v>0</v>
      </c>
      <c r="K864" s="11">
        <f>IF(B864&lt;&gt;"", IFERROR(SUMIF(ขายสินค้า!G:G,H864,ขายสินค้า!F:F)/(E864-I864),0),)</f>
        <v>0</v>
      </c>
      <c r="L864" s="12">
        <f t="shared" si="23"/>
        <v>0</v>
      </c>
      <c r="M864" s="13">
        <f t="shared" si="24"/>
        <v>0</v>
      </c>
    </row>
    <row r="865" spans="1:13">
      <c r="A865" s="14"/>
      <c r="B865" s="6"/>
      <c r="C865" s="7">
        <f>IFERROR(VLOOKUP(B865,ชื่อสินค้า!A:C,2,FALSE),)</f>
        <v>0</v>
      </c>
      <c r="D865" s="8" t="str">
        <f>IFERROR(VLOOKUP(B865,ชื่อสินค้า!A:D,4,FALSE),"")</f>
        <v/>
      </c>
      <c r="E865" s="9"/>
      <c r="F865" s="9"/>
      <c r="G865" s="8" t="str">
        <f t="shared" si="20"/>
        <v/>
      </c>
      <c r="H865" s="10">
        <f t="shared" si="21"/>
        <v>0</v>
      </c>
      <c r="I865" s="8">
        <f>IF(G865&lt;&gt;"",E865-SUMIFS(ขายสินค้า!E:E,ขายสินค้า!G:G,H865),)</f>
        <v>0</v>
      </c>
      <c r="J865" s="11">
        <f t="shared" si="22"/>
        <v>0</v>
      </c>
      <c r="K865" s="11">
        <f>IF(B865&lt;&gt;"", IFERROR(SUMIF(ขายสินค้า!G:G,H865,ขายสินค้า!F:F)/(E865-I865),0),)</f>
        <v>0</v>
      </c>
      <c r="L865" s="12">
        <f t="shared" si="23"/>
        <v>0</v>
      </c>
      <c r="M865" s="13">
        <f t="shared" si="24"/>
        <v>0</v>
      </c>
    </row>
    <row r="866" spans="1:13">
      <c r="A866" s="14"/>
      <c r="B866" s="6"/>
      <c r="C866" s="7">
        <f>IFERROR(VLOOKUP(B866,ชื่อสินค้า!A:C,2,FALSE),)</f>
        <v>0</v>
      </c>
      <c r="D866" s="8" t="str">
        <f>IFERROR(VLOOKUP(B866,ชื่อสินค้า!A:D,4,FALSE),"")</f>
        <v/>
      </c>
      <c r="E866" s="9"/>
      <c r="F866" s="9"/>
      <c r="G866" s="8" t="str">
        <f t="shared" si="20"/>
        <v/>
      </c>
      <c r="H866" s="10">
        <f t="shared" si="21"/>
        <v>0</v>
      </c>
      <c r="I866" s="8">
        <f>IF(G866&lt;&gt;"",E866-SUMIFS(ขายสินค้า!E:E,ขายสินค้า!G:G,H866),)</f>
        <v>0</v>
      </c>
      <c r="J866" s="11">
        <f t="shared" si="22"/>
        <v>0</v>
      </c>
      <c r="K866" s="11">
        <f>IF(B866&lt;&gt;"", IFERROR(SUMIF(ขายสินค้า!G:G,H866,ขายสินค้า!F:F)/(E866-I866),0),)</f>
        <v>0</v>
      </c>
      <c r="L866" s="12">
        <f t="shared" si="23"/>
        <v>0</v>
      </c>
      <c r="M866" s="13">
        <f t="shared" si="24"/>
        <v>0</v>
      </c>
    </row>
    <row r="867" spans="1:13">
      <c r="A867" s="14"/>
      <c r="B867" s="6"/>
      <c r="C867" s="7">
        <f>IFERROR(VLOOKUP(B867,ชื่อสินค้า!A:C,2,FALSE),)</f>
        <v>0</v>
      </c>
      <c r="D867" s="8" t="str">
        <f>IFERROR(VLOOKUP(B867,ชื่อสินค้า!A:D,4,FALSE),"")</f>
        <v/>
      </c>
      <c r="E867" s="9"/>
      <c r="F867" s="9"/>
      <c r="G867" s="8" t="str">
        <f t="shared" si="20"/>
        <v/>
      </c>
      <c r="H867" s="10">
        <f t="shared" si="21"/>
        <v>0</v>
      </c>
      <c r="I867" s="8">
        <f>IF(G867&lt;&gt;"",E867-SUMIFS(ขายสินค้า!E:E,ขายสินค้า!G:G,H867),)</f>
        <v>0</v>
      </c>
      <c r="J867" s="11">
        <f t="shared" si="22"/>
        <v>0</v>
      </c>
      <c r="K867" s="11">
        <f>IF(B867&lt;&gt;"", IFERROR(SUMIF(ขายสินค้า!G:G,H867,ขายสินค้า!F:F)/(E867-I867),0),)</f>
        <v>0</v>
      </c>
      <c r="L867" s="12">
        <f t="shared" si="23"/>
        <v>0</v>
      </c>
      <c r="M867" s="13">
        <f t="shared" si="24"/>
        <v>0</v>
      </c>
    </row>
    <row r="868" spans="1:13">
      <c r="A868" s="14"/>
      <c r="B868" s="6"/>
      <c r="C868" s="7">
        <f>IFERROR(VLOOKUP(B868,ชื่อสินค้า!A:C,2,FALSE),)</f>
        <v>0</v>
      </c>
      <c r="D868" s="8" t="str">
        <f>IFERROR(VLOOKUP(B868,ชื่อสินค้า!A:D,4,FALSE),"")</f>
        <v/>
      </c>
      <c r="E868" s="9"/>
      <c r="F868" s="9"/>
      <c r="G868" s="8" t="str">
        <f t="shared" si="20"/>
        <v/>
      </c>
      <c r="H868" s="10">
        <f t="shared" si="21"/>
        <v>0</v>
      </c>
      <c r="I868" s="8">
        <f>IF(G868&lt;&gt;"",E868-SUMIFS(ขายสินค้า!E:E,ขายสินค้า!G:G,H868),)</f>
        <v>0</v>
      </c>
      <c r="J868" s="11">
        <f t="shared" si="22"/>
        <v>0</v>
      </c>
      <c r="K868" s="11">
        <f>IF(B868&lt;&gt;"", IFERROR(SUMIF(ขายสินค้า!G:G,H868,ขายสินค้า!F:F)/(E868-I868),0),)</f>
        <v>0</v>
      </c>
      <c r="L868" s="12">
        <f t="shared" si="23"/>
        <v>0</v>
      </c>
      <c r="M868" s="13">
        <f t="shared" si="24"/>
        <v>0</v>
      </c>
    </row>
    <row r="869" spans="1:13">
      <c r="A869" s="14"/>
      <c r="B869" s="6"/>
      <c r="C869" s="7">
        <f>IFERROR(VLOOKUP(B869,ชื่อสินค้า!A:C,2,FALSE),)</f>
        <v>0</v>
      </c>
      <c r="D869" s="8" t="str">
        <f>IFERROR(VLOOKUP(B869,ชื่อสินค้า!A:D,4,FALSE),"")</f>
        <v/>
      </c>
      <c r="E869" s="9"/>
      <c r="F869" s="9"/>
      <c r="G869" s="8" t="str">
        <f t="shared" si="20"/>
        <v/>
      </c>
      <c r="H869" s="10">
        <f t="shared" si="21"/>
        <v>0</v>
      </c>
      <c r="I869" s="8">
        <f>IF(G869&lt;&gt;"",E869-SUMIFS(ขายสินค้า!E:E,ขายสินค้า!G:G,H869),)</f>
        <v>0</v>
      </c>
      <c r="J869" s="11">
        <f t="shared" si="22"/>
        <v>0</v>
      </c>
      <c r="K869" s="11">
        <f>IF(B869&lt;&gt;"", IFERROR(SUMIF(ขายสินค้า!G:G,H869,ขายสินค้า!F:F)/(E869-I869),0),)</f>
        <v>0</v>
      </c>
      <c r="L869" s="12">
        <f t="shared" si="23"/>
        <v>0</v>
      </c>
      <c r="M869" s="13">
        <f t="shared" si="24"/>
        <v>0</v>
      </c>
    </row>
    <row r="870" spans="1:13">
      <c r="A870" s="14"/>
      <c r="B870" s="6"/>
      <c r="C870" s="7">
        <f>IFERROR(VLOOKUP(B870,ชื่อสินค้า!A:C,2,FALSE),)</f>
        <v>0</v>
      </c>
      <c r="D870" s="8" t="str">
        <f>IFERROR(VLOOKUP(B870,ชื่อสินค้า!A:D,4,FALSE),"")</f>
        <v/>
      </c>
      <c r="E870" s="9"/>
      <c r="F870" s="9"/>
      <c r="G870" s="8" t="str">
        <f t="shared" si="20"/>
        <v/>
      </c>
      <c r="H870" s="10">
        <f t="shared" si="21"/>
        <v>0</v>
      </c>
      <c r="I870" s="8">
        <f>IF(G870&lt;&gt;"",E870-SUMIFS(ขายสินค้า!E:E,ขายสินค้า!G:G,H870),)</f>
        <v>0</v>
      </c>
      <c r="J870" s="11">
        <f t="shared" si="22"/>
        <v>0</v>
      </c>
      <c r="K870" s="11">
        <f>IF(B870&lt;&gt;"", IFERROR(SUMIF(ขายสินค้า!G:G,H870,ขายสินค้า!F:F)/(E870-I870),0),)</f>
        <v>0</v>
      </c>
      <c r="L870" s="12">
        <f t="shared" si="23"/>
        <v>0</v>
      </c>
      <c r="M870" s="13">
        <f t="shared" si="24"/>
        <v>0</v>
      </c>
    </row>
    <row r="871" spans="1:13">
      <c r="A871" s="14"/>
      <c r="B871" s="6"/>
      <c r="C871" s="7">
        <f>IFERROR(VLOOKUP(B871,ชื่อสินค้า!A:C,2,FALSE),)</f>
        <v>0</v>
      </c>
      <c r="D871" s="8" t="str">
        <f>IFERROR(VLOOKUP(B871,ชื่อสินค้า!A:D,4,FALSE),"")</f>
        <v/>
      </c>
      <c r="E871" s="9"/>
      <c r="F871" s="9"/>
      <c r="G871" s="8" t="str">
        <f t="shared" si="20"/>
        <v/>
      </c>
      <c r="H871" s="10">
        <f t="shared" si="21"/>
        <v>0</v>
      </c>
      <c r="I871" s="8">
        <f>IF(G871&lt;&gt;"",E871-SUMIFS(ขายสินค้า!E:E,ขายสินค้า!G:G,H871),)</f>
        <v>0</v>
      </c>
      <c r="J871" s="11">
        <f t="shared" si="22"/>
        <v>0</v>
      </c>
      <c r="K871" s="11">
        <f>IF(B871&lt;&gt;"", IFERROR(SUMIF(ขายสินค้า!G:G,H871,ขายสินค้า!F:F)/(E871-I871),0),)</f>
        <v>0</v>
      </c>
      <c r="L871" s="12">
        <f t="shared" si="23"/>
        <v>0</v>
      </c>
      <c r="M871" s="13">
        <f t="shared" si="24"/>
        <v>0</v>
      </c>
    </row>
    <row r="872" spans="1:13">
      <c r="A872" s="14"/>
      <c r="B872" s="6"/>
      <c r="C872" s="7">
        <f>IFERROR(VLOOKUP(B872,ชื่อสินค้า!A:C,2,FALSE),)</f>
        <v>0</v>
      </c>
      <c r="D872" s="8" t="str">
        <f>IFERROR(VLOOKUP(B872,ชื่อสินค้า!A:D,4,FALSE),"")</f>
        <v/>
      </c>
      <c r="E872" s="9"/>
      <c r="F872" s="9"/>
      <c r="G872" s="8" t="str">
        <f t="shared" si="20"/>
        <v/>
      </c>
      <c r="H872" s="10">
        <f t="shared" si="21"/>
        <v>0</v>
      </c>
      <c r="I872" s="8">
        <f>IF(G872&lt;&gt;"",E872-SUMIFS(ขายสินค้า!E:E,ขายสินค้า!G:G,H872),)</f>
        <v>0</v>
      </c>
      <c r="J872" s="11">
        <f t="shared" si="22"/>
        <v>0</v>
      </c>
      <c r="K872" s="11">
        <f>IF(B872&lt;&gt;"", IFERROR(SUMIF(ขายสินค้า!G:G,H872,ขายสินค้า!F:F)/(E872-I872),0),)</f>
        <v>0</v>
      </c>
      <c r="L872" s="12">
        <f t="shared" si="23"/>
        <v>0</v>
      </c>
      <c r="M872" s="13">
        <f t="shared" si="24"/>
        <v>0</v>
      </c>
    </row>
    <row r="873" spans="1:13">
      <c r="A873" s="14"/>
      <c r="B873" s="6"/>
      <c r="C873" s="7">
        <f>IFERROR(VLOOKUP(B873,ชื่อสินค้า!A:C,2,FALSE),)</f>
        <v>0</v>
      </c>
      <c r="D873" s="8" t="str">
        <f>IFERROR(VLOOKUP(B873,ชื่อสินค้า!A:D,4,FALSE),"")</f>
        <v/>
      </c>
      <c r="E873" s="9"/>
      <c r="F873" s="9"/>
      <c r="G873" s="8" t="str">
        <f t="shared" si="20"/>
        <v/>
      </c>
      <c r="H873" s="10">
        <f t="shared" si="21"/>
        <v>0</v>
      </c>
      <c r="I873" s="8">
        <f>IF(G873&lt;&gt;"",E873-SUMIFS(ขายสินค้า!E:E,ขายสินค้า!G:G,H873),)</f>
        <v>0</v>
      </c>
      <c r="J873" s="11">
        <f t="shared" si="22"/>
        <v>0</v>
      </c>
      <c r="K873" s="11">
        <f>IF(B873&lt;&gt;"", IFERROR(SUMIF(ขายสินค้า!G:G,H873,ขายสินค้า!F:F)/(E873-I873),0),)</f>
        <v>0</v>
      </c>
      <c r="L873" s="12">
        <f t="shared" si="23"/>
        <v>0</v>
      </c>
      <c r="M873" s="13">
        <f t="shared" si="24"/>
        <v>0</v>
      </c>
    </row>
    <row r="874" spans="1:13">
      <c r="A874" s="14"/>
      <c r="B874" s="6"/>
      <c r="C874" s="7">
        <f>IFERROR(VLOOKUP(B874,ชื่อสินค้า!A:C,2,FALSE),)</f>
        <v>0</v>
      </c>
      <c r="D874" s="8" t="str">
        <f>IFERROR(VLOOKUP(B874,ชื่อสินค้า!A:D,4,FALSE),"")</f>
        <v/>
      </c>
      <c r="E874" s="9"/>
      <c r="F874" s="9"/>
      <c r="G874" s="8" t="str">
        <f t="shared" si="20"/>
        <v/>
      </c>
      <c r="H874" s="10">
        <f t="shared" si="21"/>
        <v>0</v>
      </c>
      <c r="I874" s="8">
        <f>IF(G874&lt;&gt;"",E874-SUMIFS(ขายสินค้า!E:E,ขายสินค้า!G:G,H874),)</f>
        <v>0</v>
      </c>
      <c r="J874" s="11">
        <f t="shared" si="22"/>
        <v>0</v>
      </c>
      <c r="K874" s="11">
        <f>IF(B874&lt;&gt;"", IFERROR(SUMIF(ขายสินค้า!G:G,H874,ขายสินค้า!F:F)/(E874-I874),0),)</f>
        <v>0</v>
      </c>
      <c r="L874" s="12">
        <f t="shared" si="23"/>
        <v>0</v>
      </c>
      <c r="M874" s="13">
        <f t="shared" si="24"/>
        <v>0</v>
      </c>
    </row>
    <row r="875" spans="1:13">
      <c r="A875" s="14"/>
      <c r="B875" s="6"/>
      <c r="C875" s="7">
        <f>IFERROR(VLOOKUP(B875,ชื่อสินค้า!A:C,2,FALSE),)</f>
        <v>0</v>
      </c>
      <c r="D875" s="8" t="str">
        <f>IFERROR(VLOOKUP(B875,ชื่อสินค้า!A:D,4,FALSE),"")</f>
        <v/>
      </c>
      <c r="E875" s="9"/>
      <c r="F875" s="9"/>
      <c r="G875" s="8" t="str">
        <f t="shared" si="20"/>
        <v/>
      </c>
      <c r="H875" s="10">
        <f t="shared" si="21"/>
        <v>0</v>
      </c>
      <c r="I875" s="8">
        <f>IF(G875&lt;&gt;"",E875-SUMIFS(ขายสินค้า!E:E,ขายสินค้า!G:G,H875),)</f>
        <v>0</v>
      </c>
      <c r="J875" s="11">
        <f t="shared" si="22"/>
        <v>0</v>
      </c>
      <c r="K875" s="11">
        <f>IF(B875&lt;&gt;"", IFERROR(SUMIF(ขายสินค้า!G:G,H875,ขายสินค้า!F:F)/(E875-I875),0),)</f>
        <v>0</v>
      </c>
      <c r="L875" s="12">
        <f t="shared" si="23"/>
        <v>0</v>
      </c>
      <c r="M875" s="13">
        <f t="shared" si="24"/>
        <v>0</v>
      </c>
    </row>
    <row r="876" spans="1:13">
      <c r="A876" s="14"/>
      <c r="B876" s="6"/>
      <c r="C876" s="7">
        <f>IFERROR(VLOOKUP(B876,ชื่อสินค้า!A:C,2,FALSE),)</f>
        <v>0</v>
      </c>
      <c r="D876" s="8" t="str">
        <f>IFERROR(VLOOKUP(B876,ชื่อสินค้า!A:D,4,FALSE),"")</f>
        <v/>
      </c>
      <c r="E876" s="9"/>
      <c r="F876" s="9"/>
      <c r="G876" s="8" t="str">
        <f t="shared" si="20"/>
        <v/>
      </c>
      <c r="H876" s="10">
        <f t="shared" si="21"/>
        <v>0</v>
      </c>
      <c r="I876" s="8">
        <f>IF(G876&lt;&gt;"",E876-SUMIFS(ขายสินค้า!E:E,ขายสินค้า!G:G,H876),)</f>
        <v>0</v>
      </c>
      <c r="J876" s="11">
        <f t="shared" si="22"/>
        <v>0</v>
      </c>
      <c r="K876" s="11">
        <f>IF(B876&lt;&gt;"", IFERROR(SUMIF(ขายสินค้า!G:G,H876,ขายสินค้า!F:F)/(E876-I876),0),)</f>
        <v>0</v>
      </c>
      <c r="L876" s="12">
        <f t="shared" si="23"/>
        <v>0</v>
      </c>
      <c r="M876" s="13">
        <f t="shared" si="24"/>
        <v>0</v>
      </c>
    </row>
    <row r="877" spans="1:13">
      <c r="A877" s="14"/>
      <c r="B877" s="6"/>
      <c r="C877" s="7">
        <f>IFERROR(VLOOKUP(B877,ชื่อสินค้า!A:C,2,FALSE),)</f>
        <v>0</v>
      </c>
      <c r="D877" s="8" t="str">
        <f>IFERROR(VLOOKUP(B877,ชื่อสินค้า!A:D,4,FALSE),"")</f>
        <v/>
      </c>
      <c r="E877" s="9"/>
      <c r="F877" s="9"/>
      <c r="G877" s="8" t="str">
        <f t="shared" si="20"/>
        <v/>
      </c>
      <c r="H877" s="10">
        <f t="shared" si="21"/>
        <v>0</v>
      </c>
      <c r="I877" s="8">
        <f>IF(G877&lt;&gt;"",E877-SUMIFS(ขายสินค้า!E:E,ขายสินค้า!G:G,H877),)</f>
        <v>0</v>
      </c>
      <c r="J877" s="11">
        <f t="shared" si="22"/>
        <v>0</v>
      </c>
      <c r="K877" s="11">
        <f>IF(B877&lt;&gt;"", IFERROR(SUMIF(ขายสินค้า!G:G,H877,ขายสินค้า!F:F)/(E877-I877),0),)</f>
        <v>0</v>
      </c>
      <c r="L877" s="12">
        <f t="shared" si="23"/>
        <v>0</v>
      </c>
      <c r="M877" s="13">
        <f t="shared" si="24"/>
        <v>0</v>
      </c>
    </row>
    <row r="878" spans="1:13">
      <c r="A878" s="14"/>
      <c r="B878" s="6"/>
      <c r="C878" s="7">
        <f>IFERROR(VLOOKUP(B878,ชื่อสินค้า!A:C,2,FALSE),)</f>
        <v>0</v>
      </c>
      <c r="D878" s="8" t="str">
        <f>IFERROR(VLOOKUP(B878,ชื่อสินค้า!A:D,4,FALSE),"")</f>
        <v/>
      </c>
      <c r="E878" s="9"/>
      <c r="F878" s="9"/>
      <c r="G878" s="8" t="str">
        <f t="shared" si="20"/>
        <v/>
      </c>
      <c r="H878" s="10">
        <f t="shared" si="21"/>
        <v>0</v>
      </c>
      <c r="I878" s="8">
        <f>IF(G878&lt;&gt;"",E878-SUMIFS(ขายสินค้า!E:E,ขายสินค้า!G:G,H878),)</f>
        <v>0</v>
      </c>
      <c r="J878" s="11">
        <f t="shared" si="22"/>
        <v>0</v>
      </c>
      <c r="K878" s="11">
        <f>IF(B878&lt;&gt;"", IFERROR(SUMIF(ขายสินค้า!G:G,H878,ขายสินค้า!F:F)/(E878-I878),0),)</f>
        <v>0</v>
      </c>
      <c r="L878" s="12">
        <f t="shared" si="23"/>
        <v>0</v>
      </c>
      <c r="M878" s="13">
        <f t="shared" si="24"/>
        <v>0</v>
      </c>
    </row>
    <row r="879" spans="1:13">
      <c r="A879" s="14"/>
      <c r="B879" s="6"/>
      <c r="C879" s="7">
        <f>IFERROR(VLOOKUP(B879,ชื่อสินค้า!A:C,2,FALSE),)</f>
        <v>0</v>
      </c>
      <c r="D879" s="8" t="str">
        <f>IFERROR(VLOOKUP(B879,ชื่อสินค้า!A:D,4,FALSE),"")</f>
        <v/>
      </c>
      <c r="E879" s="9"/>
      <c r="F879" s="9"/>
      <c r="G879" s="8" t="str">
        <f t="shared" si="20"/>
        <v/>
      </c>
      <c r="H879" s="10">
        <f t="shared" si="21"/>
        <v>0</v>
      </c>
      <c r="I879" s="8">
        <f>IF(G879&lt;&gt;"",E879-SUMIFS(ขายสินค้า!E:E,ขายสินค้า!G:G,H879),)</f>
        <v>0</v>
      </c>
      <c r="J879" s="11">
        <f t="shared" si="22"/>
        <v>0</v>
      </c>
      <c r="K879" s="11">
        <f>IF(B879&lt;&gt;"", IFERROR(SUMIF(ขายสินค้า!G:G,H879,ขายสินค้า!F:F)/(E879-I879),0),)</f>
        <v>0</v>
      </c>
      <c r="L879" s="12">
        <f t="shared" si="23"/>
        <v>0</v>
      </c>
      <c r="M879" s="13">
        <f t="shared" si="24"/>
        <v>0</v>
      </c>
    </row>
    <row r="880" spans="1:13">
      <c r="A880" s="14"/>
      <c r="B880" s="6"/>
      <c r="C880" s="7">
        <f>IFERROR(VLOOKUP(B880,ชื่อสินค้า!A:C,2,FALSE),)</f>
        <v>0</v>
      </c>
      <c r="D880" s="8" t="str">
        <f>IFERROR(VLOOKUP(B880,ชื่อสินค้า!A:D,4,FALSE),"")</f>
        <v/>
      </c>
      <c r="E880" s="9"/>
      <c r="F880" s="9"/>
      <c r="G880" s="8" t="str">
        <f t="shared" si="20"/>
        <v/>
      </c>
      <c r="H880" s="10">
        <f t="shared" si="21"/>
        <v>0</v>
      </c>
      <c r="I880" s="8">
        <f>IF(G880&lt;&gt;"",E880-SUMIFS(ขายสินค้า!E:E,ขายสินค้า!G:G,H880),)</f>
        <v>0</v>
      </c>
      <c r="J880" s="11">
        <f t="shared" si="22"/>
        <v>0</v>
      </c>
      <c r="K880" s="11">
        <f>IF(B880&lt;&gt;"", IFERROR(SUMIF(ขายสินค้า!G:G,H880,ขายสินค้า!F:F)/(E880-I880),0),)</f>
        <v>0</v>
      </c>
      <c r="L880" s="12">
        <f t="shared" si="23"/>
        <v>0</v>
      </c>
      <c r="M880" s="13">
        <f t="shared" si="24"/>
        <v>0</v>
      </c>
    </row>
    <row r="881" spans="1:13">
      <c r="A881" s="14"/>
      <c r="B881" s="6"/>
      <c r="C881" s="7">
        <f>IFERROR(VLOOKUP(B881,ชื่อสินค้า!A:C,2,FALSE),)</f>
        <v>0</v>
      </c>
      <c r="D881" s="8" t="str">
        <f>IFERROR(VLOOKUP(B881,ชื่อสินค้า!A:D,4,FALSE),"")</f>
        <v/>
      </c>
      <c r="E881" s="9"/>
      <c r="F881" s="9"/>
      <c r="G881" s="8" t="str">
        <f t="shared" si="20"/>
        <v/>
      </c>
      <c r="H881" s="10">
        <f t="shared" si="21"/>
        <v>0</v>
      </c>
      <c r="I881" s="8">
        <f>IF(G881&lt;&gt;"",E881-SUMIFS(ขายสินค้า!E:E,ขายสินค้า!G:G,H881),)</f>
        <v>0</v>
      </c>
      <c r="J881" s="11">
        <f t="shared" si="22"/>
        <v>0</v>
      </c>
      <c r="K881" s="11">
        <f>IF(B881&lt;&gt;"", IFERROR(SUMIF(ขายสินค้า!G:G,H881,ขายสินค้า!F:F)/(E881-I881),0),)</f>
        <v>0</v>
      </c>
      <c r="L881" s="12">
        <f t="shared" si="23"/>
        <v>0</v>
      </c>
      <c r="M881" s="13">
        <f t="shared" si="24"/>
        <v>0</v>
      </c>
    </row>
    <row r="882" spans="1:13">
      <c r="A882" s="14"/>
      <c r="B882" s="6"/>
      <c r="C882" s="7">
        <f>IFERROR(VLOOKUP(B882,ชื่อสินค้า!A:C,2,FALSE),)</f>
        <v>0</v>
      </c>
      <c r="D882" s="8" t="str">
        <f>IFERROR(VLOOKUP(B882,ชื่อสินค้า!A:D,4,FALSE),"")</f>
        <v/>
      </c>
      <c r="E882" s="9"/>
      <c r="F882" s="9"/>
      <c r="G882" s="8" t="str">
        <f t="shared" si="20"/>
        <v/>
      </c>
      <c r="H882" s="10">
        <f t="shared" si="21"/>
        <v>0</v>
      </c>
      <c r="I882" s="8">
        <f>IF(G882&lt;&gt;"",E882-SUMIFS(ขายสินค้า!E:E,ขายสินค้า!G:G,H882),)</f>
        <v>0</v>
      </c>
      <c r="J882" s="11">
        <f t="shared" si="22"/>
        <v>0</v>
      </c>
      <c r="K882" s="11">
        <f>IF(B882&lt;&gt;"", IFERROR(SUMIF(ขายสินค้า!G:G,H882,ขายสินค้า!F:F)/(E882-I882),0),)</f>
        <v>0</v>
      </c>
      <c r="L882" s="12">
        <f t="shared" si="23"/>
        <v>0</v>
      </c>
      <c r="M882" s="13">
        <f t="shared" si="24"/>
        <v>0</v>
      </c>
    </row>
    <row r="883" spans="1:13">
      <c r="A883" s="14"/>
      <c r="B883" s="6"/>
      <c r="C883" s="7">
        <f>IFERROR(VLOOKUP(B883,ชื่อสินค้า!A:C,2,FALSE),)</f>
        <v>0</v>
      </c>
      <c r="D883" s="8" t="str">
        <f>IFERROR(VLOOKUP(B883,ชื่อสินค้า!A:D,4,FALSE),"")</f>
        <v/>
      </c>
      <c r="E883" s="9"/>
      <c r="F883" s="9"/>
      <c r="G883" s="8" t="str">
        <f t="shared" si="20"/>
        <v/>
      </c>
      <c r="H883" s="10">
        <f t="shared" si="21"/>
        <v>0</v>
      </c>
      <c r="I883" s="8">
        <f>IF(G883&lt;&gt;"",E883-SUMIFS(ขายสินค้า!E:E,ขายสินค้า!G:G,H883),)</f>
        <v>0</v>
      </c>
      <c r="J883" s="11">
        <f t="shared" si="22"/>
        <v>0</v>
      </c>
      <c r="K883" s="11">
        <f>IF(B883&lt;&gt;"", IFERROR(SUMIF(ขายสินค้า!G:G,H883,ขายสินค้า!F:F)/(E883-I883),0),)</f>
        <v>0</v>
      </c>
      <c r="L883" s="12">
        <f t="shared" si="23"/>
        <v>0</v>
      </c>
      <c r="M883" s="13">
        <f t="shared" si="24"/>
        <v>0</v>
      </c>
    </row>
    <row r="884" spans="1:13">
      <c r="A884" s="14"/>
      <c r="B884" s="6"/>
      <c r="C884" s="7">
        <f>IFERROR(VLOOKUP(B884,ชื่อสินค้า!A:C,2,FALSE),)</f>
        <v>0</v>
      </c>
      <c r="D884" s="8" t="str">
        <f>IFERROR(VLOOKUP(B884,ชื่อสินค้า!A:D,4,FALSE),"")</f>
        <v/>
      </c>
      <c r="E884" s="9"/>
      <c r="F884" s="9"/>
      <c r="G884" s="8" t="str">
        <f t="shared" si="20"/>
        <v/>
      </c>
      <c r="H884" s="10">
        <f t="shared" si="21"/>
        <v>0</v>
      </c>
      <c r="I884" s="8">
        <f>IF(G884&lt;&gt;"",E884-SUMIFS(ขายสินค้า!E:E,ขายสินค้า!G:G,H884),)</f>
        <v>0</v>
      </c>
      <c r="J884" s="11">
        <f t="shared" si="22"/>
        <v>0</v>
      </c>
      <c r="K884" s="11">
        <f>IF(B884&lt;&gt;"", IFERROR(SUMIF(ขายสินค้า!G:G,H884,ขายสินค้า!F:F)/(E884-I884),0),)</f>
        <v>0</v>
      </c>
      <c r="L884" s="12">
        <f t="shared" si="23"/>
        <v>0</v>
      </c>
      <c r="M884" s="13">
        <f t="shared" si="24"/>
        <v>0</v>
      </c>
    </row>
    <row r="885" spans="1:13">
      <c r="A885" s="14"/>
      <c r="B885" s="6"/>
      <c r="C885" s="7">
        <f>IFERROR(VLOOKUP(B885,ชื่อสินค้า!A:C,2,FALSE),)</f>
        <v>0</v>
      </c>
      <c r="D885" s="8" t="str">
        <f>IFERROR(VLOOKUP(B885,ชื่อสินค้า!A:D,4,FALSE),"")</f>
        <v/>
      </c>
      <c r="E885" s="9"/>
      <c r="F885" s="9"/>
      <c r="G885" s="8" t="str">
        <f t="shared" si="20"/>
        <v/>
      </c>
      <c r="H885" s="10">
        <f t="shared" si="21"/>
        <v>0</v>
      </c>
      <c r="I885" s="8">
        <f>IF(G885&lt;&gt;"",E885-SUMIFS(ขายสินค้า!E:E,ขายสินค้า!G:G,H885),)</f>
        <v>0</v>
      </c>
      <c r="J885" s="11">
        <f t="shared" si="22"/>
        <v>0</v>
      </c>
      <c r="K885" s="11">
        <f>IF(B885&lt;&gt;"", IFERROR(SUMIF(ขายสินค้า!G:G,H885,ขายสินค้า!F:F)/(E885-I885),0),)</f>
        <v>0</v>
      </c>
      <c r="L885" s="12">
        <f t="shared" si="23"/>
        <v>0</v>
      </c>
      <c r="M885" s="13">
        <f t="shared" si="24"/>
        <v>0</v>
      </c>
    </row>
    <row r="886" spans="1:13">
      <c r="A886" s="14"/>
      <c r="B886" s="6"/>
      <c r="C886" s="7">
        <f>IFERROR(VLOOKUP(B886,ชื่อสินค้า!A:C,2,FALSE),)</f>
        <v>0</v>
      </c>
      <c r="D886" s="8" t="str">
        <f>IFERROR(VLOOKUP(B886,ชื่อสินค้า!A:D,4,FALSE),"")</f>
        <v/>
      </c>
      <c r="E886" s="9"/>
      <c r="F886" s="9"/>
      <c r="G886" s="8" t="str">
        <f t="shared" si="20"/>
        <v/>
      </c>
      <c r="H886" s="10">
        <f t="shared" si="21"/>
        <v>0</v>
      </c>
      <c r="I886" s="8">
        <f>IF(G886&lt;&gt;"",E886-SUMIFS(ขายสินค้า!E:E,ขายสินค้า!G:G,H886),)</f>
        <v>0</v>
      </c>
      <c r="J886" s="11">
        <f t="shared" si="22"/>
        <v>0</v>
      </c>
      <c r="K886" s="11">
        <f>IF(B886&lt;&gt;"", IFERROR(SUMIF(ขายสินค้า!G:G,H886,ขายสินค้า!F:F)/(E886-I886),0),)</f>
        <v>0</v>
      </c>
      <c r="L886" s="12">
        <f t="shared" si="23"/>
        <v>0</v>
      </c>
      <c r="M886" s="13">
        <f t="shared" si="24"/>
        <v>0</v>
      </c>
    </row>
    <row r="887" spans="1:13">
      <c r="A887" s="14"/>
      <c r="B887" s="6"/>
      <c r="C887" s="7">
        <f>IFERROR(VLOOKUP(B887,ชื่อสินค้า!A:C,2,FALSE),)</f>
        <v>0</v>
      </c>
      <c r="D887" s="8" t="str">
        <f>IFERROR(VLOOKUP(B887,ชื่อสินค้า!A:D,4,FALSE),"")</f>
        <v/>
      </c>
      <c r="E887" s="9"/>
      <c r="F887" s="9"/>
      <c r="G887" s="8" t="str">
        <f t="shared" si="20"/>
        <v/>
      </c>
      <c r="H887" s="10">
        <f t="shared" si="21"/>
        <v>0</v>
      </c>
      <c r="I887" s="8">
        <f>IF(G887&lt;&gt;"",E887-SUMIFS(ขายสินค้า!E:E,ขายสินค้า!G:G,H887),)</f>
        <v>0</v>
      </c>
      <c r="J887" s="11">
        <f t="shared" si="22"/>
        <v>0</v>
      </c>
      <c r="K887" s="11">
        <f>IF(B887&lt;&gt;"", IFERROR(SUMIF(ขายสินค้า!G:G,H887,ขายสินค้า!F:F)/(E887-I887),0),)</f>
        <v>0</v>
      </c>
      <c r="L887" s="12">
        <f t="shared" si="23"/>
        <v>0</v>
      </c>
      <c r="M887" s="13">
        <f t="shared" si="24"/>
        <v>0</v>
      </c>
    </row>
    <row r="888" spans="1:13">
      <c r="A888" s="14"/>
      <c r="B888" s="6"/>
      <c r="C888" s="7">
        <f>IFERROR(VLOOKUP(B888,ชื่อสินค้า!A:C,2,FALSE),)</f>
        <v>0</v>
      </c>
      <c r="D888" s="8" t="str">
        <f>IFERROR(VLOOKUP(B888,ชื่อสินค้า!A:D,4,FALSE),"")</f>
        <v/>
      </c>
      <c r="E888" s="9"/>
      <c r="F888" s="9"/>
      <c r="G888" s="8" t="str">
        <f t="shared" si="20"/>
        <v/>
      </c>
      <c r="H888" s="10">
        <f t="shared" si="21"/>
        <v>0</v>
      </c>
      <c r="I888" s="8">
        <f>IF(G888&lt;&gt;"",E888-SUMIFS(ขายสินค้า!E:E,ขายสินค้า!G:G,H888),)</f>
        <v>0</v>
      </c>
      <c r="J888" s="11">
        <f t="shared" si="22"/>
        <v>0</v>
      </c>
      <c r="K888" s="11">
        <f>IF(B888&lt;&gt;"", IFERROR(SUMIF(ขายสินค้า!G:G,H888,ขายสินค้า!F:F)/(E888-I888),0),)</f>
        <v>0</v>
      </c>
      <c r="L888" s="12">
        <f t="shared" si="23"/>
        <v>0</v>
      </c>
      <c r="M888" s="13">
        <f t="shared" si="24"/>
        <v>0</v>
      </c>
    </row>
    <row r="889" spans="1:13">
      <c r="A889" s="14"/>
      <c r="B889" s="6"/>
      <c r="C889" s="7">
        <f>IFERROR(VLOOKUP(B889,ชื่อสินค้า!A:C,2,FALSE),)</f>
        <v>0</v>
      </c>
      <c r="D889" s="8" t="str">
        <f>IFERROR(VLOOKUP(B889,ชื่อสินค้า!A:D,4,FALSE),"")</f>
        <v/>
      </c>
      <c r="E889" s="9"/>
      <c r="F889" s="9"/>
      <c r="G889" s="8" t="str">
        <f t="shared" si="20"/>
        <v/>
      </c>
      <c r="H889" s="10">
        <f t="shared" si="21"/>
        <v>0</v>
      </c>
      <c r="I889" s="8">
        <f>IF(G889&lt;&gt;"",E889-SUMIFS(ขายสินค้า!E:E,ขายสินค้า!G:G,H889),)</f>
        <v>0</v>
      </c>
      <c r="J889" s="11">
        <f t="shared" si="22"/>
        <v>0</v>
      </c>
      <c r="K889" s="11">
        <f>IF(B889&lt;&gt;"", IFERROR(SUMIF(ขายสินค้า!G:G,H889,ขายสินค้า!F:F)/(E889-I889),0),)</f>
        <v>0</v>
      </c>
      <c r="L889" s="12">
        <f t="shared" si="23"/>
        <v>0</v>
      </c>
      <c r="M889" s="13">
        <f t="shared" si="24"/>
        <v>0</v>
      </c>
    </row>
    <row r="890" spans="1:13">
      <c r="A890" s="14"/>
      <c r="B890" s="6"/>
      <c r="C890" s="7">
        <f>IFERROR(VLOOKUP(B890,ชื่อสินค้า!A:C,2,FALSE),)</f>
        <v>0</v>
      </c>
      <c r="D890" s="8" t="str">
        <f>IFERROR(VLOOKUP(B890,ชื่อสินค้า!A:D,4,FALSE),"")</f>
        <v/>
      </c>
      <c r="E890" s="9"/>
      <c r="F890" s="9"/>
      <c r="G890" s="8" t="str">
        <f t="shared" si="20"/>
        <v/>
      </c>
      <c r="H890" s="10">
        <f t="shared" si="21"/>
        <v>0</v>
      </c>
      <c r="I890" s="8">
        <f>IF(G890&lt;&gt;"",E890-SUMIFS(ขายสินค้า!E:E,ขายสินค้า!G:G,H890),)</f>
        <v>0</v>
      </c>
      <c r="J890" s="11">
        <f t="shared" si="22"/>
        <v>0</v>
      </c>
      <c r="K890" s="11">
        <f>IF(B890&lt;&gt;"", IFERROR(SUMIF(ขายสินค้า!G:G,H890,ขายสินค้า!F:F)/(E890-I890),0),)</f>
        <v>0</v>
      </c>
      <c r="L890" s="12">
        <f t="shared" si="23"/>
        <v>0</v>
      </c>
      <c r="M890" s="13">
        <f t="shared" si="24"/>
        <v>0</v>
      </c>
    </row>
    <row r="891" spans="1:13">
      <c r="A891" s="14"/>
      <c r="B891" s="6"/>
      <c r="C891" s="7">
        <f>IFERROR(VLOOKUP(B891,ชื่อสินค้า!A:C,2,FALSE),)</f>
        <v>0</v>
      </c>
      <c r="D891" s="8" t="str">
        <f>IFERROR(VLOOKUP(B891,ชื่อสินค้า!A:D,4,FALSE),"")</f>
        <v/>
      </c>
      <c r="E891" s="9"/>
      <c r="F891" s="9"/>
      <c r="G891" s="8" t="str">
        <f t="shared" si="20"/>
        <v/>
      </c>
      <c r="H891" s="10">
        <f t="shared" si="21"/>
        <v>0</v>
      </c>
      <c r="I891" s="8">
        <f>IF(G891&lt;&gt;"",E891-SUMIFS(ขายสินค้า!E:E,ขายสินค้า!G:G,H891),)</f>
        <v>0</v>
      </c>
      <c r="J891" s="11">
        <f t="shared" si="22"/>
        <v>0</v>
      </c>
      <c r="K891" s="11">
        <f>IF(B891&lt;&gt;"", IFERROR(SUMIF(ขายสินค้า!G:G,H891,ขายสินค้า!F:F)/(E891-I891),0),)</f>
        <v>0</v>
      </c>
      <c r="L891" s="12">
        <f t="shared" si="23"/>
        <v>0</v>
      </c>
      <c r="M891" s="13">
        <f t="shared" si="24"/>
        <v>0</v>
      </c>
    </row>
    <row r="892" spans="1:13">
      <c r="A892" s="14"/>
      <c r="B892" s="6"/>
      <c r="C892" s="7">
        <f>IFERROR(VLOOKUP(B892,ชื่อสินค้า!A:C,2,FALSE),)</f>
        <v>0</v>
      </c>
      <c r="D892" s="8" t="str">
        <f>IFERROR(VLOOKUP(B892,ชื่อสินค้า!A:D,4,FALSE),"")</f>
        <v/>
      </c>
      <c r="E892" s="9"/>
      <c r="F892" s="9"/>
      <c r="G892" s="8" t="str">
        <f t="shared" si="20"/>
        <v/>
      </c>
      <c r="H892" s="10">
        <f t="shared" si="21"/>
        <v>0</v>
      </c>
      <c r="I892" s="8">
        <f>IF(G892&lt;&gt;"",E892-SUMIFS(ขายสินค้า!E:E,ขายสินค้า!G:G,H892),)</f>
        <v>0</v>
      </c>
      <c r="J892" s="11">
        <f t="shared" si="22"/>
        <v>0</v>
      </c>
      <c r="K892" s="11">
        <f>IF(B892&lt;&gt;"", IFERROR(SUMIF(ขายสินค้า!G:G,H892,ขายสินค้า!F:F)/(E892-I892),0),)</f>
        <v>0</v>
      </c>
      <c r="L892" s="12">
        <f t="shared" si="23"/>
        <v>0</v>
      </c>
      <c r="M892" s="13">
        <f t="shared" si="24"/>
        <v>0</v>
      </c>
    </row>
    <row r="893" spans="1:13">
      <c r="A893" s="14"/>
      <c r="B893" s="6"/>
      <c r="C893" s="7">
        <f>IFERROR(VLOOKUP(B893,ชื่อสินค้า!A:C,2,FALSE),)</f>
        <v>0</v>
      </c>
      <c r="D893" s="8" t="str">
        <f>IFERROR(VLOOKUP(B893,ชื่อสินค้า!A:D,4,FALSE),"")</f>
        <v/>
      </c>
      <c r="E893" s="9"/>
      <c r="F893" s="9"/>
      <c r="G893" s="8" t="str">
        <f t="shared" si="20"/>
        <v/>
      </c>
      <c r="H893" s="10">
        <f t="shared" si="21"/>
        <v>0</v>
      </c>
      <c r="I893" s="8">
        <f>IF(G893&lt;&gt;"",E893-SUMIFS(ขายสินค้า!E:E,ขายสินค้า!G:G,H893),)</f>
        <v>0</v>
      </c>
      <c r="J893" s="11">
        <f t="shared" si="22"/>
        <v>0</v>
      </c>
      <c r="K893" s="11">
        <f>IF(B893&lt;&gt;"", IFERROR(SUMIF(ขายสินค้า!G:G,H893,ขายสินค้า!F:F)/(E893-I893),0),)</f>
        <v>0</v>
      </c>
      <c r="L893" s="12">
        <f t="shared" si="23"/>
        <v>0</v>
      </c>
      <c r="M893" s="13">
        <f t="shared" si="24"/>
        <v>0</v>
      </c>
    </row>
    <row r="894" spans="1:13">
      <c r="A894" s="14"/>
      <c r="B894" s="6"/>
      <c r="C894" s="7">
        <f>IFERROR(VLOOKUP(B894,ชื่อสินค้า!A:C,2,FALSE),)</f>
        <v>0</v>
      </c>
      <c r="D894" s="8" t="str">
        <f>IFERROR(VLOOKUP(B894,ชื่อสินค้า!A:D,4,FALSE),"")</f>
        <v/>
      </c>
      <c r="E894" s="9"/>
      <c r="F894" s="9"/>
      <c r="G894" s="8" t="str">
        <f t="shared" si="20"/>
        <v/>
      </c>
      <c r="H894" s="10">
        <f t="shared" si="21"/>
        <v>0</v>
      </c>
      <c r="I894" s="8">
        <f>IF(G894&lt;&gt;"",E894-SUMIFS(ขายสินค้า!E:E,ขายสินค้า!G:G,H894),)</f>
        <v>0</v>
      </c>
      <c r="J894" s="11">
        <f t="shared" si="22"/>
        <v>0</v>
      </c>
      <c r="K894" s="11">
        <f>IF(B894&lt;&gt;"", IFERROR(SUMIF(ขายสินค้า!G:G,H894,ขายสินค้า!F:F)/(E894-I894),0),)</f>
        <v>0</v>
      </c>
      <c r="L894" s="12">
        <f t="shared" si="23"/>
        <v>0</v>
      </c>
      <c r="M894" s="13">
        <f t="shared" si="24"/>
        <v>0</v>
      </c>
    </row>
    <row r="895" spans="1:13">
      <c r="A895" s="14"/>
      <c r="B895" s="6"/>
      <c r="C895" s="7">
        <f>IFERROR(VLOOKUP(B895,ชื่อสินค้า!A:C,2,FALSE),)</f>
        <v>0</v>
      </c>
      <c r="D895" s="8" t="str">
        <f>IFERROR(VLOOKUP(B895,ชื่อสินค้า!A:D,4,FALSE),"")</f>
        <v/>
      </c>
      <c r="E895" s="9"/>
      <c r="F895" s="9"/>
      <c r="G895" s="8" t="str">
        <f t="shared" si="20"/>
        <v/>
      </c>
      <c r="H895" s="10">
        <f t="shared" si="21"/>
        <v>0</v>
      </c>
      <c r="I895" s="8">
        <f>IF(G895&lt;&gt;"",E895-SUMIFS(ขายสินค้า!E:E,ขายสินค้า!G:G,H895),)</f>
        <v>0</v>
      </c>
      <c r="J895" s="11">
        <f t="shared" si="22"/>
        <v>0</v>
      </c>
      <c r="K895" s="11">
        <f>IF(B895&lt;&gt;"", IFERROR(SUMIF(ขายสินค้า!G:G,H895,ขายสินค้า!F:F)/(E895-I895),0),)</f>
        <v>0</v>
      </c>
      <c r="L895" s="12">
        <f t="shared" si="23"/>
        <v>0</v>
      </c>
      <c r="M895" s="13">
        <f t="shared" si="24"/>
        <v>0</v>
      </c>
    </row>
    <row r="896" spans="1:13">
      <c r="A896" s="14"/>
      <c r="B896" s="6"/>
      <c r="C896" s="7">
        <f>IFERROR(VLOOKUP(B896,ชื่อสินค้า!A:C,2,FALSE),)</f>
        <v>0</v>
      </c>
      <c r="D896" s="8" t="str">
        <f>IFERROR(VLOOKUP(B896,ชื่อสินค้า!A:D,4,FALSE),"")</f>
        <v/>
      </c>
      <c r="E896" s="9"/>
      <c r="F896" s="9"/>
      <c r="G896" s="8" t="str">
        <f t="shared" si="20"/>
        <v/>
      </c>
      <c r="H896" s="10">
        <f t="shared" si="21"/>
        <v>0</v>
      </c>
      <c r="I896" s="8">
        <f>IF(G896&lt;&gt;"",E896-SUMIFS(ขายสินค้า!E:E,ขายสินค้า!G:G,H896),)</f>
        <v>0</v>
      </c>
      <c r="J896" s="11">
        <f t="shared" si="22"/>
        <v>0</v>
      </c>
      <c r="K896" s="11">
        <f>IF(B896&lt;&gt;"", IFERROR(SUMIF(ขายสินค้า!G:G,H896,ขายสินค้า!F:F)/(E896-I896),0),)</f>
        <v>0</v>
      </c>
      <c r="L896" s="12">
        <f t="shared" si="23"/>
        <v>0</v>
      </c>
      <c r="M896" s="13">
        <f t="shared" si="24"/>
        <v>0</v>
      </c>
    </row>
    <row r="897" spans="1:13">
      <c r="A897" s="14"/>
      <c r="B897" s="6"/>
      <c r="C897" s="7">
        <f>IFERROR(VLOOKUP(B897,ชื่อสินค้า!A:C,2,FALSE),)</f>
        <v>0</v>
      </c>
      <c r="D897" s="8" t="str">
        <f>IFERROR(VLOOKUP(B897,ชื่อสินค้า!A:D,4,FALSE),"")</f>
        <v/>
      </c>
      <c r="E897" s="9"/>
      <c r="F897" s="9"/>
      <c r="G897" s="8" t="str">
        <f t="shared" si="20"/>
        <v/>
      </c>
      <c r="H897" s="10">
        <f t="shared" si="21"/>
        <v>0</v>
      </c>
      <c r="I897" s="8">
        <f>IF(G897&lt;&gt;"",E897-SUMIFS(ขายสินค้า!E:E,ขายสินค้า!G:G,H897),)</f>
        <v>0</v>
      </c>
      <c r="J897" s="11">
        <f t="shared" si="22"/>
        <v>0</v>
      </c>
      <c r="K897" s="11">
        <f>IF(B897&lt;&gt;"", IFERROR(SUMIF(ขายสินค้า!G:G,H897,ขายสินค้า!F:F)/(E897-I897),0),)</f>
        <v>0</v>
      </c>
      <c r="L897" s="12">
        <f t="shared" si="23"/>
        <v>0</v>
      </c>
      <c r="M897" s="13">
        <f t="shared" si="24"/>
        <v>0</v>
      </c>
    </row>
    <row r="898" spans="1:13">
      <c r="A898" s="14"/>
      <c r="B898" s="6"/>
      <c r="C898" s="7">
        <f>IFERROR(VLOOKUP(B898,ชื่อสินค้า!A:C,2,FALSE),)</f>
        <v>0</v>
      </c>
      <c r="D898" s="8" t="str">
        <f>IFERROR(VLOOKUP(B898,ชื่อสินค้า!A:D,4,FALSE),"")</f>
        <v/>
      </c>
      <c r="E898" s="9"/>
      <c r="F898" s="9"/>
      <c r="G898" s="8" t="str">
        <f t="shared" si="20"/>
        <v/>
      </c>
      <c r="H898" s="10">
        <f t="shared" si="21"/>
        <v>0</v>
      </c>
      <c r="I898" s="8">
        <f>IF(G898&lt;&gt;"",E898-SUMIFS(ขายสินค้า!E:E,ขายสินค้า!G:G,H898),)</f>
        <v>0</v>
      </c>
      <c r="J898" s="11">
        <f t="shared" si="22"/>
        <v>0</v>
      </c>
      <c r="K898" s="11">
        <f>IF(B898&lt;&gt;"", IFERROR(SUMIF(ขายสินค้า!G:G,H898,ขายสินค้า!F:F)/(E898-I898),0),)</f>
        <v>0</v>
      </c>
      <c r="L898" s="12">
        <f t="shared" si="23"/>
        <v>0</v>
      </c>
      <c r="M898" s="13">
        <f t="shared" si="24"/>
        <v>0</v>
      </c>
    </row>
    <row r="899" spans="1:13">
      <c r="A899" s="14"/>
      <c r="B899" s="6"/>
      <c r="C899" s="7">
        <f>IFERROR(VLOOKUP(B899,ชื่อสินค้า!A:C,2,FALSE),)</f>
        <v>0</v>
      </c>
      <c r="D899" s="8" t="str">
        <f>IFERROR(VLOOKUP(B899,ชื่อสินค้า!A:D,4,FALSE),"")</f>
        <v/>
      </c>
      <c r="E899" s="9"/>
      <c r="F899" s="9"/>
      <c r="G899" s="8" t="str">
        <f t="shared" si="20"/>
        <v/>
      </c>
      <c r="H899" s="10">
        <f t="shared" si="21"/>
        <v>0</v>
      </c>
      <c r="I899" s="8">
        <f>IF(G899&lt;&gt;"",E899-SUMIFS(ขายสินค้า!E:E,ขายสินค้า!G:G,H899),)</f>
        <v>0</v>
      </c>
      <c r="J899" s="11">
        <f t="shared" si="22"/>
        <v>0</v>
      </c>
      <c r="K899" s="11">
        <f>IF(B899&lt;&gt;"", IFERROR(SUMIF(ขายสินค้า!G:G,H899,ขายสินค้า!F:F)/(E899-I899),0),)</f>
        <v>0</v>
      </c>
      <c r="L899" s="12">
        <f t="shared" si="23"/>
        <v>0</v>
      </c>
      <c r="M899" s="13">
        <f t="shared" si="24"/>
        <v>0</v>
      </c>
    </row>
    <row r="900" spans="1:13">
      <c r="A900" s="14"/>
      <c r="B900" s="6"/>
      <c r="C900" s="7">
        <f>IFERROR(VLOOKUP(B900,ชื่อสินค้า!A:C,2,FALSE),)</f>
        <v>0</v>
      </c>
      <c r="D900" s="8" t="str">
        <f>IFERROR(VLOOKUP(B900,ชื่อสินค้า!A:D,4,FALSE),"")</f>
        <v/>
      </c>
      <c r="E900" s="9"/>
      <c r="F900" s="9"/>
      <c r="G900" s="8" t="str">
        <f t="shared" si="20"/>
        <v/>
      </c>
      <c r="H900" s="10">
        <f t="shared" si="21"/>
        <v>0</v>
      </c>
      <c r="I900" s="8">
        <f>IF(G900&lt;&gt;"",E900-SUMIFS(ขายสินค้า!E:E,ขายสินค้า!G:G,H900),)</f>
        <v>0</v>
      </c>
      <c r="J900" s="11">
        <f t="shared" si="22"/>
        <v>0</v>
      </c>
      <c r="K900" s="11">
        <f>IF(B900&lt;&gt;"", IFERROR(SUMIF(ขายสินค้า!G:G,H900,ขายสินค้า!F:F)/(E900-I900),0),)</f>
        <v>0</v>
      </c>
      <c r="L900" s="12">
        <f t="shared" si="23"/>
        <v>0</v>
      </c>
      <c r="M900" s="13">
        <f t="shared" si="24"/>
        <v>0</v>
      </c>
    </row>
    <row r="901" spans="1:13">
      <c r="A901" s="14"/>
      <c r="B901" s="6"/>
      <c r="C901" s="7">
        <f>IFERROR(VLOOKUP(B901,ชื่อสินค้า!A:C,2,FALSE),)</f>
        <v>0</v>
      </c>
      <c r="D901" s="8" t="str">
        <f>IFERROR(VLOOKUP(B901,ชื่อสินค้า!A:D,4,FALSE),"")</f>
        <v/>
      </c>
      <c r="E901" s="9"/>
      <c r="F901" s="9"/>
      <c r="G901" s="8" t="str">
        <f t="shared" si="20"/>
        <v/>
      </c>
      <c r="H901" s="10">
        <f t="shared" si="21"/>
        <v>0</v>
      </c>
      <c r="I901" s="8">
        <f>IF(G901&lt;&gt;"",E901-SUMIFS(ขายสินค้า!E:E,ขายสินค้า!G:G,H901),)</f>
        <v>0</v>
      </c>
      <c r="J901" s="11">
        <f t="shared" si="22"/>
        <v>0</v>
      </c>
      <c r="K901" s="11">
        <f>IF(B901&lt;&gt;"", IFERROR(SUMIF(ขายสินค้า!G:G,H901,ขายสินค้า!F:F)/(E901-I901),0),)</f>
        <v>0</v>
      </c>
      <c r="L901" s="12">
        <f t="shared" si="23"/>
        <v>0</v>
      </c>
      <c r="M901" s="13">
        <f t="shared" si="24"/>
        <v>0</v>
      </c>
    </row>
    <row r="902" spans="1:13">
      <c r="A902" s="14"/>
      <c r="B902" s="6"/>
      <c r="C902" s="7">
        <f>IFERROR(VLOOKUP(B902,ชื่อสินค้า!A:C,2,FALSE),)</f>
        <v>0</v>
      </c>
      <c r="D902" s="8" t="str">
        <f>IFERROR(VLOOKUP(B902,ชื่อสินค้า!A:D,4,FALSE),"")</f>
        <v/>
      </c>
      <c r="E902" s="9"/>
      <c r="F902" s="9"/>
      <c r="G902" s="8" t="str">
        <f t="shared" si="20"/>
        <v/>
      </c>
      <c r="H902" s="10">
        <f t="shared" si="21"/>
        <v>0</v>
      </c>
      <c r="I902" s="8">
        <f>IF(G902&lt;&gt;"",E902-SUMIFS(ขายสินค้า!E:E,ขายสินค้า!G:G,H902),)</f>
        <v>0</v>
      </c>
      <c r="J902" s="11">
        <f t="shared" si="22"/>
        <v>0</v>
      </c>
      <c r="K902" s="11">
        <f>IF(B902&lt;&gt;"", IFERROR(SUMIF(ขายสินค้า!G:G,H902,ขายสินค้า!F:F)/(E902-I902),0),)</f>
        <v>0</v>
      </c>
      <c r="L902" s="12">
        <f t="shared" si="23"/>
        <v>0</v>
      </c>
      <c r="M902" s="13">
        <f t="shared" si="24"/>
        <v>0</v>
      </c>
    </row>
    <row r="903" spans="1:13">
      <c r="A903" s="14"/>
      <c r="B903" s="6"/>
      <c r="C903" s="7">
        <f>IFERROR(VLOOKUP(B903,ชื่อสินค้า!A:C,2,FALSE),)</f>
        <v>0</v>
      </c>
      <c r="D903" s="8" t="str">
        <f>IFERROR(VLOOKUP(B903,ชื่อสินค้า!A:D,4,FALSE),"")</f>
        <v/>
      </c>
      <c r="E903" s="9"/>
      <c r="F903" s="9"/>
      <c r="G903" s="8" t="str">
        <f t="shared" si="20"/>
        <v/>
      </c>
      <c r="H903" s="10">
        <f t="shared" si="21"/>
        <v>0</v>
      </c>
      <c r="I903" s="8">
        <f>IF(G903&lt;&gt;"",E903-SUMIFS(ขายสินค้า!E:E,ขายสินค้า!G:G,H903),)</f>
        <v>0</v>
      </c>
      <c r="J903" s="11">
        <f t="shared" si="22"/>
        <v>0</v>
      </c>
      <c r="K903" s="11">
        <f>IF(B903&lt;&gt;"", IFERROR(SUMIF(ขายสินค้า!G:G,H903,ขายสินค้า!F:F)/(E903-I903),0),)</f>
        <v>0</v>
      </c>
      <c r="L903" s="12">
        <f t="shared" si="23"/>
        <v>0</v>
      </c>
      <c r="M903" s="13">
        <f t="shared" si="24"/>
        <v>0</v>
      </c>
    </row>
    <row r="904" spans="1:13">
      <c r="A904" s="14"/>
      <c r="B904" s="6"/>
      <c r="C904" s="7">
        <f>IFERROR(VLOOKUP(B904,ชื่อสินค้า!A:C,2,FALSE),)</f>
        <v>0</v>
      </c>
      <c r="D904" s="8" t="str">
        <f>IFERROR(VLOOKUP(B904,ชื่อสินค้า!A:D,4,FALSE),"")</f>
        <v/>
      </c>
      <c r="E904" s="9"/>
      <c r="F904" s="9"/>
      <c r="G904" s="8" t="str">
        <f t="shared" si="20"/>
        <v/>
      </c>
      <c r="H904" s="10">
        <f t="shared" si="21"/>
        <v>0</v>
      </c>
      <c r="I904" s="8">
        <f>IF(G904&lt;&gt;"",E904-SUMIFS(ขายสินค้า!E:E,ขายสินค้า!G:G,H904),)</f>
        <v>0</v>
      </c>
      <c r="J904" s="11">
        <f t="shared" si="22"/>
        <v>0</v>
      </c>
      <c r="K904" s="11">
        <f>IF(B904&lt;&gt;"", IFERROR(SUMIF(ขายสินค้า!G:G,H904,ขายสินค้า!F:F)/(E904-I904),0),)</f>
        <v>0</v>
      </c>
      <c r="L904" s="12">
        <f t="shared" si="23"/>
        <v>0</v>
      </c>
      <c r="M904" s="13">
        <f t="shared" si="24"/>
        <v>0</v>
      </c>
    </row>
    <row r="905" spans="1:13">
      <c r="A905" s="14"/>
      <c r="B905" s="6"/>
      <c r="C905" s="7">
        <f>IFERROR(VLOOKUP(B905,ชื่อสินค้า!A:C,2,FALSE),)</f>
        <v>0</v>
      </c>
      <c r="D905" s="8" t="str">
        <f>IFERROR(VLOOKUP(B905,ชื่อสินค้า!A:D,4,FALSE),"")</f>
        <v/>
      </c>
      <c r="E905" s="9"/>
      <c r="F905" s="9"/>
      <c r="G905" s="8" t="str">
        <f t="shared" si="20"/>
        <v/>
      </c>
      <c r="H905" s="10">
        <f t="shared" si="21"/>
        <v>0</v>
      </c>
      <c r="I905" s="8">
        <f>IF(G905&lt;&gt;"",E905-SUMIFS(ขายสินค้า!E:E,ขายสินค้า!G:G,H905),)</f>
        <v>0</v>
      </c>
      <c r="J905" s="11">
        <f t="shared" si="22"/>
        <v>0</v>
      </c>
      <c r="K905" s="11">
        <f>IF(B905&lt;&gt;"", IFERROR(SUMIF(ขายสินค้า!G:G,H905,ขายสินค้า!F:F)/(E905-I905),0),)</f>
        <v>0</v>
      </c>
      <c r="L905" s="12">
        <f t="shared" si="23"/>
        <v>0</v>
      </c>
      <c r="M905" s="13">
        <f t="shared" si="24"/>
        <v>0</v>
      </c>
    </row>
    <row r="906" spans="1:13">
      <c r="A906" s="14"/>
      <c r="B906" s="6"/>
      <c r="C906" s="7">
        <f>IFERROR(VLOOKUP(B906,ชื่อสินค้า!A:C,2,FALSE),)</f>
        <v>0</v>
      </c>
      <c r="D906" s="8" t="str">
        <f>IFERROR(VLOOKUP(B906,ชื่อสินค้า!A:D,4,FALSE),"")</f>
        <v/>
      </c>
      <c r="E906" s="9"/>
      <c r="F906" s="9"/>
      <c r="G906" s="8" t="str">
        <f t="shared" si="20"/>
        <v/>
      </c>
      <c r="H906" s="10">
        <f t="shared" si="21"/>
        <v>0</v>
      </c>
      <c r="I906" s="8">
        <f>IF(G906&lt;&gt;"",E906-SUMIFS(ขายสินค้า!E:E,ขายสินค้า!G:G,H906),)</f>
        <v>0</v>
      </c>
      <c r="J906" s="11">
        <f t="shared" si="22"/>
        <v>0</v>
      </c>
      <c r="K906" s="11">
        <f>IF(B906&lt;&gt;"", IFERROR(SUMIF(ขายสินค้า!G:G,H906,ขายสินค้า!F:F)/(E906-I906),0),)</f>
        <v>0</v>
      </c>
      <c r="L906" s="12">
        <f t="shared" si="23"/>
        <v>0</v>
      </c>
      <c r="M906" s="13">
        <f t="shared" si="24"/>
        <v>0</v>
      </c>
    </row>
    <row r="907" spans="1:13">
      <c r="A907" s="14"/>
      <c r="B907" s="6"/>
      <c r="C907" s="7">
        <f>IFERROR(VLOOKUP(B907,ชื่อสินค้า!A:C,2,FALSE),)</f>
        <v>0</v>
      </c>
      <c r="D907" s="8" t="str">
        <f>IFERROR(VLOOKUP(B907,ชื่อสินค้า!A:D,4,FALSE),"")</f>
        <v/>
      </c>
      <c r="E907" s="9"/>
      <c r="F907" s="9"/>
      <c r="G907" s="8" t="str">
        <f t="shared" si="20"/>
        <v/>
      </c>
      <c r="H907" s="10">
        <f t="shared" si="21"/>
        <v>0</v>
      </c>
      <c r="I907" s="8">
        <f>IF(G907&lt;&gt;"",E907-SUMIFS(ขายสินค้า!E:E,ขายสินค้า!G:G,H907),)</f>
        <v>0</v>
      </c>
      <c r="J907" s="11">
        <f t="shared" si="22"/>
        <v>0</v>
      </c>
      <c r="K907" s="11">
        <f>IF(B907&lt;&gt;"", IFERROR(SUMIF(ขายสินค้า!G:G,H907,ขายสินค้า!F:F)/(E907-I907),0),)</f>
        <v>0</v>
      </c>
      <c r="L907" s="12">
        <f t="shared" si="23"/>
        <v>0</v>
      </c>
      <c r="M907" s="13">
        <f t="shared" si="24"/>
        <v>0</v>
      </c>
    </row>
    <row r="908" spans="1:13">
      <c r="A908" s="14"/>
      <c r="B908" s="6"/>
      <c r="C908" s="7">
        <f>IFERROR(VLOOKUP(B908,ชื่อสินค้า!A:C,2,FALSE),)</f>
        <v>0</v>
      </c>
      <c r="D908" s="8" t="str">
        <f>IFERROR(VLOOKUP(B908,ชื่อสินค้า!A:D,4,FALSE),"")</f>
        <v/>
      </c>
      <c r="E908" s="9"/>
      <c r="F908" s="9"/>
      <c r="G908" s="8" t="str">
        <f t="shared" si="20"/>
        <v/>
      </c>
      <c r="H908" s="10">
        <f t="shared" si="21"/>
        <v>0</v>
      </c>
      <c r="I908" s="8">
        <f>IF(G908&lt;&gt;"",E908-SUMIFS(ขายสินค้า!E:E,ขายสินค้า!G:G,H908),)</f>
        <v>0</v>
      </c>
      <c r="J908" s="11">
        <f t="shared" si="22"/>
        <v>0</v>
      </c>
      <c r="K908" s="11">
        <f>IF(B908&lt;&gt;"", IFERROR(SUMIF(ขายสินค้า!G:G,H908,ขายสินค้า!F:F)/(E908-I908),0),)</f>
        <v>0</v>
      </c>
      <c r="L908" s="12">
        <f t="shared" si="23"/>
        <v>0</v>
      </c>
      <c r="M908" s="13">
        <f t="shared" si="24"/>
        <v>0</v>
      </c>
    </row>
    <row r="909" spans="1:13">
      <c r="A909" s="14"/>
      <c r="B909" s="6"/>
      <c r="C909" s="7">
        <f>IFERROR(VLOOKUP(B909,ชื่อสินค้า!A:C,2,FALSE),)</f>
        <v>0</v>
      </c>
      <c r="D909" s="8" t="str">
        <f>IFERROR(VLOOKUP(B909,ชื่อสินค้า!A:D,4,FALSE),"")</f>
        <v/>
      </c>
      <c r="E909" s="9"/>
      <c r="F909" s="9"/>
      <c r="G909" s="8" t="str">
        <f t="shared" si="20"/>
        <v/>
      </c>
      <c r="H909" s="10">
        <f t="shared" si="21"/>
        <v>0</v>
      </c>
      <c r="I909" s="8">
        <f>IF(G909&lt;&gt;"",E909-SUMIFS(ขายสินค้า!E:E,ขายสินค้า!G:G,H909),)</f>
        <v>0</v>
      </c>
      <c r="J909" s="11">
        <f t="shared" si="22"/>
        <v>0</v>
      </c>
      <c r="K909" s="11">
        <f>IF(B909&lt;&gt;"", IFERROR(SUMIF(ขายสินค้า!G:G,H909,ขายสินค้า!F:F)/(E909-I909),0),)</f>
        <v>0</v>
      </c>
      <c r="L909" s="12">
        <f t="shared" si="23"/>
        <v>0</v>
      </c>
      <c r="M909" s="13">
        <f t="shared" si="24"/>
        <v>0</v>
      </c>
    </row>
    <row r="910" spans="1:13">
      <c r="A910" s="14"/>
      <c r="B910" s="6"/>
      <c r="C910" s="7">
        <f>IFERROR(VLOOKUP(B910,ชื่อสินค้า!A:C,2,FALSE),)</f>
        <v>0</v>
      </c>
      <c r="D910" s="8" t="str">
        <f>IFERROR(VLOOKUP(B910,ชื่อสินค้า!A:D,4,FALSE),"")</f>
        <v/>
      </c>
      <c r="E910" s="9"/>
      <c r="F910" s="9"/>
      <c r="G910" s="8" t="str">
        <f t="shared" si="20"/>
        <v/>
      </c>
      <c r="H910" s="10">
        <f t="shared" si="21"/>
        <v>0</v>
      </c>
      <c r="I910" s="8">
        <f>IF(G910&lt;&gt;"",E910-SUMIFS(ขายสินค้า!E:E,ขายสินค้า!G:G,H910),)</f>
        <v>0</v>
      </c>
      <c r="J910" s="11">
        <f t="shared" si="22"/>
        <v>0</v>
      </c>
      <c r="K910" s="11">
        <f>IF(B910&lt;&gt;"", IFERROR(SUMIF(ขายสินค้า!G:G,H910,ขายสินค้า!F:F)/(E910-I910),0),)</f>
        <v>0</v>
      </c>
      <c r="L910" s="12">
        <f t="shared" si="23"/>
        <v>0</v>
      </c>
      <c r="M910" s="13">
        <f t="shared" si="24"/>
        <v>0</v>
      </c>
    </row>
    <row r="911" spans="1:13">
      <c r="A911" s="14"/>
      <c r="B911" s="6"/>
      <c r="C911" s="7">
        <f>IFERROR(VLOOKUP(B911,ชื่อสินค้า!A:C,2,FALSE),)</f>
        <v>0</v>
      </c>
      <c r="D911" s="8" t="str">
        <f>IFERROR(VLOOKUP(B911,ชื่อสินค้า!A:D,4,FALSE),"")</f>
        <v/>
      </c>
      <c r="E911" s="9"/>
      <c r="F911" s="9"/>
      <c r="G911" s="8" t="str">
        <f t="shared" si="20"/>
        <v/>
      </c>
      <c r="H911" s="10">
        <f t="shared" si="21"/>
        <v>0</v>
      </c>
      <c r="I911" s="8">
        <f>IF(G911&lt;&gt;"",E911-SUMIFS(ขายสินค้า!E:E,ขายสินค้า!G:G,H911),)</f>
        <v>0</v>
      </c>
      <c r="J911" s="11">
        <f t="shared" si="22"/>
        <v>0</v>
      </c>
      <c r="K911" s="11">
        <f>IF(B911&lt;&gt;"", IFERROR(SUMIF(ขายสินค้า!G:G,H911,ขายสินค้า!F:F)/(E911-I911),0),)</f>
        <v>0</v>
      </c>
      <c r="L911" s="12">
        <f t="shared" si="23"/>
        <v>0</v>
      </c>
      <c r="M911" s="13">
        <f t="shared" si="24"/>
        <v>0</v>
      </c>
    </row>
    <row r="912" spans="1:13">
      <c r="A912" s="14"/>
      <c r="B912" s="6"/>
      <c r="C912" s="7">
        <f>IFERROR(VLOOKUP(B912,ชื่อสินค้า!A:C,2,FALSE),)</f>
        <v>0</v>
      </c>
      <c r="D912" s="8" t="str">
        <f>IFERROR(VLOOKUP(B912,ชื่อสินค้า!A:D,4,FALSE),"")</f>
        <v/>
      </c>
      <c r="E912" s="9"/>
      <c r="F912" s="9"/>
      <c r="G912" s="8" t="str">
        <f t="shared" si="20"/>
        <v/>
      </c>
      <c r="H912" s="10">
        <f t="shared" si="21"/>
        <v>0</v>
      </c>
      <c r="I912" s="8">
        <f>IF(G912&lt;&gt;"",E912-SUMIFS(ขายสินค้า!E:E,ขายสินค้า!G:G,H912),)</f>
        <v>0</v>
      </c>
      <c r="J912" s="11">
        <f t="shared" si="22"/>
        <v>0</v>
      </c>
      <c r="K912" s="11">
        <f>IF(B912&lt;&gt;"", IFERROR(SUMIF(ขายสินค้า!G:G,H912,ขายสินค้า!F:F)/(E912-I912),0),)</f>
        <v>0</v>
      </c>
      <c r="L912" s="12">
        <f t="shared" si="23"/>
        <v>0</v>
      </c>
      <c r="M912" s="13">
        <f t="shared" si="24"/>
        <v>0</v>
      </c>
    </row>
    <row r="913" spans="1:13">
      <c r="A913" s="14"/>
      <c r="B913" s="6"/>
      <c r="C913" s="7">
        <f>IFERROR(VLOOKUP(B913,ชื่อสินค้า!A:C,2,FALSE),)</f>
        <v>0</v>
      </c>
      <c r="D913" s="8" t="str">
        <f>IFERROR(VLOOKUP(B913,ชื่อสินค้า!A:D,4,FALSE),"")</f>
        <v/>
      </c>
      <c r="E913" s="9"/>
      <c r="F913" s="9"/>
      <c r="G913" s="8" t="str">
        <f t="shared" si="20"/>
        <v/>
      </c>
      <c r="H913" s="10">
        <f t="shared" si="21"/>
        <v>0</v>
      </c>
      <c r="I913" s="8">
        <f>IF(G913&lt;&gt;"",E913-SUMIFS(ขายสินค้า!E:E,ขายสินค้า!G:G,H913),)</f>
        <v>0</v>
      </c>
      <c r="J913" s="11">
        <f t="shared" si="22"/>
        <v>0</v>
      </c>
      <c r="K913" s="11">
        <f>IF(B913&lt;&gt;"", IFERROR(SUMIF(ขายสินค้า!G:G,H913,ขายสินค้า!F:F)/(E913-I913),0),)</f>
        <v>0</v>
      </c>
      <c r="L913" s="12">
        <f t="shared" si="23"/>
        <v>0</v>
      </c>
      <c r="M913" s="13">
        <f t="shared" si="24"/>
        <v>0</v>
      </c>
    </row>
    <row r="914" spans="1:13">
      <c r="A914" s="14"/>
      <c r="B914" s="6"/>
      <c r="C914" s="7">
        <f>IFERROR(VLOOKUP(B914,ชื่อสินค้า!A:C,2,FALSE),)</f>
        <v>0</v>
      </c>
      <c r="D914" s="8" t="str">
        <f>IFERROR(VLOOKUP(B914,ชื่อสินค้า!A:D,4,FALSE),"")</f>
        <v/>
      </c>
      <c r="E914" s="9"/>
      <c r="F914" s="9"/>
      <c r="G914" s="8" t="str">
        <f t="shared" si="20"/>
        <v/>
      </c>
      <c r="H914" s="10">
        <f t="shared" si="21"/>
        <v>0</v>
      </c>
      <c r="I914" s="8">
        <f>IF(G914&lt;&gt;"",E914-SUMIFS(ขายสินค้า!E:E,ขายสินค้า!G:G,H914),)</f>
        <v>0</v>
      </c>
      <c r="J914" s="11">
        <f t="shared" si="22"/>
        <v>0</v>
      </c>
      <c r="K914" s="11">
        <f>IF(B914&lt;&gt;"", IFERROR(SUMIF(ขายสินค้า!G:G,H914,ขายสินค้า!F:F)/(E914-I914),0),)</f>
        <v>0</v>
      </c>
      <c r="L914" s="12">
        <f t="shared" si="23"/>
        <v>0</v>
      </c>
      <c r="M914" s="13">
        <f t="shared" si="24"/>
        <v>0</v>
      </c>
    </row>
    <row r="915" spans="1:13">
      <c r="A915" s="14"/>
      <c r="B915" s="6"/>
      <c r="C915" s="7">
        <f>IFERROR(VLOOKUP(B915,ชื่อสินค้า!A:C,2,FALSE),)</f>
        <v>0</v>
      </c>
      <c r="D915" s="8" t="str">
        <f>IFERROR(VLOOKUP(B915,ชื่อสินค้า!A:D,4,FALSE),"")</f>
        <v/>
      </c>
      <c r="E915" s="9"/>
      <c r="F915" s="9"/>
      <c r="G915" s="8" t="str">
        <f t="shared" si="20"/>
        <v/>
      </c>
      <c r="H915" s="10">
        <f t="shared" si="21"/>
        <v>0</v>
      </c>
      <c r="I915" s="8">
        <f>IF(G915&lt;&gt;"",E915-SUMIFS(ขายสินค้า!E:E,ขายสินค้า!G:G,H915),)</f>
        <v>0</v>
      </c>
      <c r="J915" s="11">
        <f t="shared" si="22"/>
        <v>0</v>
      </c>
      <c r="K915" s="11">
        <f>IF(B915&lt;&gt;"", IFERROR(SUMIF(ขายสินค้า!G:G,H915,ขายสินค้า!F:F)/(E915-I915),0),)</f>
        <v>0</v>
      </c>
      <c r="L915" s="12">
        <f t="shared" si="23"/>
        <v>0</v>
      </c>
      <c r="M915" s="13">
        <f t="shared" si="24"/>
        <v>0</v>
      </c>
    </row>
    <row r="916" spans="1:13">
      <c r="A916" s="14"/>
      <c r="B916" s="6"/>
      <c r="C916" s="7">
        <f>IFERROR(VLOOKUP(B916,ชื่อสินค้า!A:C,2,FALSE),)</f>
        <v>0</v>
      </c>
      <c r="D916" s="8" t="str">
        <f>IFERROR(VLOOKUP(B916,ชื่อสินค้า!A:D,4,FALSE),"")</f>
        <v/>
      </c>
      <c r="E916" s="9"/>
      <c r="F916" s="9"/>
      <c r="G916" s="8" t="str">
        <f t="shared" si="20"/>
        <v/>
      </c>
      <c r="H916" s="10">
        <f t="shared" si="21"/>
        <v>0</v>
      </c>
      <c r="I916" s="8">
        <f>IF(G916&lt;&gt;"",E916-SUMIFS(ขายสินค้า!E:E,ขายสินค้า!G:G,H916),)</f>
        <v>0</v>
      </c>
      <c r="J916" s="11">
        <f t="shared" si="22"/>
        <v>0</v>
      </c>
      <c r="K916" s="11">
        <f>IF(B916&lt;&gt;"", IFERROR(SUMIF(ขายสินค้า!G:G,H916,ขายสินค้า!F:F)/(E916-I916),0),)</f>
        <v>0</v>
      </c>
      <c r="L916" s="12">
        <f t="shared" si="23"/>
        <v>0</v>
      </c>
      <c r="M916" s="13">
        <f t="shared" si="24"/>
        <v>0</v>
      </c>
    </row>
    <row r="917" spans="1:13">
      <c r="A917" s="14"/>
      <c r="B917" s="6"/>
      <c r="C917" s="7">
        <f>IFERROR(VLOOKUP(B917,ชื่อสินค้า!A:C,2,FALSE),)</f>
        <v>0</v>
      </c>
      <c r="D917" s="8" t="str">
        <f>IFERROR(VLOOKUP(B917,ชื่อสินค้า!A:D,4,FALSE),"")</f>
        <v/>
      </c>
      <c r="E917" s="9"/>
      <c r="F917" s="9"/>
      <c r="G917" s="8" t="str">
        <f t="shared" si="20"/>
        <v/>
      </c>
      <c r="H917" s="10">
        <f t="shared" si="21"/>
        <v>0</v>
      </c>
      <c r="I917" s="8">
        <f>IF(G917&lt;&gt;"",E917-SUMIFS(ขายสินค้า!E:E,ขายสินค้า!G:G,H917),)</f>
        <v>0</v>
      </c>
      <c r="J917" s="11">
        <f t="shared" si="22"/>
        <v>0</v>
      </c>
      <c r="K917" s="11">
        <f>IF(B917&lt;&gt;"", IFERROR(SUMIF(ขายสินค้า!G:G,H917,ขายสินค้า!F:F)/(E917-I917),0),)</f>
        <v>0</v>
      </c>
      <c r="L917" s="12">
        <f t="shared" si="23"/>
        <v>0</v>
      </c>
      <c r="M917" s="13">
        <f t="shared" si="24"/>
        <v>0</v>
      </c>
    </row>
    <row r="918" spans="1:13">
      <c r="A918" s="14"/>
      <c r="B918" s="6"/>
      <c r="C918" s="7">
        <f>IFERROR(VLOOKUP(B918,ชื่อสินค้า!A:C,2,FALSE),)</f>
        <v>0</v>
      </c>
      <c r="D918" s="8" t="str">
        <f>IFERROR(VLOOKUP(B918,ชื่อสินค้า!A:D,4,FALSE),"")</f>
        <v/>
      </c>
      <c r="E918" s="9"/>
      <c r="F918" s="9"/>
      <c r="G918" s="8" t="str">
        <f t="shared" si="20"/>
        <v/>
      </c>
      <c r="H918" s="10">
        <f t="shared" si="21"/>
        <v>0</v>
      </c>
      <c r="I918" s="8">
        <f>IF(G918&lt;&gt;"",E918-SUMIFS(ขายสินค้า!E:E,ขายสินค้า!G:G,H918),)</f>
        <v>0</v>
      </c>
      <c r="J918" s="11">
        <f t="shared" si="22"/>
        <v>0</v>
      </c>
      <c r="K918" s="11">
        <f>IF(B918&lt;&gt;"", IFERROR(SUMIF(ขายสินค้า!G:G,H918,ขายสินค้า!F:F)/(E918-I918),0),)</f>
        <v>0</v>
      </c>
      <c r="L918" s="12">
        <f t="shared" si="23"/>
        <v>0</v>
      </c>
      <c r="M918" s="13">
        <f t="shared" si="24"/>
        <v>0</v>
      </c>
    </row>
    <row r="919" spans="1:13">
      <c r="A919" s="14"/>
      <c r="B919" s="6"/>
      <c r="C919" s="7">
        <f>IFERROR(VLOOKUP(B919,ชื่อสินค้า!A:C,2,FALSE),)</f>
        <v>0</v>
      </c>
      <c r="D919" s="8" t="str">
        <f>IFERROR(VLOOKUP(B919,ชื่อสินค้า!A:D,4,FALSE),"")</f>
        <v/>
      </c>
      <c r="E919" s="9"/>
      <c r="F919" s="9"/>
      <c r="G919" s="8" t="str">
        <f t="shared" si="20"/>
        <v/>
      </c>
      <c r="H919" s="10">
        <f t="shared" si="21"/>
        <v>0</v>
      </c>
      <c r="I919" s="8">
        <f>IF(G919&lt;&gt;"",E919-SUMIFS(ขายสินค้า!E:E,ขายสินค้า!G:G,H919),)</f>
        <v>0</v>
      </c>
      <c r="J919" s="11">
        <f t="shared" si="22"/>
        <v>0</v>
      </c>
      <c r="K919" s="11">
        <f>IF(B919&lt;&gt;"", IFERROR(SUMIF(ขายสินค้า!G:G,H919,ขายสินค้า!F:F)/(E919-I919),0),)</f>
        <v>0</v>
      </c>
      <c r="L919" s="12">
        <f t="shared" si="23"/>
        <v>0</v>
      </c>
      <c r="M919" s="13">
        <f t="shared" si="24"/>
        <v>0</v>
      </c>
    </row>
    <row r="920" spans="1:13">
      <c r="A920" s="14"/>
      <c r="B920" s="6"/>
      <c r="C920" s="7">
        <f>IFERROR(VLOOKUP(B920,ชื่อสินค้า!A:C,2,FALSE),)</f>
        <v>0</v>
      </c>
      <c r="D920" s="8" t="str">
        <f>IFERROR(VLOOKUP(B920,ชื่อสินค้า!A:D,4,FALSE),"")</f>
        <v/>
      </c>
      <c r="E920" s="9"/>
      <c r="F920" s="9"/>
      <c r="G920" s="8" t="str">
        <f t="shared" si="20"/>
        <v/>
      </c>
      <c r="H920" s="10">
        <f t="shared" si="21"/>
        <v>0</v>
      </c>
      <c r="I920" s="8">
        <f>IF(G920&lt;&gt;"",E920-SUMIFS(ขายสินค้า!E:E,ขายสินค้า!G:G,H920),)</f>
        <v>0</v>
      </c>
      <c r="J920" s="11">
        <f t="shared" si="22"/>
        <v>0</v>
      </c>
      <c r="K920" s="11">
        <f>IF(B920&lt;&gt;"", IFERROR(SUMIF(ขายสินค้า!G:G,H920,ขายสินค้า!F:F)/(E920-I920),0),)</f>
        <v>0</v>
      </c>
      <c r="L920" s="12">
        <f t="shared" si="23"/>
        <v>0</v>
      </c>
      <c r="M920" s="13">
        <f t="shared" si="24"/>
        <v>0</v>
      </c>
    </row>
    <row r="921" spans="1:13">
      <c r="A921" s="14"/>
      <c r="B921" s="6"/>
      <c r="C921" s="7">
        <f>IFERROR(VLOOKUP(B921,ชื่อสินค้า!A:C,2,FALSE),)</f>
        <v>0</v>
      </c>
      <c r="D921" s="8" t="str">
        <f>IFERROR(VLOOKUP(B921,ชื่อสินค้า!A:D,4,FALSE),"")</f>
        <v/>
      </c>
      <c r="E921" s="9"/>
      <c r="F921" s="9"/>
      <c r="G921" s="8" t="str">
        <f t="shared" si="20"/>
        <v/>
      </c>
      <c r="H921" s="10">
        <f t="shared" si="21"/>
        <v>0</v>
      </c>
      <c r="I921" s="8">
        <f>IF(G921&lt;&gt;"",E921-SUMIFS(ขายสินค้า!E:E,ขายสินค้า!G:G,H921),)</f>
        <v>0</v>
      </c>
      <c r="J921" s="11">
        <f t="shared" si="22"/>
        <v>0</v>
      </c>
      <c r="K921" s="11">
        <f>IF(B921&lt;&gt;"", IFERROR(SUMIF(ขายสินค้า!G:G,H921,ขายสินค้า!F:F)/(E921-I921),0),)</f>
        <v>0</v>
      </c>
      <c r="L921" s="12">
        <f t="shared" si="23"/>
        <v>0</v>
      </c>
      <c r="M921" s="13">
        <f t="shared" si="24"/>
        <v>0</v>
      </c>
    </row>
    <row r="922" spans="1:13">
      <c r="A922" s="14"/>
      <c r="B922" s="6"/>
      <c r="C922" s="7">
        <f>IFERROR(VLOOKUP(B922,ชื่อสินค้า!A:C,2,FALSE),)</f>
        <v>0</v>
      </c>
      <c r="D922" s="8" t="str">
        <f>IFERROR(VLOOKUP(B922,ชื่อสินค้า!A:D,4,FALSE),"")</f>
        <v/>
      </c>
      <c r="E922" s="9"/>
      <c r="F922" s="9"/>
      <c r="G922" s="8" t="str">
        <f t="shared" si="20"/>
        <v/>
      </c>
      <c r="H922" s="10">
        <f t="shared" si="21"/>
        <v>0</v>
      </c>
      <c r="I922" s="8">
        <f>IF(G922&lt;&gt;"",E922-SUMIFS(ขายสินค้า!E:E,ขายสินค้า!G:G,H922),)</f>
        <v>0</v>
      </c>
      <c r="J922" s="11">
        <f t="shared" si="22"/>
        <v>0</v>
      </c>
      <c r="K922" s="11">
        <f>IF(B922&lt;&gt;"", IFERROR(SUMIF(ขายสินค้า!G:G,H922,ขายสินค้า!F:F)/(E922-I922),0),)</f>
        <v>0</v>
      </c>
      <c r="L922" s="12">
        <f t="shared" si="23"/>
        <v>0</v>
      </c>
      <c r="M922" s="13">
        <f t="shared" si="24"/>
        <v>0</v>
      </c>
    </row>
    <row r="923" spans="1:13">
      <c r="A923" s="14"/>
      <c r="B923" s="6"/>
      <c r="C923" s="7">
        <f>IFERROR(VLOOKUP(B923,ชื่อสินค้า!A:C,2,FALSE),)</f>
        <v>0</v>
      </c>
      <c r="D923" s="8" t="str">
        <f>IFERROR(VLOOKUP(B923,ชื่อสินค้า!A:D,4,FALSE),"")</f>
        <v/>
      </c>
      <c r="E923" s="9"/>
      <c r="F923" s="9"/>
      <c r="G923" s="8" t="str">
        <f t="shared" si="20"/>
        <v/>
      </c>
      <c r="H923" s="10">
        <f t="shared" si="21"/>
        <v>0</v>
      </c>
      <c r="I923" s="8">
        <f>IF(G923&lt;&gt;"",E923-SUMIFS(ขายสินค้า!E:E,ขายสินค้า!G:G,H923),)</f>
        <v>0</v>
      </c>
      <c r="J923" s="11">
        <f t="shared" si="22"/>
        <v>0</v>
      </c>
      <c r="K923" s="11">
        <f>IF(B923&lt;&gt;"", IFERROR(SUMIF(ขายสินค้า!G:G,H923,ขายสินค้า!F:F)/(E923-I923),0),)</f>
        <v>0</v>
      </c>
      <c r="L923" s="12">
        <f t="shared" si="23"/>
        <v>0</v>
      </c>
      <c r="M923" s="13">
        <f t="shared" si="24"/>
        <v>0</v>
      </c>
    </row>
    <row r="924" spans="1:13">
      <c r="A924" s="14"/>
      <c r="B924" s="6"/>
      <c r="C924" s="7">
        <f>IFERROR(VLOOKUP(B924,ชื่อสินค้า!A:C,2,FALSE),)</f>
        <v>0</v>
      </c>
      <c r="D924" s="8" t="str">
        <f>IFERROR(VLOOKUP(B924,ชื่อสินค้า!A:D,4,FALSE),"")</f>
        <v/>
      </c>
      <c r="E924" s="9"/>
      <c r="F924" s="9"/>
      <c r="G924" s="8" t="str">
        <f t="shared" si="20"/>
        <v/>
      </c>
      <c r="H924" s="10">
        <f t="shared" si="21"/>
        <v>0</v>
      </c>
      <c r="I924" s="8">
        <f>IF(G924&lt;&gt;"",E924-SUMIFS(ขายสินค้า!E:E,ขายสินค้า!G:G,H924),)</f>
        <v>0</v>
      </c>
      <c r="J924" s="11">
        <f t="shared" si="22"/>
        <v>0</v>
      </c>
      <c r="K924" s="11">
        <f>IF(B924&lt;&gt;"", IFERROR(SUMIF(ขายสินค้า!G:G,H924,ขายสินค้า!F:F)/(E924-I924),0),)</f>
        <v>0</v>
      </c>
      <c r="L924" s="12">
        <f t="shared" si="23"/>
        <v>0</v>
      </c>
      <c r="M924" s="13">
        <f t="shared" si="24"/>
        <v>0</v>
      </c>
    </row>
    <row r="925" spans="1:13">
      <c r="A925" s="14"/>
      <c r="B925" s="6"/>
      <c r="C925" s="7">
        <f>IFERROR(VLOOKUP(B925,ชื่อสินค้า!A:C,2,FALSE),)</f>
        <v>0</v>
      </c>
      <c r="D925" s="8" t="str">
        <f>IFERROR(VLOOKUP(B925,ชื่อสินค้า!A:D,4,FALSE),"")</f>
        <v/>
      </c>
      <c r="E925" s="9"/>
      <c r="F925" s="9"/>
      <c r="G925" s="8" t="str">
        <f t="shared" si="20"/>
        <v/>
      </c>
      <c r="H925" s="10">
        <f t="shared" si="21"/>
        <v>0</v>
      </c>
      <c r="I925" s="8">
        <f>IF(G925&lt;&gt;"",E925-SUMIFS(ขายสินค้า!E:E,ขายสินค้า!G:G,H925),)</f>
        <v>0</v>
      </c>
      <c r="J925" s="11">
        <f t="shared" si="22"/>
        <v>0</v>
      </c>
      <c r="K925" s="11">
        <f>IF(B925&lt;&gt;"", IFERROR(SUMIF(ขายสินค้า!G:G,H925,ขายสินค้า!F:F)/(E925-I925),0),)</f>
        <v>0</v>
      </c>
      <c r="L925" s="12">
        <f t="shared" si="23"/>
        <v>0</v>
      </c>
      <c r="M925" s="13">
        <f t="shared" si="24"/>
        <v>0</v>
      </c>
    </row>
    <row r="926" spans="1:13">
      <c r="A926" s="14"/>
      <c r="B926" s="6"/>
      <c r="C926" s="7">
        <f>IFERROR(VLOOKUP(B926,ชื่อสินค้า!A:C,2,FALSE),)</f>
        <v>0</v>
      </c>
      <c r="D926" s="8" t="str">
        <f>IFERROR(VLOOKUP(B926,ชื่อสินค้า!A:D,4,FALSE),"")</f>
        <v/>
      </c>
      <c r="E926" s="9"/>
      <c r="F926" s="9"/>
      <c r="G926" s="8" t="str">
        <f t="shared" si="20"/>
        <v/>
      </c>
      <c r="H926" s="10">
        <f t="shared" si="21"/>
        <v>0</v>
      </c>
      <c r="I926" s="8">
        <f>IF(G926&lt;&gt;"",E926-SUMIFS(ขายสินค้า!E:E,ขายสินค้า!G:G,H926),)</f>
        <v>0</v>
      </c>
      <c r="J926" s="11">
        <f t="shared" si="22"/>
        <v>0</v>
      </c>
      <c r="K926" s="11">
        <f>IF(B926&lt;&gt;"", IFERROR(SUMIF(ขายสินค้า!G:G,H926,ขายสินค้า!F:F)/(E926-I926),0),)</f>
        <v>0</v>
      </c>
      <c r="L926" s="12">
        <f t="shared" si="23"/>
        <v>0</v>
      </c>
      <c r="M926" s="13">
        <f t="shared" si="24"/>
        <v>0</v>
      </c>
    </row>
    <row r="927" spans="1:13">
      <c r="A927" s="14"/>
      <c r="B927" s="6"/>
      <c r="C927" s="7">
        <f>IFERROR(VLOOKUP(B927,ชื่อสินค้า!A:C,2,FALSE),)</f>
        <v>0</v>
      </c>
      <c r="D927" s="8" t="str">
        <f>IFERROR(VLOOKUP(B927,ชื่อสินค้า!A:D,4,FALSE),"")</f>
        <v/>
      </c>
      <c r="E927" s="9"/>
      <c r="F927" s="9"/>
      <c r="G927" s="8" t="str">
        <f t="shared" si="20"/>
        <v/>
      </c>
      <c r="H927" s="10">
        <f t="shared" si="21"/>
        <v>0</v>
      </c>
      <c r="I927" s="8">
        <f>IF(G927&lt;&gt;"",E927-SUMIFS(ขายสินค้า!E:E,ขายสินค้า!G:G,H927),)</f>
        <v>0</v>
      </c>
      <c r="J927" s="11">
        <f t="shared" si="22"/>
        <v>0</v>
      </c>
      <c r="K927" s="11">
        <f>IF(B927&lt;&gt;"", IFERROR(SUMIF(ขายสินค้า!G:G,H927,ขายสินค้า!F:F)/(E927-I927),0),)</f>
        <v>0</v>
      </c>
      <c r="L927" s="12">
        <f t="shared" si="23"/>
        <v>0</v>
      </c>
      <c r="M927" s="13">
        <f t="shared" si="24"/>
        <v>0</v>
      </c>
    </row>
    <row r="928" spans="1:13">
      <c r="A928" s="14"/>
      <c r="B928" s="6"/>
      <c r="C928" s="7">
        <f>IFERROR(VLOOKUP(B928,ชื่อสินค้า!A:C,2,FALSE),)</f>
        <v>0</v>
      </c>
      <c r="D928" s="8" t="str">
        <f>IFERROR(VLOOKUP(B928,ชื่อสินค้า!A:D,4,FALSE),"")</f>
        <v/>
      </c>
      <c r="E928" s="9"/>
      <c r="F928" s="9"/>
      <c r="G928" s="8" t="str">
        <f t="shared" si="20"/>
        <v/>
      </c>
      <c r="H928" s="10">
        <f t="shared" si="21"/>
        <v>0</v>
      </c>
      <c r="I928" s="8">
        <f>IF(G928&lt;&gt;"",E928-SUMIFS(ขายสินค้า!E:E,ขายสินค้า!G:G,H928),)</f>
        <v>0</v>
      </c>
      <c r="J928" s="11">
        <f t="shared" si="22"/>
        <v>0</v>
      </c>
      <c r="K928" s="11">
        <f>IF(B928&lt;&gt;"", IFERROR(SUMIF(ขายสินค้า!G:G,H928,ขายสินค้า!F:F)/(E928-I928),0),)</f>
        <v>0</v>
      </c>
      <c r="L928" s="12">
        <f t="shared" si="23"/>
        <v>0</v>
      </c>
      <c r="M928" s="13">
        <f t="shared" si="24"/>
        <v>0</v>
      </c>
    </row>
    <row r="929" spans="1:13">
      <c r="A929" s="14"/>
      <c r="B929" s="6"/>
      <c r="C929" s="7">
        <f>IFERROR(VLOOKUP(B929,ชื่อสินค้า!A:C,2,FALSE),)</f>
        <v>0</v>
      </c>
      <c r="D929" s="8" t="str">
        <f>IFERROR(VLOOKUP(B929,ชื่อสินค้า!A:D,4,FALSE),"")</f>
        <v/>
      </c>
      <c r="E929" s="9"/>
      <c r="F929" s="9"/>
      <c r="G929" s="8" t="str">
        <f t="shared" si="20"/>
        <v/>
      </c>
      <c r="H929" s="10">
        <f t="shared" si="21"/>
        <v>0</v>
      </c>
      <c r="I929" s="8">
        <f>IF(G929&lt;&gt;"",E929-SUMIFS(ขายสินค้า!E:E,ขายสินค้า!G:G,H929),)</f>
        <v>0</v>
      </c>
      <c r="J929" s="11">
        <f t="shared" si="22"/>
        <v>0</v>
      </c>
      <c r="K929" s="11">
        <f>IF(B929&lt;&gt;"", IFERROR(SUMIF(ขายสินค้า!G:G,H929,ขายสินค้า!F:F)/(E929-I929),0),)</f>
        <v>0</v>
      </c>
      <c r="L929" s="12">
        <f t="shared" si="23"/>
        <v>0</v>
      </c>
      <c r="M929" s="13">
        <f t="shared" si="24"/>
        <v>0</v>
      </c>
    </row>
    <row r="930" spans="1:13">
      <c r="A930" s="14"/>
      <c r="B930" s="6"/>
      <c r="C930" s="7">
        <f>IFERROR(VLOOKUP(B930,ชื่อสินค้า!A:C,2,FALSE),)</f>
        <v>0</v>
      </c>
      <c r="D930" s="8" t="str">
        <f>IFERROR(VLOOKUP(B930,ชื่อสินค้า!A:D,4,FALSE),"")</f>
        <v/>
      </c>
      <c r="E930" s="9"/>
      <c r="F930" s="9"/>
      <c r="G930" s="8" t="str">
        <f t="shared" si="20"/>
        <v/>
      </c>
      <c r="H930" s="10">
        <f t="shared" si="21"/>
        <v>0</v>
      </c>
      <c r="I930" s="8">
        <f>IF(G930&lt;&gt;"",E930-SUMIFS(ขายสินค้า!E:E,ขายสินค้า!G:G,H930),)</f>
        <v>0</v>
      </c>
      <c r="J930" s="11">
        <f t="shared" si="22"/>
        <v>0</v>
      </c>
      <c r="K930" s="11">
        <f>IF(B930&lt;&gt;"", IFERROR(SUMIF(ขายสินค้า!G:G,H930,ขายสินค้า!F:F)/(E930-I930),0),)</f>
        <v>0</v>
      </c>
      <c r="L930" s="12">
        <f t="shared" si="23"/>
        <v>0</v>
      </c>
      <c r="M930" s="13">
        <f t="shared" si="24"/>
        <v>0</v>
      </c>
    </row>
    <row r="931" spans="1:13">
      <c r="A931" s="14"/>
      <c r="B931" s="6"/>
      <c r="C931" s="7">
        <f>IFERROR(VLOOKUP(B931,ชื่อสินค้า!A:C,2,FALSE),)</f>
        <v>0</v>
      </c>
      <c r="D931" s="8" t="str">
        <f>IFERROR(VLOOKUP(B931,ชื่อสินค้า!A:D,4,FALSE),"")</f>
        <v/>
      </c>
      <c r="E931" s="9"/>
      <c r="F931" s="9"/>
      <c r="G931" s="8" t="str">
        <f t="shared" si="20"/>
        <v/>
      </c>
      <c r="H931" s="10">
        <f t="shared" si="21"/>
        <v>0</v>
      </c>
      <c r="I931" s="8">
        <f>IF(G931&lt;&gt;"",E931-SUMIFS(ขายสินค้า!E:E,ขายสินค้า!G:G,H931),)</f>
        <v>0</v>
      </c>
      <c r="J931" s="11">
        <f t="shared" si="22"/>
        <v>0</v>
      </c>
      <c r="K931" s="11">
        <f>IF(B931&lt;&gt;"", IFERROR(SUMIF(ขายสินค้า!G:G,H931,ขายสินค้า!F:F)/(E931-I931),0),)</f>
        <v>0</v>
      </c>
      <c r="L931" s="12">
        <f t="shared" si="23"/>
        <v>0</v>
      </c>
      <c r="M931" s="13">
        <f t="shared" si="24"/>
        <v>0</v>
      </c>
    </row>
    <row r="932" spans="1:13">
      <c r="A932" s="14"/>
      <c r="B932" s="6"/>
      <c r="C932" s="7">
        <f>IFERROR(VLOOKUP(B932,ชื่อสินค้า!A:C,2,FALSE),)</f>
        <v>0</v>
      </c>
      <c r="D932" s="8" t="str">
        <f>IFERROR(VLOOKUP(B932,ชื่อสินค้า!A:D,4,FALSE),"")</f>
        <v/>
      </c>
      <c r="E932" s="9"/>
      <c r="F932" s="9"/>
      <c r="G932" s="8" t="str">
        <f t="shared" si="20"/>
        <v/>
      </c>
      <c r="H932" s="10">
        <f t="shared" si="21"/>
        <v>0</v>
      </c>
      <c r="I932" s="8">
        <f>IF(G932&lt;&gt;"",E932-SUMIFS(ขายสินค้า!E:E,ขายสินค้า!G:G,H932),)</f>
        <v>0</v>
      </c>
      <c r="J932" s="11">
        <f t="shared" si="22"/>
        <v>0</v>
      </c>
      <c r="K932" s="11">
        <f>IF(B932&lt;&gt;"", IFERROR(SUMIF(ขายสินค้า!G:G,H932,ขายสินค้า!F:F)/(E932-I932),0),)</f>
        <v>0</v>
      </c>
      <c r="L932" s="12">
        <f t="shared" si="23"/>
        <v>0</v>
      </c>
      <c r="M932" s="13">
        <f t="shared" si="24"/>
        <v>0</v>
      </c>
    </row>
    <row r="933" spans="1:13">
      <c r="A933" s="14"/>
      <c r="B933" s="6"/>
      <c r="C933" s="7">
        <f>IFERROR(VLOOKUP(B933,ชื่อสินค้า!A:C,2,FALSE),)</f>
        <v>0</v>
      </c>
      <c r="D933" s="8" t="str">
        <f>IFERROR(VLOOKUP(B933,ชื่อสินค้า!A:D,4,FALSE),"")</f>
        <v/>
      </c>
      <c r="E933" s="9"/>
      <c r="F933" s="9"/>
      <c r="G933" s="8" t="str">
        <f t="shared" si="20"/>
        <v/>
      </c>
      <c r="H933" s="10">
        <f t="shared" si="21"/>
        <v>0</v>
      </c>
      <c r="I933" s="8">
        <f>IF(G933&lt;&gt;"",E933-SUMIFS(ขายสินค้า!E:E,ขายสินค้า!G:G,H933),)</f>
        <v>0</v>
      </c>
      <c r="J933" s="11">
        <f t="shared" si="22"/>
        <v>0</v>
      </c>
      <c r="K933" s="11">
        <f>IF(B933&lt;&gt;"", IFERROR(SUMIF(ขายสินค้า!G:G,H933,ขายสินค้า!F:F)/(E933-I933),0),)</f>
        <v>0</v>
      </c>
      <c r="L933" s="12">
        <f t="shared" si="23"/>
        <v>0</v>
      </c>
      <c r="M933" s="13">
        <f t="shared" si="24"/>
        <v>0</v>
      </c>
    </row>
    <row r="934" spans="1:13">
      <c r="A934" s="14"/>
      <c r="B934" s="6"/>
      <c r="C934" s="7">
        <f>IFERROR(VLOOKUP(B934,ชื่อสินค้า!A:C,2,FALSE),)</f>
        <v>0</v>
      </c>
      <c r="D934" s="8" t="str">
        <f>IFERROR(VLOOKUP(B934,ชื่อสินค้า!A:D,4,FALSE),"")</f>
        <v/>
      </c>
      <c r="E934" s="9"/>
      <c r="F934" s="9"/>
      <c r="G934" s="8" t="str">
        <f t="shared" si="20"/>
        <v/>
      </c>
      <c r="H934" s="10">
        <f t="shared" si="21"/>
        <v>0</v>
      </c>
      <c r="I934" s="8">
        <f>IF(G934&lt;&gt;"",E934-SUMIFS(ขายสินค้า!E:E,ขายสินค้า!G:G,H934),)</f>
        <v>0</v>
      </c>
      <c r="J934" s="11">
        <f t="shared" si="22"/>
        <v>0</v>
      </c>
      <c r="K934" s="11">
        <f>IF(B934&lt;&gt;"", IFERROR(SUMIF(ขายสินค้า!G:G,H934,ขายสินค้า!F:F)/(E934-I934),0),)</f>
        <v>0</v>
      </c>
      <c r="L934" s="12">
        <f t="shared" si="23"/>
        <v>0</v>
      </c>
      <c r="M934" s="13">
        <f t="shared" si="24"/>
        <v>0</v>
      </c>
    </row>
    <row r="935" spans="1:13">
      <c r="A935" s="14"/>
      <c r="B935" s="6"/>
      <c r="C935" s="7">
        <f>IFERROR(VLOOKUP(B935,ชื่อสินค้า!A:C,2,FALSE),)</f>
        <v>0</v>
      </c>
      <c r="D935" s="8" t="str">
        <f>IFERROR(VLOOKUP(B935,ชื่อสินค้า!A:D,4,FALSE),"")</f>
        <v/>
      </c>
      <c r="E935" s="9"/>
      <c r="F935" s="9"/>
      <c r="G935" s="8" t="str">
        <f t="shared" si="20"/>
        <v/>
      </c>
      <c r="H935" s="10">
        <f t="shared" si="21"/>
        <v>0</v>
      </c>
      <c r="I935" s="8">
        <f>IF(G935&lt;&gt;"",E935-SUMIFS(ขายสินค้า!E:E,ขายสินค้า!G:G,H935),)</f>
        <v>0</v>
      </c>
      <c r="J935" s="11">
        <f t="shared" si="22"/>
        <v>0</v>
      </c>
      <c r="K935" s="11">
        <f>IF(B935&lt;&gt;"", IFERROR(SUMIF(ขายสินค้า!G:G,H935,ขายสินค้า!F:F)/(E935-I935),0),)</f>
        <v>0</v>
      </c>
      <c r="L935" s="12">
        <f t="shared" si="23"/>
        <v>0</v>
      </c>
      <c r="M935" s="13">
        <f t="shared" si="24"/>
        <v>0</v>
      </c>
    </row>
    <row r="936" spans="1:13">
      <c r="A936" s="14"/>
      <c r="B936" s="6"/>
      <c r="C936" s="7">
        <f>IFERROR(VLOOKUP(B936,ชื่อสินค้า!A:C,2,FALSE),)</f>
        <v>0</v>
      </c>
      <c r="D936" s="8" t="str">
        <f>IFERROR(VLOOKUP(B936,ชื่อสินค้า!A:D,4,FALSE),"")</f>
        <v/>
      </c>
      <c r="E936" s="9"/>
      <c r="F936" s="9"/>
      <c r="G936" s="8" t="str">
        <f t="shared" si="20"/>
        <v/>
      </c>
      <c r="H936" s="10">
        <f t="shared" si="21"/>
        <v>0</v>
      </c>
      <c r="I936" s="8">
        <f>IF(G936&lt;&gt;"",E936-SUMIFS(ขายสินค้า!E:E,ขายสินค้า!G:G,H936),)</f>
        <v>0</v>
      </c>
      <c r="J936" s="11">
        <f t="shared" si="22"/>
        <v>0</v>
      </c>
      <c r="K936" s="11">
        <f>IF(B936&lt;&gt;"", IFERROR(SUMIF(ขายสินค้า!G:G,H936,ขายสินค้า!F:F)/(E936-I936),0),)</f>
        <v>0</v>
      </c>
      <c r="L936" s="12">
        <f t="shared" si="23"/>
        <v>0</v>
      </c>
      <c r="M936" s="13">
        <f t="shared" si="24"/>
        <v>0</v>
      </c>
    </row>
    <row r="937" spans="1:13">
      <c r="A937" s="14"/>
      <c r="B937" s="6"/>
      <c r="C937" s="7">
        <f>IFERROR(VLOOKUP(B937,ชื่อสินค้า!A:C,2,FALSE),)</f>
        <v>0</v>
      </c>
      <c r="D937" s="8" t="str">
        <f>IFERROR(VLOOKUP(B937,ชื่อสินค้า!A:D,4,FALSE),"")</f>
        <v/>
      </c>
      <c r="E937" s="9"/>
      <c r="F937" s="9"/>
      <c r="G937" s="8" t="str">
        <f t="shared" si="20"/>
        <v/>
      </c>
      <c r="H937" s="10">
        <f t="shared" si="21"/>
        <v>0</v>
      </c>
      <c r="I937" s="8">
        <f>IF(G937&lt;&gt;"",E937-SUMIFS(ขายสินค้า!E:E,ขายสินค้า!G:G,H937),)</f>
        <v>0</v>
      </c>
      <c r="J937" s="11">
        <f t="shared" si="22"/>
        <v>0</v>
      </c>
      <c r="K937" s="11">
        <f>IF(B937&lt;&gt;"", IFERROR(SUMIF(ขายสินค้า!G:G,H937,ขายสินค้า!F:F)/(E937-I937),0),)</f>
        <v>0</v>
      </c>
      <c r="L937" s="12">
        <f t="shared" si="23"/>
        <v>0</v>
      </c>
      <c r="M937" s="13">
        <f t="shared" si="24"/>
        <v>0</v>
      </c>
    </row>
    <row r="938" spans="1:13">
      <c r="A938" s="14"/>
      <c r="B938" s="6"/>
      <c r="C938" s="7">
        <f>IFERROR(VLOOKUP(B938,ชื่อสินค้า!A:C,2,FALSE),)</f>
        <v>0</v>
      </c>
      <c r="D938" s="8" t="str">
        <f>IFERROR(VLOOKUP(B938,ชื่อสินค้า!A:D,4,FALSE),"")</f>
        <v/>
      </c>
      <c r="E938" s="9"/>
      <c r="F938" s="9"/>
      <c r="G938" s="8" t="str">
        <f t="shared" si="20"/>
        <v/>
      </c>
      <c r="H938" s="10">
        <f t="shared" si="21"/>
        <v>0</v>
      </c>
      <c r="I938" s="8">
        <f>IF(G938&lt;&gt;"",E938-SUMIFS(ขายสินค้า!E:E,ขายสินค้า!G:G,H938),)</f>
        <v>0</v>
      </c>
      <c r="J938" s="11">
        <f t="shared" si="22"/>
        <v>0</v>
      </c>
      <c r="K938" s="11">
        <f>IF(B938&lt;&gt;"", IFERROR(SUMIF(ขายสินค้า!G:G,H938,ขายสินค้า!F:F)/(E938-I938),0),)</f>
        <v>0</v>
      </c>
      <c r="L938" s="12">
        <f t="shared" si="23"/>
        <v>0</v>
      </c>
      <c r="M938" s="13">
        <f t="shared" si="24"/>
        <v>0</v>
      </c>
    </row>
    <row r="939" spans="1:13">
      <c r="A939" s="14"/>
      <c r="B939" s="6"/>
      <c r="C939" s="7">
        <f>IFERROR(VLOOKUP(B939,ชื่อสินค้า!A:C,2,FALSE),)</f>
        <v>0</v>
      </c>
      <c r="D939" s="8" t="str">
        <f>IFERROR(VLOOKUP(B939,ชื่อสินค้า!A:D,4,FALSE),"")</f>
        <v/>
      </c>
      <c r="E939" s="9"/>
      <c r="F939" s="9"/>
      <c r="G939" s="8" t="str">
        <f t="shared" si="20"/>
        <v/>
      </c>
      <c r="H939" s="10">
        <f t="shared" si="21"/>
        <v>0</v>
      </c>
      <c r="I939" s="8">
        <f>IF(G939&lt;&gt;"",E939-SUMIFS(ขายสินค้า!E:E,ขายสินค้า!G:G,H939),)</f>
        <v>0</v>
      </c>
      <c r="J939" s="11">
        <f t="shared" si="22"/>
        <v>0</v>
      </c>
      <c r="K939" s="11">
        <f>IF(B939&lt;&gt;"", IFERROR(SUMIF(ขายสินค้า!G:G,H939,ขายสินค้า!F:F)/(E939-I939),0),)</f>
        <v>0</v>
      </c>
      <c r="L939" s="12">
        <f t="shared" si="23"/>
        <v>0</v>
      </c>
      <c r="M939" s="13">
        <f t="shared" si="24"/>
        <v>0</v>
      </c>
    </row>
    <row r="940" spans="1:13">
      <c r="A940" s="14"/>
      <c r="B940" s="6"/>
      <c r="C940" s="7">
        <f>IFERROR(VLOOKUP(B940,ชื่อสินค้า!A:C,2,FALSE),)</f>
        <v>0</v>
      </c>
      <c r="D940" s="8" t="str">
        <f>IFERROR(VLOOKUP(B940,ชื่อสินค้า!A:D,4,FALSE),"")</f>
        <v/>
      </c>
      <c r="E940" s="9"/>
      <c r="F940" s="9"/>
      <c r="G940" s="8" t="str">
        <f t="shared" si="20"/>
        <v/>
      </c>
      <c r="H940" s="10">
        <f t="shared" si="21"/>
        <v>0</v>
      </c>
      <c r="I940" s="8">
        <f>IF(G940&lt;&gt;"",E940-SUMIFS(ขายสินค้า!E:E,ขายสินค้า!G:G,H940),)</f>
        <v>0</v>
      </c>
      <c r="J940" s="11">
        <f t="shared" si="22"/>
        <v>0</v>
      </c>
      <c r="K940" s="11">
        <f>IF(B940&lt;&gt;"", IFERROR(SUMIF(ขายสินค้า!G:G,H940,ขายสินค้า!F:F)/(E940-I940),0),)</f>
        <v>0</v>
      </c>
      <c r="L940" s="12">
        <f t="shared" si="23"/>
        <v>0</v>
      </c>
      <c r="M940" s="13">
        <f t="shared" si="24"/>
        <v>0</v>
      </c>
    </row>
    <row r="941" spans="1:13">
      <c r="A941" s="14"/>
      <c r="B941" s="6"/>
      <c r="C941" s="7">
        <f>IFERROR(VLOOKUP(B941,ชื่อสินค้า!A:C,2,FALSE),)</f>
        <v>0</v>
      </c>
      <c r="D941" s="8" t="str">
        <f>IFERROR(VLOOKUP(B941,ชื่อสินค้า!A:D,4,FALSE),"")</f>
        <v/>
      </c>
      <c r="E941" s="9"/>
      <c r="F941" s="9"/>
      <c r="G941" s="8" t="str">
        <f t="shared" si="20"/>
        <v/>
      </c>
      <c r="H941" s="10">
        <f t="shared" si="21"/>
        <v>0</v>
      </c>
      <c r="I941" s="8">
        <f>IF(G941&lt;&gt;"",E941-SUMIFS(ขายสินค้า!E:E,ขายสินค้า!G:G,H941),)</f>
        <v>0</v>
      </c>
      <c r="J941" s="11">
        <f t="shared" si="22"/>
        <v>0</v>
      </c>
      <c r="K941" s="11">
        <f>IF(B941&lt;&gt;"", IFERROR(SUMIF(ขายสินค้า!G:G,H941,ขายสินค้า!F:F)/(E941-I941),0),)</f>
        <v>0</v>
      </c>
      <c r="L941" s="12">
        <f t="shared" si="23"/>
        <v>0</v>
      </c>
      <c r="M941" s="13">
        <f t="shared" si="24"/>
        <v>0</v>
      </c>
    </row>
    <row r="942" spans="1:13">
      <c r="A942" s="14"/>
      <c r="B942" s="6"/>
      <c r="C942" s="7">
        <f>IFERROR(VLOOKUP(B942,ชื่อสินค้า!A:C,2,FALSE),)</f>
        <v>0</v>
      </c>
      <c r="D942" s="8" t="str">
        <f>IFERROR(VLOOKUP(B942,ชื่อสินค้า!A:D,4,FALSE),"")</f>
        <v/>
      </c>
      <c r="E942" s="9"/>
      <c r="F942" s="9"/>
      <c r="G942" s="8" t="str">
        <f t="shared" si="20"/>
        <v/>
      </c>
      <c r="H942" s="10">
        <f t="shared" si="21"/>
        <v>0</v>
      </c>
      <c r="I942" s="8">
        <f>IF(G942&lt;&gt;"",E942-SUMIFS(ขายสินค้า!E:E,ขายสินค้า!G:G,H942),)</f>
        <v>0</v>
      </c>
      <c r="J942" s="11">
        <f t="shared" si="22"/>
        <v>0</v>
      </c>
      <c r="K942" s="11">
        <f>IF(B942&lt;&gt;"", IFERROR(SUMIF(ขายสินค้า!G:G,H942,ขายสินค้า!F:F)/(E942-I942),0),)</f>
        <v>0</v>
      </c>
      <c r="L942" s="12">
        <f t="shared" si="23"/>
        <v>0</v>
      </c>
      <c r="M942" s="13">
        <f t="shared" si="24"/>
        <v>0</v>
      </c>
    </row>
    <row r="943" spans="1:13">
      <c r="A943" s="14"/>
      <c r="B943" s="6"/>
      <c r="C943" s="7">
        <f>IFERROR(VLOOKUP(B943,ชื่อสินค้า!A:C,2,FALSE),)</f>
        <v>0</v>
      </c>
      <c r="D943" s="8" t="str">
        <f>IFERROR(VLOOKUP(B943,ชื่อสินค้า!A:D,4,FALSE),"")</f>
        <v/>
      </c>
      <c r="E943" s="9"/>
      <c r="F943" s="9"/>
      <c r="G943" s="8" t="str">
        <f t="shared" si="20"/>
        <v/>
      </c>
      <c r="H943" s="10">
        <f t="shared" si="21"/>
        <v>0</v>
      </c>
      <c r="I943" s="8">
        <f>IF(G943&lt;&gt;"",E943-SUMIFS(ขายสินค้า!E:E,ขายสินค้า!G:G,H943),)</f>
        <v>0</v>
      </c>
      <c r="J943" s="11">
        <f t="shared" si="22"/>
        <v>0</v>
      </c>
      <c r="K943" s="11">
        <f>IF(B943&lt;&gt;"", IFERROR(SUMIF(ขายสินค้า!G:G,H943,ขายสินค้า!F:F)/(E943-I943),0),)</f>
        <v>0</v>
      </c>
      <c r="L943" s="12">
        <f t="shared" si="23"/>
        <v>0</v>
      </c>
      <c r="M943" s="13">
        <f t="shared" si="24"/>
        <v>0</v>
      </c>
    </row>
    <row r="944" spans="1:13">
      <c r="A944" s="14"/>
      <c r="B944" s="6"/>
      <c r="C944" s="7">
        <f>IFERROR(VLOOKUP(B944,ชื่อสินค้า!A:C,2,FALSE),)</f>
        <v>0</v>
      </c>
      <c r="D944" s="8" t="str">
        <f>IFERROR(VLOOKUP(B944,ชื่อสินค้า!A:D,4,FALSE),"")</f>
        <v/>
      </c>
      <c r="E944" s="9"/>
      <c r="F944" s="9"/>
      <c r="G944" s="8" t="str">
        <f t="shared" si="20"/>
        <v/>
      </c>
      <c r="H944" s="10">
        <f t="shared" si="21"/>
        <v>0</v>
      </c>
      <c r="I944" s="8">
        <f>IF(G944&lt;&gt;"",E944-SUMIFS(ขายสินค้า!E:E,ขายสินค้า!G:G,H944),)</f>
        <v>0</v>
      </c>
      <c r="J944" s="11">
        <f t="shared" si="22"/>
        <v>0</v>
      </c>
      <c r="K944" s="11">
        <f>IF(B944&lt;&gt;"", IFERROR(SUMIF(ขายสินค้า!G:G,H944,ขายสินค้า!F:F)/(E944-I944),0),)</f>
        <v>0</v>
      </c>
      <c r="L944" s="12">
        <f t="shared" si="23"/>
        <v>0</v>
      </c>
      <c r="M944" s="13">
        <f t="shared" si="24"/>
        <v>0</v>
      </c>
    </row>
    <row r="945" spans="1:13">
      <c r="A945" s="14"/>
      <c r="B945" s="6"/>
      <c r="C945" s="7">
        <f>IFERROR(VLOOKUP(B945,ชื่อสินค้า!A:C,2,FALSE),)</f>
        <v>0</v>
      </c>
      <c r="D945" s="8" t="str">
        <f>IFERROR(VLOOKUP(B945,ชื่อสินค้า!A:D,4,FALSE),"")</f>
        <v/>
      </c>
      <c r="E945" s="9"/>
      <c r="F945" s="9"/>
      <c r="G945" s="8" t="str">
        <f t="shared" si="20"/>
        <v/>
      </c>
      <c r="H945" s="10">
        <f t="shared" si="21"/>
        <v>0</v>
      </c>
      <c r="I945" s="8">
        <f>IF(G945&lt;&gt;"",E945-SUMIFS(ขายสินค้า!E:E,ขายสินค้า!G:G,H945),)</f>
        <v>0</v>
      </c>
      <c r="J945" s="11">
        <f t="shared" si="22"/>
        <v>0</v>
      </c>
      <c r="K945" s="11">
        <f>IF(B945&lt;&gt;"", IFERROR(SUMIF(ขายสินค้า!G:G,H945,ขายสินค้า!F:F)/(E945-I945),0),)</f>
        <v>0</v>
      </c>
      <c r="L945" s="12">
        <f t="shared" si="23"/>
        <v>0</v>
      </c>
      <c r="M945" s="13">
        <f t="shared" si="24"/>
        <v>0</v>
      </c>
    </row>
    <row r="946" spans="1:13">
      <c r="A946" s="14"/>
      <c r="B946" s="6"/>
      <c r="C946" s="7">
        <f>IFERROR(VLOOKUP(B946,ชื่อสินค้า!A:C,2,FALSE),)</f>
        <v>0</v>
      </c>
      <c r="D946" s="8" t="str">
        <f>IFERROR(VLOOKUP(B946,ชื่อสินค้า!A:D,4,FALSE),"")</f>
        <v/>
      </c>
      <c r="E946" s="9"/>
      <c r="F946" s="9"/>
      <c r="G946" s="8" t="str">
        <f t="shared" si="20"/>
        <v/>
      </c>
      <c r="H946" s="10">
        <f t="shared" si="21"/>
        <v>0</v>
      </c>
      <c r="I946" s="8">
        <f>IF(G946&lt;&gt;"",E946-SUMIFS(ขายสินค้า!E:E,ขายสินค้า!G:G,H946),)</f>
        <v>0</v>
      </c>
      <c r="J946" s="11">
        <f t="shared" si="22"/>
        <v>0</v>
      </c>
      <c r="K946" s="11">
        <f>IF(B946&lt;&gt;"", IFERROR(SUMIF(ขายสินค้า!G:G,H946,ขายสินค้า!F:F)/(E946-I946),0),)</f>
        <v>0</v>
      </c>
      <c r="L946" s="12">
        <f t="shared" si="23"/>
        <v>0</v>
      </c>
      <c r="M946" s="13">
        <f t="shared" si="24"/>
        <v>0</v>
      </c>
    </row>
    <row r="947" spans="1:13">
      <c r="A947" s="14"/>
      <c r="B947" s="6"/>
      <c r="C947" s="7">
        <f>IFERROR(VLOOKUP(B947,ชื่อสินค้า!A:C,2,FALSE),)</f>
        <v>0</v>
      </c>
      <c r="D947" s="8" t="str">
        <f>IFERROR(VLOOKUP(B947,ชื่อสินค้า!A:D,4,FALSE),"")</f>
        <v/>
      </c>
      <c r="E947" s="9"/>
      <c r="F947" s="9"/>
      <c r="G947" s="8" t="str">
        <f t="shared" si="20"/>
        <v/>
      </c>
      <c r="H947" s="10">
        <f t="shared" si="21"/>
        <v>0</v>
      </c>
      <c r="I947" s="8">
        <f>IF(G947&lt;&gt;"",E947-SUMIFS(ขายสินค้า!E:E,ขายสินค้า!G:G,H947),)</f>
        <v>0</v>
      </c>
      <c r="J947" s="11">
        <f t="shared" si="22"/>
        <v>0</v>
      </c>
      <c r="K947" s="11">
        <f>IF(B947&lt;&gt;"", IFERROR(SUMIF(ขายสินค้า!G:G,H947,ขายสินค้า!F:F)/(E947-I947),0),)</f>
        <v>0</v>
      </c>
      <c r="L947" s="12">
        <f t="shared" si="23"/>
        <v>0</v>
      </c>
      <c r="M947" s="13">
        <f t="shared" si="24"/>
        <v>0</v>
      </c>
    </row>
    <row r="948" spans="1:13">
      <c r="A948" s="14"/>
      <c r="B948" s="6"/>
      <c r="C948" s="7">
        <f>IFERROR(VLOOKUP(B948,ชื่อสินค้า!A:C,2,FALSE),)</f>
        <v>0</v>
      </c>
      <c r="D948" s="8" t="str">
        <f>IFERROR(VLOOKUP(B948,ชื่อสินค้า!A:D,4,FALSE),"")</f>
        <v/>
      </c>
      <c r="E948" s="9"/>
      <c r="F948" s="9"/>
      <c r="G948" s="8" t="str">
        <f t="shared" si="20"/>
        <v/>
      </c>
      <c r="H948" s="10">
        <f t="shared" si="21"/>
        <v>0</v>
      </c>
      <c r="I948" s="8">
        <f>IF(G948&lt;&gt;"",E948-SUMIFS(ขายสินค้า!E:E,ขายสินค้า!G:G,H948),)</f>
        <v>0</v>
      </c>
      <c r="J948" s="11">
        <f t="shared" si="22"/>
        <v>0</v>
      </c>
      <c r="K948" s="11">
        <f>IF(B948&lt;&gt;"", IFERROR(SUMIF(ขายสินค้า!G:G,H948,ขายสินค้า!F:F)/(E948-I948),0),)</f>
        <v>0</v>
      </c>
      <c r="L948" s="12">
        <f t="shared" si="23"/>
        <v>0</v>
      </c>
      <c r="M948" s="13">
        <f t="shared" si="24"/>
        <v>0</v>
      </c>
    </row>
    <row r="949" spans="1:13">
      <c r="A949" s="14"/>
      <c r="B949" s="6"/>
      <c r="C949" s="7">
        <f>IFERROR(VLOOKUP(B949,ชื่อสินค้า!A:C,2,FALSE),)</f>
        <v>0</v>
      </c>
      <c r="D949" s="8" t="str">
        <f>IFERROR(VLOOKUP(B949,ชื่อสินค้า!A:D,4,FALSE),"")</f>
        <v/>
      </c>
      <c r="E949" s="9"/>
      <c r="F949" s="9"/>
      <c r="G949" s="8" t="str">
        <f t="shared" si="20"/>
        <v/>
      </c>
      <c r="H949" s="10">
        <f t="shared" si="21"/>
        <v>0</v>
      </c>
      <c r="I949" s="8">
        <f>IF(G949&lt;&gt;"",E949-SUMIFS(ขายสินค้า!E:E,ขายสินค้า!G:G,H949),)</f>
        <v>0</v>
      </c>
      <c r="J949" s="11">
        <f t="shared" si="22"/>
        <v>0</v>
      </c>
      <c r="K949" s="11">
        <f>IF(B949&lt;&gt;"", IFERROR(SUMIF(ขายสินค้า!G:G,H949,ขายสินค้า!F:F)/(E949-I949),0),)</f>
        <v>0</v>
      </c>
      <c r="L949" s="12">
        <f t="shared" si="23"/>
        <v>0</v>
      </c>
      <c r="M949" s="13">
        <f t="shared" si="24"/>
        <v>0</v>
      </c>
    </row>
    <row r="950" spans="1:13">
      <c r="A950" s="14"/>
      <c r="B950" s="6"/>
      <c r="C950" s="7">
        <f>IFERROR(VLOOKUP(B950,ชื่อสินค้า!A:C,2,FALSE),)</f>
        <v>0</v>
      </c>
      <c r="D950" s="8" t="str">
        <f>IFERROR(VLOOKUP(B950,ชื่อสินค้า!A:D,4,FALSE),"")</f>
        <v/>
      </c>
      <c r="E950" s="9"/>
      <c r="F950" s="9"/>
      <c r="G950" s="8" t="str">
        <f t="shared" si="20"/>
        <v/>
      </c>
      <c r="H950" s="10">
        <f t="shared" si="21"/>
        <v>0</v>
      </c>
      <c r="I950" s="8">
        <f>IF(G950&lt;&gt;"",E950-SUMIFS(ขายสินค้า!E:E,ขายสินค้า!G:G,H950),)</f>
        <v>0</v>
      </c>
      <c r="J950" s="11">
        <f t="shared" si="22"/>
        <v>0</v>
      </c>
      <c r="K950" s="11">
        <f>IF(B950&lt;&gt;"", IFERROR(SUMIF(ขายสินค้า!G:G,H950,ขายสินค้า!F:F)/(E950-I950),0),)</f>
        <v>0</v>
      </c>
      <c r="L950" s="12">
        <f t="shared" si="23"/>
        <v>0</v>
      </c>
      <c r="M950" s="13">
        <f t="shared" si="24"/>
        <v>0</v>
      </c>
    </row>
    <row r="951" spans="1:13">
      <c r="A951" s="14"/>
      <c r="B951" s="6"/>
      <c r="C951" s="7">
        <f>IFERROR(VLOOKUP(B951,ชื่อสินค้า!A:C,2,FALSE),)</f>
        <v>0</v>
      </c>
      <c r="D951" s="8" t="str">
        <f>IFERROR(VLOOKUP(B951,ชื่อสินค้า!A:D,4,FALSE),"")</f>
        <v/>
      </c>
      <c r="E951" s="9"/>
      <c r="F951" s="9"/>
      <c r="G951" s="8" t="str">
        <f t="shared" si="20"/>
        <v/>
      </c>
      <c r="H951" s="10">
        <f t="shared" si="21"/>
        <v>0</v>
      </c>
      <c r="I951" s="8">
        <f>IF(G951&lt;&gt;"",E951-SUMIFS(ขายสินค้า!E:E,ขายสินค้า!G:G,H951),)</f>
        <v>0</v>
      </c>
      <c r="J951" s="11">
        <f t="shared" si="22"/>
        <v>0</v>
      </c>
      <c r="K951" s="11">
        <f>IF(B951&lt;&gt;"", IFERROR(SUMIF(ขายสินค้า!G:G,H951,ขายสินค้า!F:F)/(E951-I951),0),)</f>
        <v>0</v>
      </c>
      <c r="L951" s="12">
        <f t="shared" si="23"/>
        <v>0</v>
      </c>
      <c r="M951" s="13">
        <f t="shared" si="24"/>
        <v>0</v>
      </c>
    </row>
    <row r="952" spans="1:13">
      <c r="A952" s="14"/>
      <c r="B952" s="6"/>
      <c r="C952" s="7">
        <f>IFERROR(VLOOKUP(B952,ชื่อสินค้า!A:C,2,FALSE),)</f>
        <v>0</v>
      </c>
      <c r="D952" s="8" t="str">
        <f>IFERROR(VLOOKUP(B952,ชื่อสินค้า!A:D,4,FALSE),"")</f>
        <v/>
      </c>
      <c r="E952" s="9"/>
      <c r="F952" s="9"/>
      <c r="G952" s="8" t="str">
        <f t="shared" si="20"/>
        <v/>
      </c>
      <c r="H952" s="10">
        <f t="shared" si="21"/>
        <v>0</v>
      </c>
      <c r="I952" s="8">
        <f>IF(G952&lt;&gt;"",E952-SUMIFS(ขายสินค้า!E:E,ขายสินค้า!G:G,H952),)</f>
        <v>0</v>
      </c>
      <c r="J952" s="11">
        <f t="shared" si="22"/>
        <v>0</v>
      </c>
      <c r="K952" s="11">
        <f>IF(B952&lt;&gt;"", IFERROR(SUMIF(ขายสินค้า!G:G,H952,ขายสินค้า!F:F)/(E952-I952),0),)</f>
        <v>0</v>
      </c>
      <c r="L952" s="12">
        <f t="shared" si="23"/>
        <v>0</v>
      </c>
      <c r="M952" s="13">
        <f t="shared" si="24"/>
        <v>0</v>
      </c>
    </row>
    <row r="953" spans="1:13">
      <c r="A953" s="14"/>
      <c r="B953" s="6"/>
      <c r="C953" s="7">
        <f>IFERROR(VLOOKUP(B953,ชื่อสินค้า!A:C,2,FALSE),)</f>
        <v>0</v>
      </c>
      <c r="D953" s="8" t="str">
        <f>IFERROR(VLOOKUP(B953,ชื่อสินค้า!A:D,4,FALSE),"")</f>
        <v/>
      </c>
      <c r="E953" s="9"/>
      <c r="F953" s="9"/>
      <c r="G953" s="8" t="str">
        <f t="shared" si="20"/>
        <v/>
      </c>
      <c r="H953" s="10">
        <f t="shared" si="21"/>
        <v>0</v>
      </c>
      <c r="I953" s="8">
        <f>IF(G953&lt;&gt;"",E953-SUMIFS(ขายสินค้า!E:E,ขายสินค้า!G:G,H953),)</f>
        <v>0</v>
      </c>
      <c r="J953" s="11">
        <f t="shared" si="22"/>
        <v>0</v>
      </c>
      <c r="K953" s="11">
        <f>IF(B953&lt;&gt;"", IFERROR(SUMIF(ขายสินค้า!G:G,H953,ขายสินค้า!F:F)/(E953-I953),0),)</f>
        <v>0</v>
      </c>
      <c r="L953" s="12">
        <f t="shared" si="23"/>
        <v>0</v>
      </c>
      <c r="M953" s="13">
        <f t="shared" si="24"/>
        <v>0</v>
      </c>
    </row>
    <row r="954" spans="1:13">
      <c r="A954" s="14"/>
      <c r="B954" s="6"/>
      <c r="C954" s="7">
        <f>IFERROR(VLOOKUP(B954,ชื่อสินค้า!A:C,2,FALSE),)</f>
        <v>0</v>
      </c>
      <c r="D954" s="8" t="str">
        <f>IFERROR(VLOOKUP(B954,ชื่อสินค้า!A:D,4,FALSE),"")</f>
        <v/>
      </c>
      <c r="E954" s="9"/>
      <c r="F954" s="9"/>
      <c r="G954" s="8" t="str">
        <f t="shared" si="20"/>
        <v/>
      </c>
      <c r="H954" s="10">
        <f t="shared" si="21"/>
        <v>0</v>
      </c>
      <c r="I954" s="8">
        <f>IF(G954&lt;&gt;"",E954-SUMIFS(ขายสินค้า!E:E,ขายสินค้า!G:G,H954),)</f>
        <v>0</v>
      </c>
      <c r="J954" s="11">
        <f t="shared" si="22"/>
        <v>0</v>
      </c>
      <c r="K954" s="11">
        <f>IF(B954&lt;&gt;"", IFERROR(SUMIF(ขายสินค้า!G:G,H954,ขายสินค้า!F:F)/(E954-I954),0),)</f>
        <v>0</v>
      </c>
      <c r="L954" s="12">
        <f t="shared" si="23"/>
        <v>0</v>
      </c>
      <c r="M954" s="13">
        <f t="shared" si="24"/>
        <v>0</v>
      </c>
    </row>
    <row r="955" spans="1:13">
      <c r="A955" s="14"/>
      <c r="B955" s="6"/>
      <c r="C955" s="7">
        <f>IFERROR(VLOOKUP(B955,ชื่อสินค้า!A:C,2,FALSE),)</f>
        <v>0</v>
      </c>
      <c r="D955" s="8" t="str">
        <f>IFERROR(VLOOKUP(B955,ชื่อสินค้า!A:D,4,FALSE),"")</f>
        <v/>
      </c>
      <c r="E955" s="9"/>
      <c r="F955" s="9"/>
      <c r="G955" s="8" t="str">
        <f t="shared" si="20"/>
        <v/>
      </c>
      <c r="H955" s="10">
        <f t="shared" si="21"/>
        <v>0</v>
      </c>
      <c r="I955" s="8">
        <f>IF(G955&lt;&gt;"",E955-SUMIFS(ขายสินค้า!E:E,ขายสินค้า!G:G,H955),)</f>
        <v>0</v>
      </c>
      <c r="J955" s="11">
        <f t="shared" si="22"/>
        <v>0</v>
      </c>
      <c r="K955" s="11">
        <f>IF(B955&lt;&gt;"", IFERROR(SUMIF(ขายสินค้า!G:G,H955,ขายสินค้า!F:F)/(E955-I955),0),)</f>
        <v>0</v>
      </c>
      <c r="L955" s="12">
        <f t="shared" si="23"/>
        <v>0</v>
      </c>
      <c r="M955" s="13">
        <f t="shared" si="24"/>
        <v>0</v>
      </c>
    </row>
    <row r="956" spans="1:13">
      <c r="A956" s="14"/>
      <c r="B956" s="6"/>
      <c r="C956" s="7">
        <f>IFERROR(VLOOKUP(B956,ชื่อสินค้า!A:C,2,FALSE),)</f>
        <v>0</v>
      </c>
      <c r="D956" s="8" t="str">
        <f>IFERROR(VLOOKUP(B956,ชื่อสินค้า!A:D,4,FALSE),"")</f>
        <v/>
      </c>
      <c r="E956" s="9"/>
      <c r="F956" s="9"/>
      <c r="G956" s="8" t="str">
        <f t="shared" si="20"/>
        <v/>
      </c>
      <c r="H956" s="10">
        <f t="shared" si="21"/>
        <v>0</v>
      </c>
      <c r="I956" s="8">
        <f>IF(G956&lt;&gt;"",E956-SUMIFS(ขายสินค้า!E:E,ขายสินค้า!G:G,H956),)</f>
        <v>0</v>
      </c>
      <c r="J956" s="11">
        <f t="shared" si="22"/>
        <v>0</v>
      </c>
      <c r="K956" s="11">
        <f>IF(B956&lt;&gt;"", IFERROR(SUMIF(ขายสินค้า!G:G,H956,ขายสินค้า!F:F)/(E956-I956),0),)</f>
        <v>0</v>
      </c>
      <c r="L956" s="12">
        <f t="shared" si="23"/>
        <v>0</v>
      </c>
      <c r="M956" s="13">
        <f t="shared" si="24"/>
        <v>0</v>
      </c>
    </row>
    <row r="957" spans="1:13">
      <c r="A957" s="14"/>
      <c r="B957" s="6"/>
      <c r="C957" s="7">
        <f>IFERROR(VLOOKUP(B957,ชื่อสินค้า!A:C,2,FALSE),)</f>
        <v>0</v>
      </c>
      <c r="D957" s="8" t="str">
        <f>IFERROR(VLOOKUP(B957,ชื่อสินค้า!A:D,4,FALSE),"")</f>
        <v/>
      </c>
      <c r="E957" s="9"/>
      <c r="F957" s="9"/>
      <c r="G957" s="8" t="str">
        <f t="shared" si="20"/>
        <v/>
      </c>
      <c r="H957" s="10">
        <f t="shared" si="21"/>
        <v>0</v>
      </c>
      <c r="I957" s="8">
        <f>IF(G957&lt;&gt;"",E957-SUMIFS(ขายสินค้า!E:E,ขายสินค้า!G:G,H957),)</f>
        <v>0</v>
      </c>
      <c r="J957" s="11">
        <f t="shared" si="22"/>
        <v>0</v>
      </c>
      <c r="K957" s="11">
        <f>IF(B957&lt;&gt;"", IFERROR(SUMIF(ขายสินค้า!G:G,H957,ขายสินค้า!F:F)/(E957-I957),0),)</f>
        <v>0</v>
      </c>
      <c r="L957" s="12">
        <f t="shared" si="23"/>
        <v>0</v>
      </c>
      <c r="M957" s="13">
        <f t="shared" si="24"/>
        <v>0</v>
      </c>
    </row>
    <row r="958" spans="1:13">
      <c r="A958" s="14"/>
      <c r="B958" s="6"/>
      <c r="C958" s="7">
        <f>IFERROR(VLOOKUP(B958,ชื่อสินค้า!A:C,2,FALSE),)</f>
        <v>0</v>
      </c>
      <c r="D958" s="8" t="str">
        <f>IFERROR(VLOOKUP(B958,ชื่อสินค้า!A:D,4,FALSE),"")</f>
        <v/>
      </c>
      <c r="E958" s="9"/>
      <c r="F958" s="9"/>
      <c r="G958" s="8" t="str">
        <f t="shared" si="20"/>
        <v/>
      </c>
      <c r="H958" s="10">
        <f t="shared" si="21"/>
        <v>0</v>
      </c>
      <c r="I958" s="8">
        <f>IF(G958&lt;&gt;"",E958-SUMIFS(ขายสินค้า!E:E,ขายสินค้า!G:G,H958),)</f>
        <v>0</v>
      </c>
      <c r="J958" s="11">
        <f t="shared" si="22"/>
        <v>0</v>
      </c>
      <c r="K958" s="11">
        <f>IF(B958&lt;&gt;"", IFERROR(SUMIF(ขายสินค้า!G:G,H958,ขายสินค้า!F:F)/(E958-I958),0),)</f>
        <v>0</v>
      </c>
      <c r="L958" s="12">
        <f t="shared" si="23"/>
        <v>0</v>
      </c>
      <c r="M958" s="13">
        <f t="shared" si="24"/>
        <v>0</v>
      </c>
    </row>
    <row r="959" spans="1:13">
      <c r="A959" s="14"/>
      <c r="B959" s="6"/>
      <c r="C959" s="7">
        <f>IFERROR(VLOOKUP(B959,ชื่อสินค้า!A:C,2,FALSE),)</f>
        <v>0</v>
      </c>
      <c r="D959" s="8" t="str">
        <f>IFERROR(VLOOKUP(B959,ชื่อสินค้า!A:D,4,FALSE),"")</f>
        <v/>
      </c>
      <c r="E959" s="9"/>
      <c r="F959" s="9"/>
      <c r="G959" s="8" t="str">
        <f t="shared" si="20"/>
        <v/>
      </c>
      <c r="H959" s="10">
        <f t="shared" si="21"/>
        <v>0</v>
      </c>
      <c r="I959" s="8">
        <f>IF(G959&lt;&gt;"",E959-SUMIFS(ขายสินค้า!E:E,ขายสินค้า!G:G,H959),)</f>
        <v>0</v>
      </c>
      <c r="J959" s="11">
        <f t="shared" si="22"/>
        <v>0</v>
      </c>
      <c r="K959" s="11">
        <f>IF(B959&lt;&gt;"", IFERROR(SUMIF(ขายสินค้า!G:G,H959,ขายสินค้า!F:F)/(E959-I959),0),)</f>
        <v>0</v>
      </c>
      <c r="L959" s="12">
        <f t="shared" si="23"/>
        <v>0</v>
      </c>
      <c r="M959" s="13">
        <f t="shared" si="24"/>
        <v>0</v>
      </c>
    </row>
    <row r="960" spans="1:13">
      <c r="A960" s="14"/>
      <c r="B960" s="6"/>
      <c r="C960" s="7">
        <f>IFERROR(VLOOKUP(B960,ชื่อสินค้า!A:C,2,FALSE),)</f>
        <v>0</v>
      </c>
      <c r="D960" s="8" t="str">
        <f>IFERROR(VLOOKUP(B960,ชื่อสินค้า!A:D,4,FALSE),"")</f>
        <v/>
      </c>
      <c r="E960" s="9"/>
      <c r="F960" s="9"/>
      <c r="G960" s="8" t="str">
        <f t="shared" si="20"/>
        <v/>
      </c>
      <c r="H960" s="10">
        <f t="shared" si="21"/>
        <v>0</v>
      </c>
      <c r="I960" s="8">
        <f>IF(G960&lt;&gt;"",E960-SUMIFS(ขายสินค้า!E:E,ขายสินค้า!G:G,H960),)</f>
        <v>0</v>
      </c>
      <c r="J960" s="11">
        <f t="shared" si="22"/>
        <v>0</v>
      </c>
      <c r="K960" s="11">
        <f>IF(B960&lt;&gt;"", IFERROR(SUMIF(ขายสินค้า!G:G,H960,ขายสินค้า!F:F)/(E960-I960),0),)</f>
        <v>0</v>
      </c>
      <c r="L960" s="12">
        <f t="shared" si="23"/>
        <v>0</v>
      </c>
      <c r="M960" s="13">
        <f t="shared" si="24"/>
        <v>0</v>
      </c>
    </row>
    <row r="961" spans="1:13">
      <c r="A961" s="14"/>
      <c r="B961" s="6"/>
      <c r="C961" s="7">
        <f>IFERROR(VLOOKUP(B961,ชื่อสินค้า!A:C,2,FALSE),)</f>
        <v>0</v>
      </c>
      <c r="D961" s="8" t="str">
        <f>IFERROR(VLOOKUP(B961,ชื่อสินค้า!A:D,4,FALSE),"")</f>
        <v/>
      </c>
      <c r="E961" s="9"/>
      <c r="F961" s="9"/>
      <c r="G961" s="8" t="str">
        <f t="shared" si="20"/>
        <v/>
      </c>
      <c r="H961" s="10">
        <f t="shared" si="21"/>
        <v>0</v>
      </c>
      <c r="I961" s="8">
        <f>IF(G961&lt;&gt;"",E961-SUMIFS(ขายสินค้า!E:E,ขายสินค้า!G:G,H961),)</f>
        <v>0</v>
      </c>
      <c r="J961" s="11">
        <f t="shared" si="22"/>
        <v>0</v>
      </c>
      <c r="K961" s="11">
        <f>IF(B961&lt;&gt;"", IFERROR(SUMIF(ขายสินค้า!G:G,H961,ขายสินค้า!F:F)/(E961-I961),0),)</f>
        <v>0</v>
      </c>
      <c r="L961" s="12">
        <f t="shared" si="23"/>
        <v>0</v>
      </c>
      <c r="M961" s="13">
        <f t="shared" si="24"/>
        <v>0</v>
      </c>
    </row>
    <row r="962" spans="1:13">
      <c r="A962" s="14"/>
      <c r="B962" s="6"/>
      <c r="C962" s="7">
        <f>IFERROR(VLOOKUP(B962,ชื่อสินค้า!A:C,2,FALSE),)</f>
        <v>0</v>
      </c>
      <c r="D962" s="8" t="str">
        <f>IFERROR(VLOOKUP(B962,ชื่อสินค้า!A:D,4,FALSE),"")</f>
        <v/>
      </c>
      <c r="E962" s="9"/>
      <c r="F962" s="9"/>
      <c r="G962" s="8" t="str">
        <f t="shared" si="20"/>
        <v/>
      </c>
      <c r="H962" s="10">
        <f t="shared" si="21"/>
        <v>0</v>
      </c>
      <c r="I962" s="8">
        <f>IF(G962&lt;&gt;"",E962-SUMIFS(ขายสินค้า!E:E,ขายสินค้า!G:G,H962),)</f>
        <v>0</v>
      </c>
      <c r="J962" s="11">
        <f t="shared" si="22"/>
        <v>0</v>
      </c>
      <c r="K962" s="11">
        <f>IF(B962&lt;&gt;"", IFERROR(SUMIF(ขายสินค้า!G:G,H962,ขายสินค้า!F:F)/(E962-I962),0),)</f>
        <v>0</v>
      </c>
      <c r="L962" s="12">
        <f t="shared" si="23"/>
        <v>0</v>
      </c>
      <c r="M962" s="13">
        <f t="shared" si="24"/>
        <v>0</v>
      </c>
    </row>
    <row r="963" spans="1:13">
      <c r="A963" s="14"/>
      <c r="B963" s="6"/>
      <c r="C963" s="7">
        <f>IFERROR(VLOOKUP(B963,ชื่อสินค้า!A:C,2,FALSE),)</f>
        <v>0</v>
      </c>
      <c r="D963" s="8" t="str">
        <f>IFERROR(VLOOKUP(B963,ชื่อสินค้า!A:D,4,FALSE),"")</f>
        <v/>
      </c>
      <c r="E963" s="9"/>
      <c r="F963" s="9"/>
      <c r="G963" s="8" t="str">
        <f t="shared" si="20"/>
        <v/>
      </c>
      <c r="H963" s="10">
        <f t="shared" si="21"/>
        <v>0</v>
      </c>
      <c r="I963" s="8">
        <f>IF(G963&lt;&gt;"",E963-SUMIFS(ขายสินค้า!E:E,ขายสินค้า!G:G,H963),)</f>
        <v>0</v>
      </c>
      <c r="J963" s="11">
        <f t="shared" si="22"/>
        <v>0</v>
      </c>
      <c r="K963" s="11">
        <f>IF(B963&lt;&gt;"", IFERROR(SUMIF(ขายสินค้า!G:G,H963,ขายสินค้า!F:F)/(E963-I963),0),)</f>
        <v>0</v>
      </c>
      <c r="L963" s="12">
        <f t="shared" si="23"/>
        <v>0</v>
      </c>
      <c r="M963" s="13">
        <f t="shared" si="24"/>
        <v>0</v>
      </c>
    </row>
    <row r="964" spans="1:13">
      <c r="A964" s="14"/>
      <c r="B964" s="6"/>
      <c r="C964" s="7">
        <f>IFERROR(VLOOKUP(B964,ชื่อสินค้า!A:C,2,FALSE),)</f>
        <v>0</v>
      </c>
      <c r="D964" s="8" t="str">
        <f>IFERROR(VLOOKUP(B964,ชื่อสินค้า!A:D,4,FALSE),"")</f>
        <v/>
      </c>
      <c r="E964" s="9"/>
      <c r="F964" s="9"/>
      <c r="G964" s="8" t="str">
        <f t="shared" si="20"/>
        <v/>
      </c>
      <c r="H964" s="10">
        <f t="shared" si="21"/>
        <v>0</v>
      </c>
      <c r="I964" s="8">
        <f>IF(G964&lt;&gt;"",E964-SUMIFS(ขายสินค้า!E:E,ขายสินค้า!G:G,H964),)</f>
        <v>0</v>
      </c>
      <c r="J964" s="11">
        <f t="shared" si="22"/>
        <v>0</v>
      </c>
      <c r="K964" s="11">
        <f>IF(B964&lt;&gt;"", IFERROR(SUMIF(ขายสินค้า!G:G,H964,ขายสินค้า!F:F)/(E964-I964),0),)</f>
        <v>0</v>
      </c>
      <c r="L964" s="12">
        <f t="shared" si="23"/>
        <v>0</v>
      </c>
      <c r="M964" s="13">
        <f t="shared" si="24"/>
        <v>0</v>
      </c>
    </row>
    <row r="965" spans="1:13">
      <c r="A965" s="14"/>
      <c r="B965" s="6"/>
      <c r="C965" s="7">
        <f>IFERROR(VLOOKUP(B965,ชื่อสินค้า!A:C,2,FALSE),)</f>
        <v>0</v>
      </c>
      <c r="D965" s="8" t="str">
        <f>IFERROR(VLOOKUP(B965,ชื่อสินค้า!A:D,4,FALSE),"")</f>
        <v/>
      </c>
      <c r="E965" s="9"/>
      <c r="F965" s="9"/>
      <c r="G965" s="8" t="str">
        <f t="shared" si="20"/>
        <v/>
      </c>
      <c r="H965" s="10">
        <f t="shared" si="21"/>
        <v>0</v>
      </c>
      <c r="I965" s="8">
        <f>IF(G965&lt;&gt;"",E965-SUMIFS(ขายสินค้า!E:E,ขายสินค้า!G:G,H965),)</f>
        <v>0</v>
      </c>
      <c r="J965" s="11">
        <f t="shared" si="22"/>
        <v>0</v>
      </c>
      <c r="K965" s="11">
        <f>IF(B965&lt;&gt;"", IFERROR(SUMIF(ขายสินค้า!G:G,H965,ขายสินค้า!F:F)/(E965-I965),0),)</f>
        <v>0</v>
      </c>
      <c r="L965" s="12">
        <f t="shared" si="23"/>
        <v>0</v>
      </c>
      <c r="M965" s="13">
        <f t="shared" si="24"/>
        <v>0</v>
      </c>
    </row>
    <row r="966" spans="1:13">
      <c r="A966" s="14"/>
      <c r="B966" s="6"/>
      <c r="C966" s="7">
        <f>IFERROR(VLOOKUP(B966,ชื่อสินค้า!A:C,2,FALSE),)</f>
        <v>0</v>
      </c>
      <c r="D966" s="8" t="str">
        <f>IFERROR(VLOOKUP(B966,ชื่อสินค้า!A:D,4,FALSE),"")</f>
        <v/>
      </c>
      <c r="E966" s="9"/>
      <c r="F966" s="9"/>
      <c r="G966" s="8" t="str">
        <f t="shared" si="20"/>
        <v/>
      </c>
      <c r="H966" s="10">
        <f t="shared" si="21"/>
        <v>0</v>
      </c>
      <c r="I966" s="8">
        <f>IF(G966&lt;&gt;"",E966-SUMIFS(ขายสินค้า!E:E,ขายสินค้า!G:G,H966),)</f>
        <v>0</v>
      </c>
      <c r="J966" s="11">
        <f t="shared" si="22"/>
        <v>0</v>
      </c>
      <c r="K966" s="11">
        <f>IF(B966&lt;&gt;"", IFERROR(SUMIF(ขายสินค้า!G:G,H966,ขายสินค้า!F:F)/(E966-I966),0),)</f>
        <v>0</v>
      </c>
      <c r="L966" s="12">
        <f t="shared" si="23"/>
        <v>0</v>
      </c>
      <c r="M966" s="13">
        <f t="shared" si="24"/>
        <v>0</v>
      </c>
    </row>
    <row r="967" spans="1:13">
      <c r="A967" s="14"/>
      <c r="B967" s="6"/>
      <c r="C967" s="7">
        <f>IFERROR(VLOOKUP(B967,ชื่อสินค้า!A:C,2,FALSE),)</f>
        <v>0</v>
      </c>
      <c r="D967" s="8" t="str">
        <f>IFERROR(VLOOKUP(B967,ชื่อสินค้า!A:D,4,FALSE),"")</f>
        <v/>
      </c>
      <c r="E967" s="9"/>
      <c r="F967" s="9"/>
      <c r="G967" s="8" t="str">
        <f t="shared" si="20"/>
        <v/>
      </c>
      <c r="H967" s="10">
        <f t="shared" si="21"/>
        <v>0</v>
      </c>
      <c r="I967" s="8">
        <f>IF(G967&lt;&gt;"",E967-SUMIFS(ขายสินค้า!E:E,ขายสินค้า!G:G,H967),)</f>
        <v>0</v>
      </c>
      <c r="J967" s="11">
        <f t="shared" si="22"/>
        <v>0</v>
      </c>
      <c r="K967" s="11">
        <f>IF(B967&lt;&gt;"", IFERROR(SUMIF(ขายสินค้า!G:G,H967,ขายสินค้า!F:F)/(E967-I967),0),)</f>
        <v>0</v>
      </c>
      <c r="L967" s="12">
        <f t="shared" si="23"/>
        <v>0</v>
      </c>
      <c r="M967" s="13">
        <f t="shared" si="24"/>
        <v>0</v>
      </c>
    </row>
    <row r="968" spans="1:13">
      <c r="A968" s="14"/>
      <c r="B968" s="6"/>
      <c r="C968" s="7">
        <f>IFERROR(VLOOKUP(B968,ชื่อสินค้า!A:C,2,FALSE),)</f>
        <v>0</v>
      </c>
      <c r="D968" s="8" t="str">
        <f>IFERROR(VLOOKUP(B968,ชื่อสินค้า!A:D,4,FALSE),"")</f>
        <v/>
      </c>
      <c r="E968" s="9"/>
      <c r="F968" s="9"/>
      <c r="G968" s="8" t="str">
        <f t="shared" si="20"/>
        <v/>
      </c>
      <c r="H968" s="10">
        <f t="shared" si="21"/>
        <v>0</v>
      </c>
      <c r="I968" s="8">
        <f>IF(G968&lt;&gt;"",E968-SUMIFS(ขายสินค้า!E:E,ขายสินค้า!G:G,H968),)</f>
        <v>0</v>
      </c>
      <c r="J968" s="11">
        <f t="shared" si="22"/>
        <v>0</v>
      </c>
      <c r="K968" s="11">
        <f>IF(B968&lt;&gt;"", IFERROR(SUMIF(ขายสินค้า!G:G,H968,ขายสินค้า!F:F)/(E968-I968),0),)</f>
        <v>0</v>
      </c>
      <c r="L968" s="12">
        <f t="shared" si="23"/>
        <v>0</v>
      </c>
      <c r="M968" s="13">
        <f t="shared" si="24"/>
        <v>0</v>
      </c>
    </row>
    <row r="969" spans="1:13">
      <c r="A969" s="14"/>
      <c r="B969" s="6"/>
      <c r="C969" s="7">
        <f>IFERROR(VLOOKUP(B969,ชื่อสินค้า!A:C,2,FALSE),)</f>
        <v>0</v>
      </c>
      <c r="D969" s="8" t="str">
        <f>IFERROR(VLOOKUP(B969,ชื่อสินค้า!A:D,4,FALSE),"")</f>
        <v/>
      </c>
      <c r="E969" s="9"/>
      <c r="F969" s="9"/>
      <c r="G969" s="8" t="str">
        <f t="shared" si="20"/>
        <v/>
      </c>
      <c r="H969" s="10">
        <f t="shared" si="21"/>
        <v>0</v>
      </c>
      <c r="I969" s="8">
        <f>IF(G969&lt;&gt;"",E969-SUMIFS(ขายสินค้า!E:E,ขายสินค้า!G:G,H969),)</f>
        <v>0</v>
      </c>
      <c r="J969" s="11">
        <f t="shared" si="22"/>
        <v>0</v>
      </c>
      <c r="K969" s="11">
        <f>IF(B969&lt;&gt;"", IFERROR(SUMIF(ขายสินค้า!G:G,H969,ขายสินค้า!F:F)/(E969-I969),0),)</f>
        <v>0</v>
      </c>
      <c r="L969" s="12">
        <f t="shared" si="23"/>
        <v>0</v>
      </c>
      <c r="M969" s="13">
        <f t="shared" si="24"/>
        <v>0</v>
      </c>
    </row>
    <row r="970" spans="1:13">
      <c r="A970" s="14"/>
      <c r="B970" s="6"/>
      <c r="C970" s="7">
        <f>IFERROR(VLOOKUP(B970,ชื่อสินค้า!A:C,2,FALSE),)</f>
        <v>0</v>
      </c>
      <c r="D970" s="8" t="str">
        <f>IFERROR(VLOOKUP(B970,ชื่อสินค้า!A:D,4,FALSE),"")</f>
        <v/>
      </c>
      <c r="E970" s="9"/>
      <c r="F970" s="9"/>
      <c r="G970" s="8" t="str">
        <f t="shared" si="20"/>
        <v/>
      </c>
      <c r="H970" s="10">
        <f t="shared" si="21"/>
        <v>0</v>
      </c>
      <c r="I970" s="8">
        <f>IF(G970&lt;&gt;"",E970-SUMIFS(ขายสินค้า!E:E,ขายสินค้า!G:G,H970),)</f>
        <v>0</v>
      </c>
      <c r="J970" s="11">
        <f t="shared" si="22"/>
        <v>0</v>
      </c>
      <c r="K970" s="11">
        <f>IF(B970&lt;&gt;"", IFERROR(SUMIF(ขายสินค้า!G:G,H970,ขายสินค้า!F:F)/(E970-I970),0),)</f>
        <v>0</v>
      </c>
      <c r="L970" s="12">
        <f t="shared" si="23"/>
        <v>0</v>
      </c>
      <c r="M970" s="13">
        <f t="shared" si="24"/>
        <v>0</v>
      </c>
    </row>
    <row r="971" spans="1:13">
      <c r="A971" s="14"/>
      <c r="B971" s="6"/>
      <c r="C971" s="7">
        <f>IFERROR(VLOOKUP(B971,ชื่อสินค้า!A:C,2,FALSE),)</f>
        <v>0</v>
      </c>
      <c r="D971" s="8" t="str">
        <f>IFERROR(VLOOKUP(B971,ชื่อสินค้า!A:D,4,FALSE),"")</f>
        <v/>
      </c>
      <c r="E971" s="9"/>
      <c r="F971" s="9"/>
      <c r="G971" s="8" t="str">
        <f t="shared" si="20"/>
        <v/>
      </c>
      <c r="H971" s="10">
        <f t="shared" si="21"/>
        <v>0</v>
      </c>
      <c r="I971" s="8">
        <f>IF(G971&lt;&gt;"",E971-SUMIFS(ขายสินค้า!E:E,ขายสินค้า!G:G,H971),)</f>
        <v>0</v>
      </c>
      <c r="J971" s="11">
        <f t="shared" si="22"/>
        <v>0</v>
      </c>
      <c r="K971" s="11">
        <f>IF(B971&lt;&gt;"", IFERROR(SUMIF(ขายสินค้า!G:G,H971,ขายสินค้า!F:F)/(E971-I971),0),)</f>
        <v>0</v>
      </c>
      <c r="L971" s="12">
        <f t="shared" si="23"/>
        <v>0</v>
      </c>
      <c r="M971" s="13">
        <f t="shared" si="24"/>
        <v>0</v>
      </c>
    </row>
    <row r="972" spans="1:13">
      <c r="A972" s="14"/>
      <c r="B972" s="6"/>
      <c r="C972" s="7">
        <f>IFERROR(VLOOKUP(B972,ชื่อสินค้า!A:C,2,FALSE),)</f>
        <v>0</v>
      </c>
      <c r="D972" s="8" t="str">
        <f>IFERROR(VLOOKUP(B972,ชื่อสินค้า!A:D,4,FALSE),"")</f>
        <v/>
      </c>
      <c r="E972" s="9"/>
      <c r="F972" s="9"/>
      <c r="G972" s="8" t="str">
        <f t="shared" si="20"/>
        <v/>
      </c>
      <c r="H972" s="10">
        <f t="shared" si="21"/>
        <v>0</v>
      </c>
      <c r="I972" s="8">
        <f>IF(G972&lt;&gt;"",E972-SUMIFS(ขายสินค้า!E:E,ขายสินค้า!G:G,H972),)</f>
        <v>0</v>
      </c>
      <c r="J972" s="11">
        <f t="shared" si="22"/>
        <v>0</v>
      </c>
      <c r="K972" s="11">
        <f>IF(B972&lt;&gt;"", IFERROR(SUMIF(ขายสินค้า!G:G,H972,ขายสินค้า!F:F)/(E972-I972),0),)</f>
        <v>0</v>
      </c>
      <c r="L972" s="12">
        <f t="shared" si="23"/>
        <v>0</v>
      </c>
      <c r="M972" s="13">
        <f t="shared" si="24"/>
        <v>0</v>
      </c>
    </row>
    <row r="973" spans="1:13">
      <c r="A973" s="14"/>
      <c r="B973" s="6"/>
      <c r="C973" s="7">
        <f>IFERROR(VLOOKUP(B973,ชื่อสินค้า!A:C,2,FALSE),)</f>
        <v>0</v>
      </c>
      <c r="D973" s="8" t="str">
        <f>IFERROR(VLOOKUP(B973,ชื่อสินค้า!A:D,4,FALSE),"")</f>
        <v/>
      </c>
      <c r="E973" s="9"/>
      <c r="F973" s="9"/>
      <c r="G973" s="8" t="str">
        <f t="shared" si="20"/>
        <v/>
      </c>
      <c r="H973" s="10">
        <f t="shared" si="21"/>
        <v>0</v>
      </c>
      <c r="I973" s="8">
        <f>IF(G973&lt;&gt;"",E973-SUMIFS(ขายสินค้า!E:E,ขายสินค้า!G:G,H973),)</f>
        <v>0</v>
      </c>
      <c r="J973" s="11">
        <f t="shared" si="22"/>
        <v>0</v>
      </c>
      <c r="K973" s="11">
        <f>IF(B973&lt;&gt;"", IFERROR(SUMIF(ขายสินค้า!G:G,H973,ขายสินค้า!F:F)/(E973-I973),0),)</f>
        <v>0</v>
      </c>
      <c r="L973" s="12">
        <f t="shared" si="23"/>
        <v>0</v>
      </c>
      <c r="M973" s="13">
        <f t="shared" si="24"/>
        <v>0</v>
      </c>
    </row>
    <row r="974" spans="1:13">
      <c r="A974" s="15"/>
      <c r="B974" s="6"/>
      <c r="C974" s="7">
        <f>IFERROR(VLOOKUP(B974,ชื่อสินค้า!A:C,2,FALSE),)</f>
        <v>0</v>
      </c>
      <c r="D974" s="8" t="str">
        <f>IFERROR(VLOOKUP(B974,ชื่อสินค้า!A:D,4,FALSE),"")</f>
        <v/>
      </c>
      <c r="E974" s="9"/>
      <c r="F974" s="9"/>
      <c r="G974" s="8" t="str">
        <f t="shared" si="20"/>
        <v/>
      </c>
      <c r="H974" s="10">
        <f t="shared" si="21"/>
        <v>0</v>
      </c>
      <c r="I974" s="8">
        <f>IF(G974&lt;&gt;"",E974-SUMIFS(ขายสินค้า!E:E,ขายสินค้า!G:G,H974),)</f>
        <v>0</v>
      </c>
      <c r="J974" s="11">
        <f t="shared" si="22"/>
        <v>0</v>
      </c>
      <c r="K974" s="11">
        <f>IF(B974&lt;&gt;"", IFERROR(SUMIF(ขายสินค้า!G:G,H974,ขายสินค้า!F:F)/(E974-I974),0),)</f>
        <v>0</v>
      </c>
      <c r="L974" s="12">
        <f t="shared" si="23"/>
        <v>0</v>
      </c>
      <c r="M974" s="13">
        <f t="shared" si="24"/>
        <v>0</v>
      </c>
    </row>
    <row r="975" spans="1:13">
      <c r="A975" s="15"/>
      <c r="B975" s="6"/>
      <c r="C975" s="7">
        <f>IFERROR(VLOOKUP(B975,ชื่อสินค้า!A:C,2,FALSE),)</f>
        <v>0</v>
      </c>
      <c r="D975" s="8" t="str">
        <f>IFERROR(VLOOKUP(B975,ชื่อสินค้า!A:D,4,FALSE),"")</f>
        <v/>
      </c>
      <c r="E975" s="9"/>
      <c r="F975" s="9"/>
      <c r="G975" s="8" t="str">
        <f t="shared" si="20"/>
        <v/>
      </c>
      <c r="H975" s="10">
        <f t="shared" si="21"/>
        <v>0</v>
      </c>
      <c r="I975" s="8">
        <f>IF(G975&lt;&gt;"",E975-SUMIFS(ขายสินค้า!E:E,ขายสินค้า!G:G,H975),)</f>
        <v>0</v>
      </c>
      <c r="J975" s="11">
        <f t="shared" si="22"/>
        <v>0</v>
      </c>
      <c r="K975" s="11">
        <f>IF(B975&lt;&gt;"", IFERROR(SUMIF(ขายสินค้า!G:G,H975,ขายสินค้า!F:F)/(E975-I975),0),)</f>
        <v>0</v>
      </c>
      <c r="L975" s="12">
        <f t="shared" si="23"/>
        <v>0</v>
      </c>
      <c r="M975" s="13">
        <f t="shared" si="24"/>
        <v>0</v>
      </c>
    </row>
    <row r="976" spans="1:13">
      <c r="A976" s="15"/>
      <c r="B976" s="6"/>
      <c r="C976" s="7">
        <f>IFERROR(VLOOKUP(B976,ชื่อสินค้า!A:C,2,FALSE),)</f>
        <v>0</v>
      </c>
      <c r="D976" s="8" t="str">
        <f>IFERROR(VLOOKUP(B976,ชื่อสินค้า!A:D,4,FALSE),"")</f>
        <v/>
      </c>
      <c r="E976" s="9"/>
      <c r="F976" s="9"/>
      <c r="G976" s="8" t="str">
        <f t="shared" si="20"/>
        <v/>
      </c>
      <c r="H976" s="10">
        <f t="shared" si="21"/>
        <v>0</v>
      </c>
      <c r="I976" s="8">
        <f>IF(G976&lt;&gt;"",E976-SUMIFS(ขายสินค้า!E:E,ขายสินค้า!G:G,H976),)</f>
        <v>0</v>
      </c>
      <c r="J976" s="11">
        <f t="shared" si="22"/>
        <v>0</v>
      </c>
      <c r="K976" s="11">
        <f>IF(B976&lt;&gt;"", IFERROR(SUMIF(ขายสินค้า!G:G,H976,ขายสินค้า!F:F)/(E976-I976),0),)</f>
        <v>0</v>
      </c>
      <c r="L976" s="12">
        <f t="shared" si="23"/>
        <v>0</v>
      </c>
      <c r="M976" s="13">
        <f t="shared" si="24"/>
        <v>0</v>
      </c>
    </row>
  </sheetData>
  <dataValidations count="1">
    <dataValidation type="custom" allowBlank="1" showDropDown="1" sqref="A2:A973" xr:uid="{00000000-0002-0000-0000-000001000000}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ชื่อสินค้า!$A$2:$A976</xm:f>
          </x14:formula1>
          <xm:sqref>B2:B976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DAF8"/>
    <outlinePr summaryBelow="0" summaryRight="0"/>
  </sheetPr>
  <dimension ref="A1:AF999"/>
  <sheetViews>
    <sheetView zoomScale="85" zoomScaleNormal="85" workbookViewId="0">
      <pane xSplit="2" ySplit="1" topLeftCell="C6" activePane="bottomRight" state="frozen"/>
      <selection pane="topRight" activeCell="C1" sqref="C1"/>
      <selection pane="bottomLeft" activeCell="A2" sqref="A2"/>
      <selection pane="bottomRight" sqref="A1:M46"/>
    </sheetView>
  </sheetViews>
  <sheetFormatPr defaultColWidth="12.5703125" defaultRowHeight="15.75" customHeight="1"/>
  <cols>
    <col min="2" max="2" width="39.5703125" customWidth="1"/>
    <col min="7" max="7" width="35" customWidth="1"/>
    <col min="8" max="8" width="11.140625" customWidth="1"/>
    <col min="9" max="13" width="12.5703125" customWidth="1"/>
    <col min="14" max="32" width="12.5703125" hidden="1"/>
  </cols>
  <sheetData>
    <row r="1" spans="1:32">
      <c r="A1" s="16" t="s">
        <v>0</v>
      </c>
      <c r="B1" s="3" t="s">
        <v>1</v>
      </c>
      <c r="C1" s="17" t="s">
        <v>2</v>
      </c>
      <c r="D1" s="3" t="s">
        <v>47</v>
      </c>
      <c r="E1" s="3" t="s">
        <v>13</v>
      </c>
      <c r="F1" s="17" t="s">
        <v>6</v>
      </c>
      <c r="G1" s="18" t="s">
        <v>14</v>
      </c>
      <c r="H1" s="3" t="s">
        <v>15</v>
      </c>
      <c r="I1" s="17" t="s">
        <v>16</v>
      </c>
      <c r="J1" s="17" t="s">
        <v>17</v>
      </c>
      <c r="K1" s="17" t="s">
        <v>18</v>
      </c>
      <c r="L1" s="19" t="s">
        <v>19</v>
      </c>
      <c r="M1" s="17" t="s">
        <v>20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2">
      <c r="A2" s="5">
        <v>45657</v>
      </c>
      <c r="B2" s="6" t="s">
        <v>176</v>
      </c>
      <c r="C2" s="20">
        <v>18500</v>
      </c>
      <c r="D2" s="8" t="s">
        <v>23</v>
      </c>
      <c r="E2" s="9">
        <v>1</v>
      </c>
      <c r="F2" s="21">
        <v>18500</v>
      </c>
      <c r="G2" s="22" t="s">
        <v>185</v>
      </c>
      <c r="H2" s="8">
        <v>11</v>
      </c>
      <c r="I2" s="21">
        <v>15416.67</v>
      </c>
      <c r="J2" s="21">
        <v>3083.33</v>
      </c>
      <c r="K2" s="21">
        <v>3083.33</v>
      </c>
      <c r="L2" s="12">
        <v>0.16669999999999999</v>
      </c>
      <c r="M2" s="21">
        <v>15416.67</v>
      </c>
      <c r="N2" s="9" t="str">
        <f ca="1">IFERROR(__xludf.DUMMYFUNCTION("IF(G2&lt;&gt;"""",G2, IFERROR(TRANSPOSE(FILTER('ซื้อสินค้า'!H:H,'ซื้อสินค้า'!B:B=B2,'ซื้อสินค้า'!I:I&gt;0)),))"),"1-Herschel Supply กระเป๋าสะพายหลัง รุ่น LITTLE")</f>
        <v>1-Herschel Supply กระเป๋าสะพายหลัง รุ่น LITTLE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>
      <c r="A3" s="5">
        <v>45658</v>
      </c>
      <c r="B3" s="6" t="s">
        <v>177</v>
      </c>
      <c r="C3" s="20">
        <v>24900</v>
      </c>
      <c r="D3" s="8" t="s">
        <v>23</v>
      </c>
      <c r="E3" s="9">
        <v>2</v>
      </c>
      <c r="F3" s="21">
        <v>49800</v>
      </c>
      <c r="G3" s="22" t="s">
        <v>186</v>
      </c>
      <c r="H3" s="8">
        <v>5</v>
      </c>
      <c r="I3" s="21">
        <v>21342.86</v>
      </c>
      <c r="J3" s="21">
        <v>8114.28</v>
      </c>
      <c r="K3" s="21">
        <v>4057.14</v>
      </c>
      <c r="L3" s="12">
        <v>0.1628</v>
      </c>
      <c r="M3" s="21">
        <v>42685.72</v>
      </c>
      <c r="N3" s="9" t="str">
        <f ca="1">IFERROR(__xludf.DUMMYFUNCTION("IF(G3&lt;&gt;"""",G3, IFERROR(TRANSPOSE(FILTER('ซื้อสินค้า'!H:H,'ซื้อสินค้า'!B:B=B3,'ซื้อสินค้า'!I:I&gt;0)),))"),"1-Bellroy Australia Lite Sling 7L Light Walking")</f>
        <v>1-Bellroy Australia Lite Sling 7L Light Walking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5">
        <v>45659</v>
      </c>
      <c r="B4" s="6" t="s">
        <v>178</v>
      </c>
      <c r="C4" s="20">
        <v>38000</v>
      </c>
      <c r="D4" s="8" t="s">
        <v>179</v>
      </c>
      <c r="E4" s="9">
        <v>1</v>
      </c>
      <c r="F4" s="21">
        <v>38000</v>
      </c>
      <c r="G4" s="22" t="s">
        <v>187</v>
      </c>
      <c r="H4" s="8">
        <v>3</v>
      </c>
      <c r="I4" s="21">
        <v>28500</v>
      </c>
      <c r="J4" s="21">
        <v>9500</v>
      </c>
      <c r="K4" s="21">
        <v>9500</v>
      </c>
      <c r="L4" s="12">
        <v>0.25</v>
      </c>
      <c r="M4" s="21">
        <v>28500</v>
      </c>
      <c r="N4" s="9" t="str">
        <f ca="1">IFERROR(__xludf.DUMMYFUNCTION("IF(G4&lt;&gt;"""",G4, IFERROR(TRANSPOSE(FILTER('ซื้อสินค้า'!H:H,'ซื้อสินค้า'!B:B=B4,'ซื้อสินค้า'!I:I&gt;0)),))"),"1-Herschel Supply กระเป๋าสะพายหลัง รุ่น LITTLE")</f>
        <v>1-Herschel Supply กระเป๋าสะพายหลัง รุ่น LITTLE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>
      <c r="A5" s="5">
        <v>45660</v>
      </c>
      <c r="B5" s="6" t="s">
        <v>180</v>
      </c>
      <c r="C5" s="20">
        <v>14900</v>
      </c>
      <c r="D5" s="8" t="s">
        <v>23</v>
      </c>
      <c r="E5" s="9">
        <v>1</v>
      </c>
      <c r="F5" s="21">
        <v>14900</v>
      </c>
      <c r="G5" s="22" t="s">
        <v>188</v>
      </c>
      <c r="H5" s="8">
        <v>8</v>
      </c>
      <c r="I5" s="21">
        <v>13244.44</v>
      </c>
      <c r="J5" s="21">
        <v>1655.56</v>
      </c>
      <c r="K5" s="21">
        <v>1655.56</v>
      </c>
      <c r="L5" s="12">
        <v>0.1111</v>
      </c>
      <c r="M5" s="21">
        <v>13244.44</v>
      </c>
      <c r="N5" s="9" t="str">
        <f ca="1">IFERROR(__xludf.DUMMYFUNCTION("IF(G5&lt;&gt;"""",G5, IFERROR(TRANSPOSE(FILTER('ซื้อสินค้า'!H:H,'ซื้อสินค้า'!B:B=B5,'ซื้อสินค้า'!I:I&gt;0)),))"),"2-Herschel Supply กระเป๋าสะพายหลัง รุ่น LITTLE")</f>
        <v>2-Herschel Supply กระเป๋าสะพายหลัง รุ่น LITTLE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>
      <c r="A6" s="5">
        <v>45661</v>
      </c>
      <c r="B6" s="6" t="s">
        <v>181</v>
      </c>
      <c r="C6" s="20">
        <v>3200</v>
      </c>
      <c r="D6" s="8" t="s">
        <v>23</v>
      </c>
      <c r="E6" s="9">
        <v>3</v>
      </c>
      <c r="F6" s="21">
        <v>9600</v>
      </c>
      <c r="G6" s="22" t="s">
        <v>189</v>
      </c>
      <c r="H6" s="8">
        <v>22</v>
      </c>
      <c r="I6" s="21">
        <v>2816</v>
      </c>
      <c r="J6" s="21">
        <v>384</v>
      </c>
      <c r="K6" s="21">
        <v>128</v>
      </c>
      <c r="L6" s="12">
        <v>0.12</v>
      </c>
      <c r="M6" s="21">
        <v>8448</v>
      </c>
      <c r="N6" s="9" t="str">
        <f ca="1">IFERROR(__xludf.DUMMYFUNCTION("IF(G6&lt;&gt;"""",G6, IFERROR(TRANSPOSE(FILTER('ซื้อสินค้า'!H:H,'ซื้อสินค้า'!B:B=B6,'ซื้อสินค้า'!I:I&gt;0)),))"),"1-Bellroy Australia Lite Sling 7L Light Walking")</f>
        <v>1-Bellroy Australia Lite Sling 7L Light Walking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>
      <c r="A7" s="5">
        <v>45662</v>
      </c>
      <c r="B7" s="6" t="s">
        <v>182</v>
      </c>
      <c r="C7" s="20">
        <v>26000</v>
      </c>
      <c r="D7" s="8" t="s">
        <v>23</v>
      </c>
      <c r="E7" s="9">
        <v>1</v>
      </c>
      <c r="F7" s="21">
        <v>26000</v>
      </c>
      <c r="G7" s="22" t="s">
        <v>190</v>
      </c>
      <c r="H7" s="8">
        <v>4</v>
      </c>
      <c r="I7" s="21">
        <v>20800</v>
      </c>
      <c r="J7" s="21">
        <v>5200</v>
      </c>
      <c r="K7" s="21">
        <v>5200</v>
      </c>
      <c r="L7" s="12">
        <v>0.2</v>
      </c>
      <c r="M7" s="21">
        <v>20800</v>
      </c>
      <c r="N7" s="9" t="str">
        <f ca="1">IFERROR(__xludf.DUMMYFUNCTION("IF(G7&lt;&gt;"""",G7, IFERROR(TRANSPOSE(FILTER('ซื้อสินค้า'!H:H,'ซื้อสินค้า'!B:B=B7,'ซื้อสินค้า'!I:I&gt;0)),))"),"2-Herschel Supply กระเป๋าสะพายหลัง รุ่น LITTLE")</f>
        <v>2-Herschel Supply กระเป๋าสะพายหลัง รุ่น LITTLE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>
      <c r="A8" s="5">
        <v>45663</v>
      </c>
      <c r="B8" s="6" t="s">
        <v>183</v>
      </c>
      <c r="C8" s="20">
        <v>12500</v>
      </c>
      <c r="D8" s="8" t="s">
        <v>23</v>
      </c>
      <c r="E8" s="9">
        <v>2</v>
      </c>
      <c r="F8" s="21">
        <v>25000</v>
      </c>
      <c r="G8" s="22" t="s">
        <v>191</v>
      </c>
      <c r="H8" s="8">
        <v>6</v>
      </c>
      <c r="I8" s="21">
        <v>21875</v>
      </c>
      <c r="J8" s="21">
        <v>3125</v>
      </c>
      <c r="K8" s="21">
        <v>1562.5</v>
      </c>
      <c r="L8" s="12">
        <v>0.125</v>
      </c>
      <c r="M8" s="21">
        <v>21875</v>
      </c>
      <c r="N8" s="9" t="str">
        <f ca="1">IFERROR(__xludf.DUMMYFUNCTION("IF(G8&lt;&gt;"""",G8, IFERROR(TRANSPOSE(FILTER('ซื้อสินค้า'!H:H,'ซื้อสินค้า'!B:B=B8,'ซื้อสินค้า'!I:I&gt;0)),))"),"1-Ergotrend เก้าอี้เพื่อสุขภาพ เออร์โกเทรน รุ่น Malmo")</f>
        <v>1-Ergotrend เก้าอี้เพื่อสุขภาพ เออร์โกเทรน รุ่น Malmo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>
      <c r="A9" s="5">
        <v>45664</v>
      </c>
      <c r="B9" s="6" t="s">
        <v>184</v>
      </c>
      <c r="C9" s="20">
        <v>1800</v>
      </c>
      <c r="D9" s="8" t="s">
        <v>23</v>
      </c>
      <c r="E9" s="9">
        <v>5</v>
      </c>
      <c r="F9" s="21">
        <v>9000</v>
      </c>
      <c r="G9" s="22" t="s">
        <v>192</v>
      </c>
      <c r="H9" s="8">
        <v>13</v>
      </c>
      <c r="I9" s="21">
        <v>8500</v>
      </c>
      <c r="J9" s="21">
        <v>500</v>
      </c>
      <c r="K9" s="21">
        <v>100</v>
      </c>
      <c r="L9" s="12">
        <v>5.5599999999999997E-2</v>
      </c>
      <c r="M9" s="21">
        <v>8500</v>
      </c>
      <c r="N9" s="9" t="str">
        <f ca="1">IFERROR(__xludf.DUMMYFUNCTION("IF(G9&lt;&gt;"""",G9, IFERROR(TRANSPOSE(FILTER('ซื้อสินค้า'!H:H,'ซื้อสินค้า'!B:B=B9,'ซื้อสินค้า'!I:I&gt;0)),))"),"3-Bellroy Australia Lite Sling 7L Light Walking")</f>
        <v>3-Bellroy Australia Lite Sling 7L Light Walking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>
      <c r="A10" s="5">
        <v>45665</v>
      </c>
      <c r="B10" s="6" t="s">
        <v>193</v>
      </c>
      <c r="C10" s="20">
        <v>125000</v>
      </c>
      <c r="D10" s="8" t="s">
        <v>23</v>
      </c>
      <c r="E10" s="9">
        <v>1</v>
      </c>
      <c r="F10" s="21">
        <v>125000</v>
      </c>
      <c r="G10" s="22" t="s">
        <v>194</v>
      </c>
      <c r="H10" s="8">
        <v>13</v>
      </c>
      <c r="I10" s="21">
        <v>110000</v>
      </c>
      <c r="J10" s="21">
        <v>15000</v>
      </c>
      <c r="K10" s="21">
        <v>15000</v>
      </c>
      <c r="L10" s="12">
        <v>0.12</v>
      </c>
      <c r="M10" s="21">
        <v>110000</v>
      </c>
      <c r="N10" s="9" t="str">
        <f ca="1">IFERROR(__xludf.DUMMYFUNCTION("IF(G10&lt;&gt;"""",G10, IFERROR(TRANSPOSE(FILTER('ซื้อสินค้า'!H:H,'ซื้อสินค้า'!B:B=B10,'ซื้อสินค้า'!I:I&gt;0)),))"),"3-Bellroy Australia Lite Sling 7L Light Walking")</f>
        <v>3-Bellroy Australia Lite Sling 7L Light Walking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>
      <c r="A11" s="5">
        <v>45666</v>
      </c>
      <c r="B11" s="6" t="s">
        <v>195</v>
      </c>
      <c r="C11" s="20">
        <v>99500</v>
      </c>
      <c r="D11" s="8" t="s">
        <v>23</v>
      </c>
      <c r="E11" s="9">
        <v>1</v>
      </c>
      <c r="F11" s="21">
        <v>99500</v>
      </c>
      <c r="G11" s="22" t="s">
        <v>196</v>
      </c>
      <c r="H11" s="8">
        <v>10</v>
      </c>
      <c r="I11" s="21">
        <v>90000</v>
      </c>
      <c r="J11" s="21">
        <v>9500</v>
      </c>
      <c r="K11" s="21">
        <v>9500</v>
      </c>
      <c r="L11" s="12">
        <v>9.5500000000000002E-2</v>
      </c>
      <c r="M11" s="21">
        <v>90000</v>
      </c>
      <c r="N11" s="9" t="str">
        <f ca="1">IFERROR(__xludf.DUMMYFUNCTION("IF(G11&lt;&gt;"""",G11, IFERROR(TRANSPOSE(FILTER('ซื้อสินค้า'!H:H,'ซื้อสินค้า'!B:B=B11,'ซื้อสินค้า'!I:I&gt;0)),))"),"")</f>
        <v/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>
      <c r="A12" s="5">
        <v>45667</v>
      </c>
      <c r="B12" s="6" t="s">
        <v>197</v>
      </c>
      <c r="C12" s="20">
        <v>35500</v>
      </c>
      <c r="D12" s="8" t="s">
        <v>23</v>
      </c>
      <c r="E12" s="9">
        <v>1</v>
      </c>
      <c r="F12" s="21">
        <v>35500</v>
      </c>
      <c r="G12" s="22" t="s">
        <v>198</v>
      </c>
      <c r="H12" s="8">
        <v>14</v>
      </c>
      <c r="I12" s="21">
        <v>31500</v>
      </c>
      <c r="J12" s="21">
        <v>4000</v>
      </c>
      <c r="K12" s="21">
        <v>4000</v>
      </c>
      <c r="L12" s="12">
        <v>0.11269999999999999</v>
      </c>
      <c r="M12" s="21">
        <v>31500</v>
      </c>
      <c r="N12" s="9" t="str">
        <f ca="1">IFERROR(__xludf.DUMMYFUNCTION("IF(G12&lt;&gt;"""",G12, IFERROR(TRANSPOSE(FILTER('ซื้อสินค้า'!H:H,'ซื้อสินค้า'!B:B=B12,'ซื้อสินค้า'!I:I&gt;0)),))"),"")</f>
        <v/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>
      <c r="A13" s="5">
        <v>45668</v>
      </c>
      <c r="B13" s="6" t="s">
        <v>199</v>
      </c>
      <c r="C13" s="20">
        <v>9800</v>
      </c>
      <c r="D13" s="8" t="s">
        <v>23</v>
      </c>
      <c r="E13" s="9">
        <v>2</v>
      </c>
      <c r="F13" s="21">
        <v>19600</v>
      </c>
      <c r="G13" s="22" t="s">
        <v>200</v>
      </c>
      <c r="H13" s="8">
        <v>3</v>
      </c>
      <c r="I13" s="21">
        <v>8500</v>
      </c>
      <c r="J13" s="21">
        <v>2600</v>
      </c>
      <c r="K13" s="21">
        <v>1300</v>
      </c>
      <c r="L13" s="12">
        <v>0.13270000000000001</v>
      </c>
      <c r="M13" s="21">
        <v>17000</v>
      </c>
      <c r="N13" s="9" t="str">
        <f ca="1">IFERROR(__xludf.DUMMYFUNCTION("IF(G13&lt;&gt;"""",G13, IFERROR(TRANSPOSE(FILTER('ซื้อสินค้า'!H:H,'ซื้อสินค้า'!B:B=B13,'ซื้อสินค้า'!I:I&gt;0)),))"),"")</f>
        <v/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>
      <c r="A14" s="5">
        <v>45669</v>
      </c>
      <c r="B14" s="6" t="s">
        <v>106</v>
      </c>
      <c r="C14" s="20">
        <v>64500</v>
      </c>
      <c r="D14" s="8" t="s">
        <v>23</v>
      </c>
      <c r="E14" s="9">
        <v>1</v>
      </c>
      <c r="F14" s="21">
        <v>64500</v>
      </c>
      <c r="G14" s="22" t="s">
        <v>201</v>
      </c>
      <c r="H14" s="8">
        <v>6</v>
      </c>
      <c r="I14" s="21">
        <v>60000</v>
      </c>
      <c r="J14" s="21">
        <v>4500</v>
      </c>
      <c r="K14" s="21">
        <v>4500</v>
      </c>
      <c r="L14" s="12">
        <v>6.9800000000000001E-2</v>
      </c>
      <c r="M14" s="21">
        <v>60000</v>
      </c>
      <c r="N14" s="9" t="str">
        <f ca="1">IFERROR(__xludf.DUMMYFUNCTION("IF(G14&lt;&gt;"""",G14, IFERROR(TRANSPOSE(FILTER('ซื้อสินค้า'!H:H,'ซื้อสินค้า'!B:B=B14,'ซื้อสินค้า'!I:I&gt;0)),))"),"")</f>
        <v/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>
      <c r="A15" s="5">
        <v>45670</v>
      </c>
      <c r="B15" s="6" t="s">
        <v>202</v>
      </c>
      <c r="C15" s="20">
        <v>32000</v>
      </c>
      <c r="D15" s="8" t="s">
        <v>179</v>
      </c>
      <c r="E15" s="9">
        <v>1</v>
      </c>
      <c r="F15" s="21">
        <v>32000</v>
      </c>
      <c r="G15" s="22" t="s">
        <v>203</v>
      </c>
      <c r="H15" s="8">
        <v>12</v>
      </c>
      <c r="I15" s="21">
        <v>28000</v>
      </c>
      <c r="J15" s="21">
        <v>4000</v>
      </c>
      <c r="K15" s="21">
        <v>4000</v>
      </c>
      <c r="L15" s="12">
        <v>0.125</v>
      </c>
      <c r="M15" s="21">
        <v>28000</v>
      </c>
      <c r="N15" s="9" t="str">
        <f ca="1">IFERROR(__xludf.DUMMYFUNCTION("IF(G15&lt;&gt;"""",G15, IFERROR(TRANSPOSE(FILTER('ซื้อสินค้า'!H:H,'ซื้อสินค้า'!B:B=B15,'ซื้อสินค้า'!I:I&gt;0)),))"),"")</f>
        <v/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>
      <c r="A16" s="5">
        <v>45671</v>
      </c>
      <c r="B16" s="6" t="s">
        <v>204</v>
      </c>
      <c r="C16" s="20">
        <v>2800</v>
      </c>
      <c r="D16" s="8" t="s">
        <v>23</v>
      </c>
      <c r="E16" s="9">
        <v>2</v>
      </c>
      <c r="F16" s="21">
        <v>5600</v>
      </c>
      <c r="G16" s="22" t="s">
        <v>205</v>
      </c>
      <c r="H16" s="8">
        <v>14</v>
      </c>
      <c r="I16" s="21">
        <v>2200</v>
      </c>
      <c r="J16" s="21">
        <v>1200</v>
      </c>
      <c r="K16" s="21">
        <v>600</v>
      </c>
      <c r="L16" s="12">
        <v>0.21429999999999999</v>
      </c>
      <c r="M16" s="21">
        <v>4400</v>
      </c>
      <c r="N16" s="9" t="str">
        <f ca="1">IFERROR(__xludf.DUMMYFUNCTION("IF(G16&lt;&gt;"""",G16, IFERROR(TRANSPOSE(FILTER('ซื้อสินค้า'!H:H,'ซื้อสินค้า'!B:B=B16,'ซื้อสินค้า'!I:I&gt;0)),))"),"")</f>
        <v/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>
      <c r="A17" s="5">
        <v>45672</v>
      </c>
      <c r="B17" s="6" t="s">
        <v>206</v>
      </c>
      <c r="C17" s="20">
        <v>41500</v>
      </c>
      <c r="D17" s="8" t="s">
        <v>23</v>
      </c>
      <c r="E17" s="9">
        <v>1</v>
      </c>
      <c r="F17" s="21">
        <v>41500</v>
      </c>
      <c r="G17" s="22" t="s">
        <v>207</v>
      </c>
      <c r="H17" s="8">
        <v>7</v>
      </c>
      <c r="I17" s="21">
        <v>38000</v>
      </c>
      <c r="J17" s="21">
        <v>3500</v>
      </c>
      <c r="K17" s="21">
        <v>3500</v>
      </c>
      <c r="L17" s="12">
        <v>8.43E-2</v>
      </c>
      <c r="M17" s="21">
        <v>38000</v>
      </c>
      <c r="N17" s="9" t="str">
        <f ca="1">IFERROR(__xludf.DUMMYFUNCTION("IF(G17&lt;&gt;"""",G17, IFERROR(TRANSPOSE(FILTER('ซื้อสินค้า'!H:H,'ซื้อสินค้า'!B:B=B17,'ซื้อสินค้า'!I:I&gt;0)),))"),"")</f>
        <v/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>
      <c r="A18" s="5">
        <v>45673</v>
      </c>
      <c r="B18" s="6" t="s">
        <v>208</v>
      </c>
      <c r="C18" s="20">
        <v>13500</v>
      </c>
      <c r="D18" s="8" t="s">
        <v>23</v>
      </c>
      <c r="E18" s="9">
        <v>1</v>
      </c>
      <c r="F18" s="21">
        <v>13500</v>
      </c>
      <c r="G18" s="22" t="s">
        <v>209</v>
      </c>
      <c r="H18" s="8">
        <v>5</v>
      </c>
      <c r="I18" s="21">
        <v>11500</v>
      </c>
      <c r="J18" s="21">
        <v>2000</v>
      </c>
      <c r="K18" s="21">
        <v>2000</v>
      </c>
      <c r="L18" s="12">
        <v>0.14810000000000001</v>
      </c>
      <c r="M18" s="21">
        <v>11500</v>
      </c>
      <c r="N18" s="9" t="str">
        <f ca="1">IFERROR(__xludf.DUMMYFUNCTION("IF(G18&lt;&gt;"""",G18, IFERROR(TRANSPOSE(FILTER('ซื้อสินค้า'!H:H,'ซื้อสินค้า'!B:B=B18,'ซื้อสินค้า'!I:I&gt;0)),))"),"")</f>
        <v/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>
      <c r="A19" s="5">
        <v>45674</v>
      </c>
      <c r="B19" s="6" t="s">
        <v>210</v>
      </c>
      <c r="C19" s="20">
        <v>3000</v>
      </c>
      <c r="D19" s="8" t="s">
        <v>23</v>
      </c>
      <c r="E19" s="9">
        <v>3</v>
      </c>
      <c r="F19" s="21">
        <v>9000</v>
      </c>
      <c r="G19" s="22" t="s">
        <v>211</v>
      </c>
      <c r="H19" s="8">
        <v>17</v>
      </c>
      <c r="I19" s="21">
        <v>2500</v>
      </c>
      <c r="J19" s="21">
        <v>1500</v>
      </c>
      <c r="K19" s="21">
        <v>500</v>
      </c>
      <c r="L19" s="12">
        <v>0.16669999999999999</v>
      </c>
      <c r="M19" s="21">
        <v>7500</v>
      </c>
      <c r="N19" s="9" t="str">
        <f ca="1">IFERROR(__xludf.DUMMYFUNCTION("IF(G19&lt;&gt;"""",G19, IFERROR(TRANSPOSE(FILTER('ซื้อสินค้า'!H:H,'ซื้อสินค้า'!B:B=B19,'ซื้อสินค้า'!I:I&gt;0)),))"),"")</f>
        <v/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>
      <c r="A20" s="5">
        <v>45675</v>
      </c>
      <c r="B20" s="6" t="s">
        <v>118</v>
      </c>
      <c r="C20" s="20">
        <v>4000</v>
      </c>
      <c r="D20" s="8" t="s">
        <v>23</v>
      </c>
      <c r="E20" s="9">
        <v>1</v>
      </c>
      <c r="F20" s="21">
        <v>4000</v>
      </c>
      <c r="G20" s="22" t="s">
        <v>212</v>
      </c>
      <c r="H20" s="8">
        <v>11</v>
      </c>
      <c r="I20" s="21">
        <v>3200</v>
      </c>
      <c r="J20" s="21">
        <v>800</v>
      </c>
      <c r="K20" s="21">
        <v>800</v>
      </c>
      <c r="L20" s="12">
        <v>0.2</v>
      </c>
      <c r="M20" s="21">
        <v>3200</v>
      </c>
      <c r="N20" s="9" t="str">
        <f ca="1">IFERROR(__xludf.DUMMYFUNCTION("IF(G20&lt;&gt;"""",G20, IFERROR(TRANSPOSE(FILTER('ซื้อสินค้า'!H:H,'ซื้อสินค้า'!B:B=B20,'ซื้อสินค้า'!I:I&gt;0)),))"),"")</f>
        <v/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>
      <c r="A21" s="5">
        <v>45676</v>
      </c>
      <c r="B21" s="6" t="s">
        <v>213</v>
      </c>
      <c r="C21" s="20">
        <v>46000</v>
      </c>
      <c r="D21" s="8" t="s">
        <v>23</v>
      </c>
      <c r="E21" s="9">
        <v>1</v>
      </c>
      <c r="F21" s="21">
        <v>46000</v>
      </c>
      <c r="G21" s="22" t="s">
        <v>214</v>
      </c>
      <c r="H21" s="8">
        <v>8</v>
      </c>
      <c r="I21" s="21">
        <v>42000</v>
      </c>
      <c r="J21" s="21">
        <v>4000</v>
      </c>
      <c r="K21" s="21">
        <v>4000</v>
      </c>
      <c r="L21" s="12">
        <v>8.6999999999999994E-2</v>
      </c>
      <c r="M21" s="21">
        <v>42000</v>
      </c>
      <c r="N21" s="9" t="str">
        <f ca="1">IFERROR(__xludf.DUMMYFUNCTION("IF(G21&lt;&gt;"""",G21, IFERROR(TRANSPOSE(FILTER('ซื้อสินค้า'!H:H,'ซื้อสินค้า'!B:B=B21,'ซื้อสินค้า'!I:I&gt;0)),))"),"")</f>
        <v/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>
      <c r="A22" s="5">
        <v>45677</v>
      </c>
      <c r="B22" s="6" t="s">
        <v>215</v>
      </c>
      <c r="C22" s="20">
        <v>8200</v>
      </c>
      <c r="D22" s="8" t="s">
        <v>23</v>
      </c>
      <c r="E22" s="9">
        <v>2</v>
      </c>
      <c r="F22" s="21">
        <v>16400</v>
      </c>
      <c r="G22" s="22" t="s">
        <v>216</v>
      </c>
      <c r="H22" s="8">
        <v>2</v>
      </c>
      <c r="I22" s="21">
        <v>7000</v>
      </c>
      <c r="J22" s="21">
        <v>2400</v>
      </c>
      <c r="K22" s="21">
        <v>1200</v>
      </c>
      <c r="L22" s="12">
        <v>0.14630000000000001</v>
      </c>
      <c r="M22" s="21">
        <v>14000</v>
      </c>
      <c r="N22" s="9" t="str">
        <f ca="1">IFERROR(__xludf.DUMMYFUNCTION("IF(G22&lt;&gt;"""",G22, IFERROR(TRANSPOSE(FILTER('ซื้อสินค้า'!H:H,'ซื้อสินค้า'!B:B=B22,'ซื้อสินค้า'!I:I&gt;0)),))"),"")</f>
        <v/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>
      <c r="A23" s="5">
        <v>45678</v>
      </c>
      <c r="B23" s="6" t="s">
        <v>217</v>
      </c>
      <c r="C23" s="20">
        <v>69500</v>
      </c>
      <c r="D23" s="8" t="s">
        <v>23</v>
      </c>
      <c r="E23" s="9">
        <v>1</v>
      </c>
      <c r="F23" s="21">
        <v>69500</v>
      </c>
      <c r="G23" s="22" t="s">
        <v>218</v>
      </c>
      <c r="H23" s="8">
        <v>6</v>
      </c>
      <c r="I23" s="21">
        <v>65000</v>
      </c>
      <c r="J23" s="21">
        <v>4500</v>
      </c>
      <c r="K23" s="21">
        <v>4500</v>
      </c>
      <c r="L23" s="12">
        <v>6.4699999999999994E-2</v>
      </c>
      <c r="M23" s="21">
        <v>65000</v>
      </c>
      <c r="N23" s="9" t="str">
        <f ca="1">IFERROR(__xludf.DUMMYFUNCTION("IF(G23&lt;&gt;"""",G23, IFERROR(TRANSPOSE(FILTER('ซื้อสินค้า'!H:H,'ซื้อสินค้า'!B:B=B23,'ซื้อสินค้า'!I:I&gt;0)),))"),"")</f>
        <v/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>
      <c r="A24" s="5">
        <v>45679</v>
      </c>
      <c r="B24" s="6" t="s">
        <v>219</v>
      </c>
      <c r="C24" s="20">
        <v>74500</v>
      </c>
      <c r="D24" s="8" t="s">
        <v>23</v>
      </c>
      <c r="E24" s="9">
        <v>1</v>
      </c>
      <c r="F24" s="21">
        <v>74500</v>
      </c>
      <c r="G24" s="22" t="s">
        <v>220</v>
      </c>
      <c r="H24" s="8">
        <v>9</v>
      </c>
      <c r="I24" s="21">
        <v>70000</v>
      </c>
      <c r="J24" s="21">
        <v>4500</v>
      </c>
      <c r="K24" s="21">
        <v>4500</v>
      </c>
      <c r="L24" s="12">
        <v>6.0400000000000002E-2</v>
      </c>
      <c r="M24" s="21">
        <v>70000</v>
      </c>
      <c r="N24" s="9" t="str">
        <f ca="1">IFERROR(__xludf.DUMMYFUNCTION("IF(G24&lt;&gt;"""",G24, IFERROR(TRANSPOSE(FILTER('ซื้อสินค้า'!H:H,'ซื้อสินค้า'!B:B=B24,'ซื้อสินค้า'!I:I&gt;0)),))"),"")</f>
        <v/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>
      <c r="A25" s="5">
        <v>45680</v>
      </c>
      <c r="B25" s="6" t="s">
        <v>221</v>
      </c>
      <c r="C25" s="20">
        <v>31500</v>
      </c>
      <c r="D25" s="8" t="s">
        <v>23</v>
      </c>
      <c r="E25" s="9">
        <v>1</v>
      </c>
      <c r="F25" s="21">
        <v>31500</v>
      </c>
      <c r="G25" s="22" t="s">
        <v>222</v>
      </c>
      <c r="H25" s="8">
        <v>5</v>
      </c>
      <c r="I25" s="21">
        <v>28500</v>
      </c>
      <c r="J25" s="21">
        <v>3000</v>
      </c>
      <c r="K25" s="21">
        <v>3000</v>
      </c>
      <c r="L25" s="12">
        <v>9.5200000000000007E-2</v>
      </c>
      <c r="M25" s="21">
        <v>28500</v>
      </c>
      <c r="N25" s="9" t="str">
        <f ca="1">IFERROR(__xludf.DUMMYFUNCTION("IF(G25&lt;&gt;"""",G25, IFERROR(TRANSPOSE(FILTER('ซื้อสินค้า'!H:H,'ซื้อสินค้า'!B:B=B25,'ซื้อสินค้า'!I:I&gt;0)),))"),"")</f>
        <v/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>
      <c r="A26" s="5">
        <v>45681</v>
      </c>
      <c r="B26" s="6" t="s">
        <v>223</v>
      </c>
      <c r="C26" s="20">
        <v>13800</v>
      </c>
      <c r="D26" s="8" t="s">
        <v>23</v>
      </c>
      <c r="E26" s="9">
        <v>2</v>
      </c>
      <c r="F26" s="21">
        <v>27600</v>
      </c>
      <c r="G26" s="22" t="s">
        <v>224</v>
      </c>
      <c r="H26" s="8">
        <v>6</v>
      </c>
      <c r="I26" s="21">
        <v>12000</v>
      </c>
      <c r="J26" s="21">
        <v>3600</v>
      </c>
      <c r="K26" s="21">
        <v>1800</v>
      </c>
      <c r="L26" s="12">
        <v>0.13039999999999999</v>
      </c>
      <c r="M26" s="21">
        <v>24000</v>
      </c>
      <c r="N26" s="9" t="str">
        <f ca="1">IFERROR(__xludf.DUMMYFUNCTION("IF(G26&lt;&gt;"""",G26, IFERROR(TRANSPOSE(FILTER('ซื้อสินค้า'!H:H,'ซื้อสินค้า'!B:B=B26,'ซื้อสินค้า'!I:I&gt;0)),))"),"")</f>
        <v/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>
      <c r="A27" s="5">
        <v>45682</v>
      </c>
      <c r="B27" s="6" t="s">
        <v>133</v>
      </c>
      <c r="C27" s="20">
        <v>29500</v>
      </c>
      <c r="D27" s="8" t="s">
        <v>23</v>
      </c>
      <c r="E27" s="9">
        <v>1</v>
      </c>
      <c r="F27" s="21">
        <v>29500</v>
      </c>
      <c r="G27" s="22" t="s">
        <v>225</v>
      </c>
      <c r="H27" s="8">
        <v>4</v>
      </c>
      <c r="I27" s="21">
        <v>27000</v>
      </c>
      <c r="J27" s="21">
        <v>2500</v>
      </c>
      <c r="K27" s="21">
        <v>2500</v>
      </c>
      <c r="L27" s="12">
        <v>8.4699999999999998E-2</v>
      </c>
      <c r="M27" s="21">
        <v>27000</v>
      </c>
      <c r="N27" s="9" t="str">
        <f ca="1">IFERROR(__xludf.DUMMYFUNCTION("IF(G27&lt;&gt;"""",G27, IFERROR(TRANSPOSE(FILTER('ซื้อสินค้า'!H:H,'ซื้อสินค้า'!B:B=B27,'ซื้อสินค้า'!I:I&gt;0)),))"),"")</f>
        <v/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>
      <c r="A28" s="5">
        <v>45683</v>
      </c>
      <c r="B28" s="6" t="s">
        <v>226</v>
      </c>
      <c r="C28" s="20">
        <v>38800</v>
      </c>
      <c r="D28" s="8" t="s">
        <v>179</v>
      </c>
      <c r="E28" s="9">
        <v>1</v>
      </c>
      <c r="F28" s="21">
        <v>38800</v>
      </c>
      <c r="G28" s="22" t="s">
        <v>227</v>
      </c>
      <c r="H28" s="8">
        <v>8</v>
      </c>
      <c r="I28" s="21">
        <v>35000</v>
      </c>
      <c r="J28" s="21">
        <v>3800</v>
      </c>
      <c r="K28" s="21">
        <v>3800</v>
      </c>
      <c r="L28" s="12">
        <v>9.7900000000000001E-2</v>
      </c>
      <c r="M28" s="21">
        <v>35000</v>
      </c>
      <c r="N28" s="9" t="str">
        <f ca="1">IFERROR(__xludf.DUMMYFUNCTION("IF(G28&lt;&gt;"""",G28, IFERROR(TRANSPOSE(FILTER('ซื้อสินค้า'!H:H,'ซื้อสินค้า'!B:B=B28,'ซื้อสินค้า'!I:I&gt;0)),))"),"")</f>
        <v/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>
      <c r="A29" s="5">
        <v>45684</v>
      </c>
      <c r="B29" s="6" t="s">
        <v>228</v>
      </c>
      <c r="C29" s="20">
        <v>1600</v>
      </c>
      <c r="D29" s="8" t="s">
        <v>23</v>
      </c>
      <c r="E29" s="9">
        <v>4</v>
      </c>
      <c r="F29" s="21">
        <v>6400</v>
      </c>
      <c r="G29" s="22" t="s">
        <v>229</v>
      </c>
      <c r="H29" s="8">
        <v>8</v>
      </c>
      <c r="I29" s="21">
        <v>1200</v>
      </c>
      <c r="J29" s="21">
        <v>1600</v>
      </c>
      <c r="K29" s="21">
        <v>400</v>
      </c>
      <c r="L29" s="12">
        <v>0.25</v>
      </c>
      <c r="M29" s="21">
        <v>4800</v>
      </c>
      <c r="N29" s="9" t="str">
        <f ca="1">IFERROR(__xludf.DUMMYFUNCTION("IF(G29&lt;&gt;"""",G29, IFERROR(TRANSPOSE(FILTER('ซื้อสินค้า'!H:H,'ซื้อสินค้า'!B:B=B29,'ซื้อสินค้า'!I:I&gt;0)),))"),"")</f>
        <v/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>
      <c r="A30" s="5">
        <v>45685</v>
      </c>
      <c r="B30" s="6" t="s">
        <v>230</v>
      </c>
      <c r="C30" s="20">
        <v>31000</v>
      </c>
      <c r="D30" s="8" t="s">
        <v>23</v>
      </c>
      <c r="E30" s="9">
        <v>1</v>
      </c>
      <c r="F30" s="21">
        <v>31000</v>
      </c>
      <c r="G30" s="22" t="s">
        <v>231</v>
      </c>
      <c r="H30" s="8">
        <v>6</v>
      </c>
      <c r="I30" s="21">
        <v>28000</v>
      </c>
      <c r="J30" s="21">
        <v>3000</v>
      </c>
      <c r="K30" s="21">
        <v>3000</v>
      </c>
      <c r="L30" s="12">
        <v>9.6799999999999997E-2</v>
      </c>
      <c r="M30" s="21">
        <v>28000</v>
      </c>
      <c r="N30" s="9" t="str">
        <f ca="1">IFERROR(__xludf.DUMMYFUNCTION("IF(G30&lt;&gt;"""",G30, IFERROR(TRANSPOSE(FILTER('ซื้อสินค้า'!H:H,'ซื้อสินค้า'!B:B=B30,'ซื้อสินค้า'!I:I&gt;0)),))"),"")</f>
        <v/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>
      <c r="A31" s="5">
        <v>45686</v>
      </c>
      <c r="B31" s="6" t="s">
        <v>140</v>
      </c>
      <c r="C31" s="20">
        <v>17500</v>
      </c>
      <c r="D31" s="8" t="s">
        <v>23</v>
      </c>
      <c r="E31" s="9">
        <v>1</v>
      </c>
      <c r="F31" s="21">
        <v>17500</v>
      </c>
      <c r="G31" s="22" t="s">
        <v>232</v>
      </c>
      <c r="H31" s="8">
        <v>10</v>
      </c>
      <c r="I31" s="21">
        <v>15000</v>
      </c>
      <c r="J31" s="21">
        <v>2500</v>
      </c>
      <c r="K31" s="21">
        <v>2500</v>
      </c>
      <c r="L31" s="12">
        <v>0.1429</v>
      </c>
      <c r="M31" s="21">
        <v>15000</v>
      </c>
      <c r="N31" s="9" t="str">
        <f ca="1">IFERROR(__xludf.DUMMYFUNCTION("IF(G31&lt;&gt;"""",G31, IFERROR(TRANSPOSE(FILTER('ซื้อสินค้า'!H:H,'ซื้อสินค้า'!B:B=B31,'ซื้อสินค้า'!I:I&gt;0)),))"),"")</f>
        <v/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>
      <c r="A32" s="5">
        <v>45687</v>
      </c>
      <c r="B32" s="6" t="s">
        <v>233</v>
      </c>
      <c r="C32" s="20">
        <v>5000</v>
      </c>
      <c r="D32" s="8" t="s">
        <v>23</v>
      </c>
      <c r="E32" s="9">
        <v>2</v>
      </c>
      <c r="F32" s="21">
        <v>10000</v>
      </c>
      <c r="G32" s="22" t="s">
        <v>234</v>
      </c>
      <c r="H32" s="8">
        <v>11</v>
      </c>
      <c r="I32" s="21">
        <v>4200</v>
      </c>
      <c r="J32" s="21">
        <v>1600</v>
      </c>
      <c r="K32" s="21">
        <v>800</v>
      </c>
      <c r="L32" s="12">
        <v>0.16</v>
      </c>
      <c r="M32" s="21">
        <v>8400</v>
      </c>
      <c r="N32" s="9" t="str">
        <f ca="1">IFERROR(__xludf.DUMMYFUNCTION("IF(G32&lt;&gt;"""",G32, IFERROR(TRANSPOSE(FILTER('ซื้อสินค้า'!H:H,'ซื้อสินค้า'!B:B=B32,'ซื้อสินค้า'!I:I&gt;0)),))"),"")</f>
        <v/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>
      <c r="A33" s="5">
        <v>45688</v>
      </c>
      <c r="B33" s="6" t="s">
        <v>235</v>
      </c>
      <c r="C33" s="20">
        <v>4600</v>
      </c>
      <c r="D33" s="8" t="s">
        <v>23</v>
      </c>
      <c r="E33" s="9">
        <v>1</v>
      </c>
      <c r="F33" s="21">
        <v>4600</v>
      </c>
      <c r="G33" s="22" t="s">
        <v>236</v>
      </c>
      <c r="H33" s="8">
        <v>5</v>
      </c>
      <c r="I33" s="21">
        <v>3800</v>
      </c>
      <c r="J33" s="21">
        <v>800</v>
      </c>
      <c r="K33" s="21">
        <v>800</v>
      </c>
      <c r="L33" s="12">
        <v>0.1739</v>
      </c>
      <c r="M33" s="21">
        <v>3800</v>
      </c>
      <c r="N33" s="9" t="str">
        <f ca="1">IFERROR(__xludf.DUMMYFUNCTION("IF(G33&lt;&gt;"""",G33, IFERROR(TRANSPOSE(FILTER('ซื้อสินค้า'!H:H,'ซื้อสินค้า'!B:B=B33,'ซื้อสินค้า'!I:I&gt;0)),))"),"")</f>
        <v/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>
      <c r="A34" s="5">
        <v>45689</v>
      </c>
      <c r="B34" s="6" t="s">
        <v>237</v>
      </c>
      <c r="C34" s="20">
        <v>44500</v>
      </c>
      <c r="D34" s="8" t="s">
        <v>23</v>
      </c>
      <c r="E34" s="9">
        <v>1</v>
      </c>
      <c r="F34" s="21">
        <v>44500</v>
      </c>
      <c r="G34" s="22" t="s">
        <v>238</v>
      </c>
      <c r="H34" s="8">
        <v>9</v>
      </c>
      <c r="I34" s="21">
        <v>40000</v>
      </c>
      <c r="J34" s="21">
        <v>4500</v>
      </c>
      <c r="K34" s="21">
        <v>4500</v>
      </c>
      <c r="L34" s="12">
        <v>0.1011</v>
      </c>
      <c r="M34" s="21">
        <v>40000</v>
      </c>
      <c r="N34" s="9" t="str">
        <f ca="1">IFERROR(__xludf.DUMMYFUNCTION("IF(G34&lt;&gt;"""",G34, IFERROR(TRANSPOSE(FILTER('ซื้อสินค้า'!H:H,'ซื้อสินค้า'!B:B=B34,'ซื้อสินค้า'!I:I&gt;0)),))"),"")</f>
        <v/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>
      <c r="A35" s="5">
        <v>45690</v>
      </c>
      <c r="B35" s="6" t="s">
        <v>239</v>
      </c>
      <c r="C35" s="20">
        <v>9800</v>
      </c>
      <c r="D35" s="8" t="s">
        <v>23</v>
      </c>
      <c r="E35" s="9">
        <v>2</v>
      </c>
      <c r="F35" s="21">
        <v>19600</v>
      </c>
      <c r="G35" s="22" t="s">
        <v>240</v>
      </c>
      <c r="H35" s="8">
        <v>13</v>
      </c>
      <c r="I35" s="21">
        <v>8500</v>
      </c>
      <c r="J35" s="21">
        <v>2600</v>
      </c>
      <c r="K35" s="21">
        <v>1300</v>
      </c>
      <c r="L35" s="12">
        <v>0.13270000000000001</v>
      </c>
      <c r="M35" s="21">
        <v>17000</v>
      </c>
      <c r="N35" s="9" t="str">
        <f ca="1">IFERROR(__xludf.DUMMYFUNCTION("IF(G35&lt;&gt;"""",G35, IFERROR(TRANSPOSE(FILTER('ซื้อสินค้า'!H:H,'ซื้อสินค้า'!B:B=B35,'ซื้อสินค้า'!I:I&gt;0)),))"),"")</f>
        <v/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>
      <c r="A36" s="5">
        <v>45691</v>
      </c>
      <c r="B36" s="6" t="s">
        <v>241</v>
      </c>
      <c r="C36" s="20">
        <v>190000</v>
      </c>
      <c r="D36" s="8" t="s">
        <v>23</v>
      </c>
      <c r="E36" s="9">
        <v>1</v>
      </c>
      <c r="F36" s="21">
        <v>190000</v>
      </c>
      <c r="G36" s="22" t="s">
        <v>242</v>
      </c>
      <c r="H36" s="8">
        <v>7</v>
      </c>
      <c r="I36" s="21">
        <v>185000</v>
      </c>
      <c r="J36" s="21">
        <v>5000</v>
      </c>
      <c r="K36" s="21">
        <v>5000</v>
      </c>
      <c r="L36" s="12">
        <v>2.63E-2</v>
      </c>
      <c r="M36" s="21">
        <v>185000</v>
      </c>
      <c r="N36" s="9" t="str">
        <f ca="1">IFERROR(__xludf.DUMMYFUNCTION("IF(G36&lt;&gt;"""",G36, IFERROR(TRANSPOSE(FILTER('ซื้อสินค้า'!H:H,'ซื้อสินค้า'!B:B=B36,'ซื้อสินค้า'!I:I&gt;0)),))"),"")</f>
        <v/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>
      <c r="A37" s="5">
        <v>45692</v>
      </c>
      <c r="B37" s="6" t="s">
        <v>243</v>
      </c>
      <c r="C37" s="20">
        <v>38500</v>
      </c>
      <c r="D37" s="8" t="s">
        <v>23</v>
      </c>
      <c r="E37" s="9">
        <v>1</v>
      </c>
      <c r="F37" s="21">
        <v>38500</v>
      </c>
      <c r="G37" s="22" t="s">
        <v>244</v>
      </c>
      <c r="H37" s="8">
        <v>8</v>
      </c>
      <c r="I37" s="21">
        <v>35000</v>
      </c>
      <c r="J37" s="21">
        <v>3500</v>
      </c>
      <c r="K37" s="21">
        <v>3500</v>
      </c>
      <c r="L37" s="12">
        <v>9.0899999999999995E-2</v>
      </c>
      <c r="M37" s="21">
        <v>35000</v>
      </c>
      <c r="N37" s="9" t="str">
        <f ca="1">IFERROR(__xludf.DUMMYFUNCTION("IF(G37&lt;&gt;"""",G37, IFERROR(TRANSPOSE(FILTER('ซื้อสินค้า'!H:H,'ซื้อสินค้า'!B:B=B37,'ซื้อสินค้า'!I:I&gt;0)),))"),"")</f>
        <v/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>
      <c r="A38" s="5">
        <v>45693</v>
      </c>
      <c r="B38" s="6" t="s">
        <v>245</v>
      </c>
      <c r="C38" s="20">
        <v>46500</v>
      </c>
      <c r="D38" s="8" t="s">
        <v>23</v>
      </c>
      <c r="E38" s="9">
        <v>1</v>
      </c>
      <c r="F38" s="21">
        <v>46500</v>
      </c>
      <c r="G38" s="22" t="s">
        <v>246</v>
      </c>
      <c r="H38" s="8">
        <v>13</v>
      </c>
      <c r="I38" s="21">
        <v>42000</v>
      </c>
      <c r="J38" s="21">
        <v>4500</v>
      </c>
      <c r="K38" s="21">
        <v>4500</v>
      </c>
      <c r="L38" s="12">
        <v>9.6799999999999997E-2</v>
      </c>
      <c r="M38" s="21">
        <v>42000</v>
      </c>
      <c r="N38" s="9" t="str">
        <f ca="1">IFERROR(__xludf.DUMMYFUNCTION("IF(G38&lt;&gt;"""",G38, IFERROR(TRANSPOSE(FILTER('ซื้อสินค้า'!H:H,'ซื้อสินค้า'!B:B=B38,'ซื้อสินค้า'!I:I&gt;0)),))"),"")</f>
        <v/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>
      <c r="A39" s="5">
        <v>45694</v>
      </c>
      <c r="B39" s="6" t="s">
        <v>247</v>
      </c>
      <c r="C39" s="20">
        <v>20500</v>
      </c>
      <c r="D39" s="8" t="s">
        <v>23</v>
      </c>
      <c r="E39" s="9">
        <v>1</v>
      </c>
      <c r="F39" s="21">
        <v>20500</v>
      </c>
      <c r="G39" s="22" t="s">
        <v>248</v>
      </c>
      <c r="H39" s="8">
        <v>4</v>
      </c>
      <c r="I39" s="21">
        <v>18000</v>
      </c>
      <c r="J39" s="21">
        <v>2500</v>
      </c>
      <c r="K39" s="21">
        <v>2500</v>
      </c>
      <c r="L39" s="12">
        <v>0.122</v>
      </c>
      <c r="M39" s="21">
        <v>18000</v>
      </c>
      <c r="N39" s="9" t="str">
        <f ca="1">IFERROR(__xludf.DUMMYFUNCTION("IF(G39&lt;&gt;"""",G39, IFERROR(TRANSPOSE(FILTER('ซื้อสินค้า'!H:H,'ซื้อสินค้า'!B:B=B39,'ซื้อสินค้า'!I:I&gt;0)),))"),"")</f>
        <v/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>
      <c r="A40" s="5">
        <v>45695</v>
      </c>
      <c r="B40" s="6" t="s">
        <v>159</v>
      </c>
      <c r="C40" s="20">
        <v>59500</v>
      </c>
      <c r="D40" s="8" t="s">
        <v>23</v>
      </c>
      <c r="E40" s="9">
        <v>2</v>
      </c>
      <c r="F40" s="21">
        <v>119000</v>
      </c>
      <c r="G40" s="22" t="s">
        <v>249</v>
      </c>
      <c r="H40" s="8">
        <v>4</v>
      </c>
      <c r="I40" s="21">
        <v>55000</v>
      </c>
      <c r="J40" s="21">
        <v>9000</v>
      </c>
      <c r="K40" s="21">
        <v>4500</v>
      </c>
      <c r="L40" s="12">
        <v>0.1525</v>
      </c>
      <c r="M40" s="21">
        <v>110000</v>
      </c>
      <c r="N40" s="9" t="str">
        <f ca="1">IFERROR(__xludf.DUMMYFUNCTION("IF(G40&lt;&gt;"""",G40, IFERROR(TRANSPOSE(FILTER('ซื้อสินค้า'!H:H,'ซื้อสินค้า'!B:B=B40,'ซื้อสินค้า'!I:I&gt;0)),))"),"")</f>
        <v/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>
      <c r="A41" s="5">
        <v>45696</v>
      </c>
      <c r="B41" s="6" t="s">
        <v>250</v>
      </c>
      <c r="C41" s="20">
        <v>45500</v>
      </c>
      <c r="D41" s="8" t="s">
        <v>179</v>
      </c>
      <c r="E41" s="9">
        <v>1</v>
      </c>
      <c r="F41" s="21">
        <v>45500</v>
      </c>
      <c r="G41" s="22" t="s">
        <v>251</v>
      </c>
      <c r="H41" s="8">
        <v>6</v>
      </c>
      <c r="I41" s="21">
        <v>42000</v>
      </c>
      <c r="J41" s="21">
        <v>3500</v>
      </c>
      <c r="K41" s="21">
        <v>3500</v>
      </c>
      <c r="L41" s="12">
        <v>7.6899999999999996E-2</v>
      </c>
      <c r="M41" s="21">
        <v>42000</v>
      </c>
      <c r="N41" s="9" t="str">
        <f ca="1">IFERROR(__xludf.DUMMYFUNCTION("IF(G41&lt;&gt;"""",G41, IFERROR(TRANSPOSE(FILTER('ซื้อสินค้า'!H:H,'ซื้อสินค้า'!B:B=B41,'ซื้อสินค้า'!I:I&gt;0)),))"),"")</f>
        <v/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>
      <c r="A42" s="5">
        <v>45697</v>
      </c>
      <c r="B42" s="6" t="s">
        <v>252</v>
      </c>
      <c r="C42" s="20">
        <v>7800</v>
      </c>
      <c r="D42" s="8" t="s">
        <v>23</v>
      </c>
      <c r="E42" s="9">
        <v>1</v>
      </c>
      <c r="F42" s="21">
        <v>7800</v>
      </c>
      <c r="G42" s="22" t="s">
        <v>253</v>
      </c>
      <c r="H42" s="8">
        <v>3</v>
      </c>
      <c r="I42" s="21">
        <v>6500</v>
      </c>
      <c r="J42" s="21">
        <v>1300</v>
      </c>
      <c r="K42" s="21">
        <v>1300</v>
      </c>
      <c r="L42" s="12">
        <v>0.16669999999999999</v>
      </c>
      <c r="M42" s="21">
        <v>6500</v>
      </c>
      <c r="N42" s="9" t="str">
        <f ca="1">IFERROR(__xludf.DUMMYFUNCTION("IF(G42&lt;&gt;"""",G42, IFERROR(TRANSPOSE(FILTER('ซื้อสินค้า'!H:H,'ซื้อสินค้า'!B:B=B42,'ซื้อสินค้า'!I:I&gt;0)),))"),"")</f>
        <v/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>
      <c r="A43" s="5">
        <v>45698</v>
      </c>
      <c r="B43" s="6" t="s">
        <v>164</v>
      </c>
      <c r="C43" s="20">
        <v>25500</v>
      </c>
      <c r="D43" s="8" t="s">
        <v>23</v>
      </c>
      <c r="E43" s="9">
        <v>2</v>
      </c>
      <c r="F43" s="21">
        <v>51000</v>
      </c>
      <c r="G43" s="22" t="s">
        <v>254</v>
      </c>
      <c r="H43" s="8">
        <v>10</v>
      </c>
      <c r="I43" s="21">
        <v>22500</v>
      </c>
      <c r="J43" s="21">
        <v>6000</v>
      </c>
      <c r="K43" s="21">
        <v>3000</v>
      </c>
      <c r="L43" s="12">
        <v>0.1176</v>
      </c>
      <c r="M43" s="21">
        <v>45000</v>
      </c>
      <c r="N43" s="9" t="str">
        <f ca="1">IFERROR(__xludf.DUMMYFUNCTION("IF(G43&lt;&gt;"""",G43, IFERROR(TRANSPOSE(FILTER('ซื้อสินค้า'!H:H,'ซื้อสินค้า'!B:B=B43,'ซื้อสินค้า'!I:I&gt;0)),))"),"")</f>
        <v/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>
      <c r="A44" s="5">
        <v>45699</v>
      </c>
      <c r="B44" s="6" t="s">
        <v>166</v>
      </c>
      <c r="C44" s="20">
        <v>11200</v>
      </c>
      <c r="D44" s="8" t="s">
        <v>23</v>
      </c>
      <c r="E44" s="9">
        <v>1</v>
      </c>
      <c r="F44" s="21">
        <v>11200</v>
      </c>
      <c r="G44" s="22" t="s">
        <v>255</v>
      </c>
      <c r="H44" s="8">
        <v>9</v>
      </c>
      <c r="I44" s="21">
        <v>9500</v>
      </c>
      <c r="J44" s="21">
        <v>1700</v>
      </c>
      <c r="K44" s="21">
        <v>1700</v>
      </c>
      <c r="L44" s="12">
        <v>0.15179999999999999</v>
      </c>
      <c r="M44" s="21">
        <v>9500</v>
      </c>
      <c r="N44" s="9" t="str">
        <f ca="1">IFERROR(__xludf.DUMMYFUNCTION("IF(G44&lt;&gt;"""",G44, IFERROR(TRANSPOSE(FILTER('ซื้อสินค้า'!H:H,'ซื้อสินค้า'!B:B=B44,'ซื้อสินค้า'!I:I&gt;0)),))"),"")</f>
        <v/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>
      <c r="A45" s="5">
        <v>45700</v>
      </c>
      <c r="B45" s="6" t="s">
        <v>256</v>
      </c>
      <c r="C45" s="20">
        <v>5500</v>
      </c>
      <c r="D45" s="8" t="s">
        <v>23</v>
      </c>
      <c r="E45" s="9">
        <v>2</v>
      </c>
      <c r="F45" s="21">
        <v>11000</v>
      </c>
      <c r="G45" s="22" t="s">
        <v>257</v>
      </c>
      <c r="H45" s="8">
        <v>6</v>
      </c>
      <c r="I45" s="21">
        <v>4500</v>
      </c>
      <c r="J45" s="21">
        <v>2000</v>
      </c>
      <c r="K45" s="21">
        <v>1000</v>
      </c>
      <c r="L45" s="12">
        <v>0.18179999999999999</v>
      </c>
      <c r="M45" s="21">
        <v>9000</v>
      </c>
      <c r="N45" s="9" t="str">
        <f ca="1">IFERROR(__xludf.DUMMYFUNCTION("IF(G45&lt;&gt;"""",G45, IFERROR(TRANSPOSE(FILTER('ซื้อสินค้า'!H:H,'ซื้อสินค้า'!B:B=B45,'ซื้อสินค้า'!I:I&gt;0)),))"),"")</f>
        <v/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>
      <c r="A46" s="5">
        <v>45701</v>
      </c>
      <c r="B46" s="6" t="s">
        <v>258</v>
      </c>
      <c r="C46" s="20">
        <v>6800</v>
      </c>
      <c r="D46" s="8" t="s">
        <v>23</v>
      </c>
      <c r="E46" s="9">
        <v>1</v>
      </c>
      <c r="F46" s="21">
        <v>6800</v>
      </c>
      <c r="G46" s="22" t="s">
        <v>259</v>
      </c>
      <c r="H46" s="8">
        <v>2</v>
      </c>
      <c r="I46" s="21">
        <v>5500</v>
      </c>
      <c r="J46" s="21">
        <v>1300</v>
      </c>
      <c r="K46" s="21">
        <v>1300</v>
      </c>
      <c r="L46" s="12">
        <v>0.19120000000000001</v>
      </c>
      <c r="M46" s="21">
        <v>5500</v>
      </c>
      <c r="N46" s="9" t="str">
        <f ca="1">IFERROR(__xludf.DUMMYFUNCTION("IF(G46&lt;&gt;"""",G46, IFERROR(TRANSPOSE(FILTER('ซื้อสินค้า'!H:H,'ซื้อสินค้า'!B:B=B46,'ซื้อสินค้า'!I:I&gt;0)),))"),"")</f>
        <v/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>
      <c r="A47" s="5"/>
      <c r="B47" s="6"/>
      <c r="C47" s="20">
        <f>IFERROR(VLOOKUP(B47,ชื่อสินค้า!A:C,3,FALSE),)</f>
        <v>0</v>
      </c>
      <c r="D47" s="8" t="str">
        <f>IFERROR(VLOOKUP(B47,ชื่อสินค้า!A:D,4,FALSE),"")</f>
        <v/>
      </c>
      <c r="E47" s="9"/>
      <c r="F47" s="21" t="str">
        <f t="shared" ref="F47" si="0">IF(LEN(B47)&gt;0,C47*E47,"")</f>
        <v/>
      </c>
      <c r="G47" s="22"/>
      <c r="H47" s="8">
        <f>IFERROR(VLOOKUP(G47,ซื้อสินค้า!H:I,2,FALSE),)</f>
        <v>0</v>
      </c>
      <c r="I47" s="21">
        <f>IFERROR(VLOOKUP(G47,ซื้อสินค้า!H:J,3,FALSE),)</f>
        <v>0</v>
      </c>
      <c r="J47" s="21">
        <f t="shared" ref="J47" si="1">IF(F47&lt;&gt;"",(C47- I47)*E47,)</f>
        <v>0</v>
      </c>
      <c r="K47" s="21">
        <f t="shared" ref="K47" si="2">IF(F47&lt;&gt;"",(C47-I47),)</f>
        <v>0</v>
      </c>
      <c r="L47" s="12">
        <f t="shared" ref="L47" si="3">IFERROR(J47/F47,)</f>
        <v>0</v>
      </c>
      <c r="M47" s="21">
        <f t="shared" ref="M47" si="4">IF(I47&lt;&gt;"",I47*E47,)</f>
        <v>0</v>
      </c>
      <c r="N47" s="9" t="str">
        <f ca="1">IFERROR(__xludf.DUMMYFUNCTION("IF(G47&lt;&gt;"""",G47, IFERROR(TRANSPOSE(FILTER('ซื้อสินค้า'!H:H,'ซื้อสินค้า'!B:B=B47,'ซื้อสินค้า'!I:I&gt;0)),))"),"")</f>
        <v/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>
      <c r="A48" s="5"/>
      <c r="B48" s="6"/>
      <c r="C48" s="20">
        <f>IFERROR(VLOOKUP(B48,ชื่อสินค้า!A:C,3,FALSE),)</f>
        <v>0</v>
      </c>
      <c r="D48" s="8" t="str">
        <f>IFERROR(VLOOKUP(B48,ชื่อสินค้า!A:D,4,FALSE),"")</f>
        <v/>
      </c>
      <c r="E48" s="9"/>
      <c r="F48" s="21" t="str">
        <f t="shared" ref="F2:F256" si="5">IF(LEN(B48)&gt;0,C48*E48,"")</f>
        <v/>
      </c>
      <c r="G48" s="22"/>
      <c r="H48" s="8">
        <f>IFERROR(VLOOKUP(G48,ซื้อสินค้า!H:I,2,FALSE),)</f>
        <v>0</v>
      </c>
      <c r="I48" s="21">
        <f>IFERROR(VLOOKUP(G48,ซื้อสินค้า!H:J,3,FALSE),)</f>
        <v>0</v>
      </c>
      <c r="J48" s="21">
        <f t="shared" ref="J2:J256" si="6">IF(F48&lt;&gt;"",(C48- I48)*E48,)</f>
        <v>0</v>
      </c>
      <c r="K48" s="21">
        <f t="shared" ref="K2:K256" si="7">IF(F48&lt;&gt;"",(C48-I48),)</f>
        <v>0</v>
      </c>
      <c r="L48" s="12">
        <f t="shared" ref="L2:L256" si="8">IFERROR(J48/F48,)</f>
        <v>0</v>
      </c>
      <c r="M48" s="21">
        <f t="shared" ref="M2:M256" si="9">IF(I48&lt;&gt;"",I48*E48,)</f>
        <v>0</v>
      </c>
      <c r="N48" s="9" t="str">
        <f ca="1">IFERROR(__xludf.DUMMYFUNCTION("IF(G48&lt;&gt;"""",G48, IFERROR(TRANSPOSE(FILTER('ซื้อสินค้า'!H:H,'ซื้อสินค้า'!B:B=B48,'ซื้อสินค้า'!I:I&gt;0)),))"),"")</f>
        <v/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>
      <c r="A49" s="5"/>
      <c r="B49" s="6"/>
      <c r="C49" s="20">
        <f>IFERROR(VLOOKUP(B49,ชื่อสินค้า!A:C,3,FALSE),)</f>
        <v>0</v>
      </c>
      <c r="D49" s="8" t="str">
        <f>IFERROR(VLOOKUP(B49,ชื่อสินค้า!A:D,4,FALSE),"")</f>
        <v/>
      </c>
      <c r="E49" s="9"/>
      <c r="F49" s="21" t="str">
        <f t="shared" si="5"/>
        <v/>
      </c>
      <c r="G49" s="22"/>
      <c r="H49" s="8">
        <f>IFERROR(VLOOKUP(G49,ซื้อสินค้า!H:I,2,FALSE),)</f>
        <v>0</v>
      </c>
      <c r="I49" s="21">
        <f>IFERROR(VLOOKUP(G49,ซื้อสินค้า!H:J,3,FALSE),)</f>
        <v>0</v>
      </c>
      <c r="J49" s="21">
        <f t="shared" si="6"/>
        <v>0</v>
      </c>
      <c r="K49" s="21">
        <f t="shared" si="7"/>
        <v>0</v>
      </c>
      <c r="L49" s="12">
        <f t="shared" si="8"/>
        <v>0</v>
      </c>
      <c r="M49" s="21">
        <f t="shared" si="9"/>
        <v>0</v>
      </c>
      <c r="N49" s="9" t="str">
        <f ca="1">IFERROR(__xludf.DUMMYFUNCTION("IF(G49&lt;&gt;"""",G49, IFERROR(TRANSPOSE(FILTER('ซื้อสินค้า'!H:H,'ซื้อสินค้า'!B:B=B49,'ซื้อสินค้า'!I:I&gt;0)),))"),"")</f>
        <v/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>
      <c r="A50" s="5"/>
      <c r="B50" s="6"/>
      <c r="C50" s="20">
        <f>IFERROR(VLOOKUP(B50,ชื่อสินค้า!A:C,3,FALSE),)</f>
        <v>0</v>
      </c>
      <c r="D50" s="8" t="str">
        <f>IFERROR(VLOOKUP(B50,ชื่อสินค้า!A:D,4,FALSE),"")</f>
        <v/>
      </c>
      <c r="E50" s="9"/>
      <c r="F50" s="21" t="str">
        <f t="shared" si="5"/>
        <v/>
      </c>
      <c r="G50" s="22"/>
      <c r="H50" s="8">
        <f>IFERROR(VLOOKUP(G50,ซื้อสินค้า!H:I,2,FALSE),)</f>
        <v>0</v>
      </c>
      <c r="I50" s="21">
        <f>IFERROR(VLOOKUP(G50,ซื้อสินค้า!H:J,3,FALSE),)</f>
        <v>0</v>
      </c>
      <c r="J50" s="21">
        <f t="shared" si="6"/>
        <v>0</v>
      </c>
      <c r="K50" s="21">
        <f t="shared" si="7"/>
        <v>0</v>
      </c>
      <c r="L50" s="12">
        <f t="shared" si="8"/>
        <v>0</v>
      </c>
      <c r="M50" s="21">
        <f t="shared" si="9"/>
        <v>0</v>
      </c>
      <c r="N50" s="9" t="str">
        <f ca="1">IFERROR(__xludf.DUMMYFUNCTION("IF(G50&lt;&gt;"""",G50, IFERROR(TRANSPOSE(FILTER('ซื้อสินค้า'!H:H,'ซื้อสินค้า'!B:B=B50,'ซื้อสินค้า'!I:I&gt;0)),))"),"")</f>
        <v/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>
      <c r="A51" s="5"/>
      <c r="B51" s="6"/>
      <c r="C51" s="20">
        <f>IFERROR(VLOOKUP(B51,ชื่อสินค้า!A:C,3,FALSE),)</f>
        <v>0</v>
      </c>
      <c r="D51" s="8" t="str">
        <f>IFERROR(VLOOKUP(B51,ชื่อสินค้า!A:D,4,FALSE),"")</f>
        <v/>
      </c>
      <c r="E51" s="9"/>
      <c r="F51" s="21" t="str">
        <f t="shared" si="5"/>
        <v/>
      </c>
      <c r="G51" s="22"/>
      <c r="H51" s="8">
        <f>IFERROR(VLOOKUP(G51,ซื้อสินค้า!H:I,2,FALSE),)</f>
        <v>0</v>
      </c>
      <c r="I51" s="21">
        <f>IFERROR(VLOOKUP(G51,ซื้อสินค้า!H:J,3,FALSE),)</f>
        <v>0</v>
      </c>
      <c r="J51" s="21">
        <f t="shared" si="6"/>
        <v>0</v>
      </c>
      <c r="K51" s="21">
        <f t="shared" si="7"/>
        <v>0</v>
      </c>
      <c r="L51" s="12">
        <f t="shared" si="8"/>
        <v>0</v>
      </c>
      <c r="M51" s="21">
        <f t="shared" si="9"/>
        <v>0</v>
      </c>
      <c r="N51" s="9" t="str">
        <f ca="1">IFERROR(__xludf.DUMMYFUNCTION("IF(G51&lt;&gt;"""",G51, IFERROR(TRANSPOSE(FILTER('ซื้อสินค้า'!H:H,'ซื้อสินค้า'!B:B=B51,'ซื้อสินค้า'!I:I&gt;0)),))"),"")</f>
        <v/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>
      <c r="A52" s="5"/>
      <c r="B52" s="6"/>
      <c r="C52" s="20">
        <f>IFERROR(VLOOKUP(B52,ชื่อสินค้า!A:C,3,FALSE),)</f>
        <v>0</v>
      </c>
      <c r="D52" s="8" t="str">
        <f>IFERROR(VLOOKUP(B52,ชื่อสินค้า!A:D,4,FALSE),"")</f>
        <v/>
      </c>
      <c r="E52" s="9"/>
      <c r="F52" s="21" t="str">
        <f t="shared" si="5"/>
        <v/>
      </c>
      <c r="G52" s="22"/>
      <c r="H52" s="8">
        <f>IFERROR(VLOOKUP(G52,ซื้อสินค้า!H:I,2,FALSE),)</f>
        <v>0</v>
      </c>
      <c r="I52" s="21">
        <f>IFERROR(VLOOKUP(G52,ซื้อสินค้า!H:J,3,FALSE),)</f>
        <v>0</v>
      </c>
      <c r="J52" s="21">
        <f t="shared" si="6"/>
        <v>0</v>
      </c>
      <c r="K52" s="21">
        <f t="shared" si="7"/>
        <v>0</v>
      </c>
      <c r="L52" s="12">
        <f t="shared" si="8"/>
        <v>0</v>
      </c>
      <c r="M52" s="21">
        <f t="shared" si="9"/>
        <v>0</v>
      </c>
      <c r="N52" s="9" t="str">
        <f ca="1">IFERROR(__xludf.DUMMYFUNCTION("IF(G52&lt;&gt;"""",G52, IFERROR(TRANSPOSE(FILTER('ซื้อสินค้า'!H:H,'ซื้อสินค้า'!B:B=B52,'ซื้อสินค้า'!I:I&gt;0)),))"),"")</f>
        <v/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>
      <c r="A53" s="5"/>
      <c r="B53" s="6"/>
      <c r="C53" s="20">
        <f>IFERROR(VLOOKUP(B53,ชื่อสินค้า!A:C,3,FALSE),)</f>
        <v>0</v>
      </c>
      <c r="D53" s="8" t="str">
        <f>IFERROR(VLOOKUP(B53,ชื่อสินค้า!A:D,4,FALSE),"")</f>
        <v/>
      </c>
      <c r="E53" s="9"/>
      <c r="F53" s="21" t="str">
        <f t="shared" si="5"/>
        <v/>
      </c>
      <c r="G53" s="22"/>
      <c r="H53" s="8">
        <f>IFERROR(VLOOKUP(G53,ซื้อสินค้า!H:I,2,FALSE),)</f>
        <v>0</v>
      </c>
      <c r="I53" s="21">
        <f>IFERROR(VLOOKUP(G53,ซื้อสินค้า!H:J,3,FALSE),)</f>
        <v>0</v>
      </c>
      <c r="J53" s="21">
        <f t="shared" si="6"/>
        <v>0</v>
      </c>
      <c r="K53" s="21">
        <f t="shared" si="7"/>
        <v>0</v>
      </c>
      <c r="L53" s="12">
        <f t="shared" si="8"/>
        <v>0</v>
      </c>
      <c r="M53" s="21">
        <f t="shared" si="9"/>
        <v>0</v>
      </c>
      <c r="N53" s="9" t="str">
        <f ca="1">IFERROR(__xludf.DUMMYFUNCTION("IF(G53&lt;&gt;"""",G53, IFERROR(TRANSPOSE(FILTER('ซื้อสินค้า'!H:H,'ซื้อสินค้า'!B:B=B53,'ซื้อสินค้า'!I:I&gt;0)),))"),"")</f>
        <v/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>
      <c r="A54" s="5"/>
      <c r="B54" s="6"/>
      <c r="C54" s="20">
        <f>IFERROR(VLOOKUP(B54,ชื่อสินค้า!A:C,3,FALSE),)</f>
        <v>0</v>
      </c>
      <c r="D54" s="8" t="str">
        <f>IFERROR(VLOOKUP(B54,ชื่อสินค้า!A:D,4,FALSE),"")</f>
        <v/>
      </c>
      <c r="E54" s="9"/>
      <c r="F54" s="21" t="str">
        <f t="shared" si="5"/>
        <v/>
      </c>
      <c r="G54" s="22"/>
      <c r="H54" s="8">
        <f>IFERROR(VLOOKUP(G54,ซื้อสินค้า!H:I,2,FALSE),)</f>
        <v>0</v>
      </c>
      <c r="I54" s="21">
        <f>IFERROR(VLOOKUP(G54,ซื้อสินค้า!H:J,3,FALSE),)</f>
        <v>0</v>
      </c>
      <c r="J54" s="21">
        <f t="shared" si="6"/>
        <v>0</v>
      </c>
      <c r="K54" s="21">
        <f t="shared" si="7"/>
        <v>0</v>
      </c>
      <c r="L54" s="12">
        <f t="shared" si="8"/>
        <v>0</v>
      </c>
      <c r="M54" s="21">
        <f t="shared" si="9"/>
        <v>0</v>
      </c>
      <c r="N54" s="9" t="str">
        <f ca="1">IFERROR(__xludf.DUMMYFUNCTION("IF(G54&lt;&gt;"""",G54, IFERROR(TRANSPOSE(FILTER('ซื้อสินค้า'!H:H,'ซื้อสินค้า'!B:B=B54,'ซื้อสินค้า'!I:I&gt;0)),))"),"")</f>
        <v/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>
      <c r="A55" s="5"/>
      <c r="B55" s="6"/>
      <c r="C55" s="20">
        <f>IFERROR(VLOOKUP(B55,ชื่อสินค้า!A:C,3,FALSE),)</f>
        <v>0</v>
      </c>
      <c r="D55" s="8" t="str">
        <f>IFERROR(VLOOKUP(B55,ชื่อสินค้า!A:D,4,FALSE),"")</f>
        <v/>
      </c>
      <c r="E55" s="9"/>
      <c r="F55" s="21" t="str">
        <f t="shared" si="5"/>
        <v/>
      </c>
      <c r="G55" s="22"/>
      <c r="H55" s="8">
        <f>IFERROR(VLOOKUP(G55,ซื้อสินค้า!H:I,2,FALSE),)</f>
        <v>0</v>
      </c>
      <c r="I55" s="21">
        <f>IFERROR(VLOOKUP(G55,ซื้อสินค้า!H:J,3,FALSE),)</f>
        <v>0</v>
      </c>
      <c r="J55" s="21">
        <f t="shared" si="6"/>
        <v>0</v>
      </c>
      <c r="K55" s="21">
        <f t="shared" si="7"/>
        <v>0</v>
      </c>
      <c r="L55" s="12">
        <f t="shared" si="8"/>
        <v>0</v>
      </c>
      <c r="M55" s="21">
        <f t="shared" si="9"/>
        <v>0</v>
      </c>
      <c r="N55" s="9" t="str">
        <f ca="1">IFERROR(__xludf.DUMMYFUNCTION("IF(G55&lt;&gt;"""",G55, IFERROR(TRANSPOSE(FILTER('ซื้อสินค้า'!H:H,'ซื้อสินค้า'!B:B=B55,'ซื้อสินค้า'!I:I&gt;0)),))"),"")</f>
        <v/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>
      <c r="A56" s="5"/>
      <c r="B56" s="6"/>
      <c r="C56" s="20">
        <f>IFERROR(VLOOKUP(B56,ชื่อสินค้า!A:C,3,FALSE),)</f>
        <v>0</v>
      </c>
      <c r="D56" s="8" t="str">
        <f>IFERROR(VLOOKUP(B56,ชื่อสินค้า!A:D,4,FALSE),"")</f>
        <v/>
      </c>
      <c r="E56" s="9"/>
      <c r="F56" s="21" t="str">
        <f t="shared" si="5"/>
        <v/>
      </c>
      <c r="G56" s="22"/>
      <c r="H56" s="8">
        <f>IFERROR(VLOOKUP(G56,ซื้อสินค้า!H:I,2,FALSE),)</f>
        <v>0</v>
      </c>
      <c r="I56" s="21">
        <f>IFERROR(VLOOKUP(G56,ซื้อสินค้า!H:J,3,FALSE),)</f>
        <v>0</v>
      </c>
      <c r="J56" s="21">
        <f t="shared" si="6"/>
        <v>0</v>
      </c>
      <c r="K56" s="21">
        <f t="shared" si="7"/>
        <v>0</v>
      </c>
      <c r="L56" s="12">
        <f t="shared" si="8"/>
        <v>0</v>
      </c>
      <c r="M56" s="21">
        <f t="shared" si="9"/>
        <v>0</v>
      </c>
      <c r="N56" s="9" t="str">
        <f ca="1">IFERROR(__xludf.DUMMYFUNCTION("IF(G56&lt;&gt;"""",G56, IFERROR(TRANSPOSE(FILTER('ซื้อสินค้า'!H:H,'ซื้อสินค้า'!B:B=B56,'ซื้อสินค้า'!I:I&gt;0)),))"),"")</f>
        <v/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>
      <c r="A57" s="5"/>
      <c r="B57" s="6"/>
      <c r="C57" s="20">
        <f>IFERROR(VLOOKUP(B57,ชื่อสินค้า!A:C,3,FALSE),)</f>
        <v>0</v>
      </c>
      <c r="D57" s="8" t="str">
        <f>IFERROR(VLOOKUP(B57,ชื่อสินค้า!A:D,4,FALSE),"")</f>
        <v/>
      </c>
      <c r="E57" s="9"/>
      <c r="F57" s="21" t="str">
        <f t="shared" si="5"/>
        <v/>
      </c>
      <c r="G57" s="22"/>
      <c r="H57" s="8">
        <f>IFERROR(VLOOKUP(G57,ซื้อสินค้า!H:I,2,FALSE),)</f>
        <v>0</v>
      </c>
      <c r="I57" s="21">
        <f>IFERROR(VLOOKUP(G57,ซื้อสินค้า!H:J,3,FALSE),)</f>
        <v>0</v>
      </c>
      <c r="J57" s="21">
        <f t="shared" si="6"/>
        <v>0</v>
      </c>
      <c r="K57" s="21">
        <f t="shared" si="7"/>
        <v>0</v>
      </c>
      <c r="L57" s="12">
        <f t="shared" si="8"/>
        <v>0</v>
      </c>
      <c r="M57" s="21">
        <f t="shared" si="9"/>
        <v>0</v>
      </c>
      <c r="N57" s="9" t="str">
        <f ca="1">IFERROR(__xludf.DUMMYFUNCTION("IF(G57&lt;&gt;"""",G57, IFERROR(TRANSPOSE(FILTER('ซื้อสินค้า'!H:H,'ซื้อสินค้า'!B:B=B57,'ซื้อสินค้า'!I:I&gt;0)),))"),"")</f>
        <v/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>
      <c r="A58" s="5"/>
      <c r="B58" s="6"/>
      <c r="C58" s="20">
        <f>IFERROR(VLOOKUP(B58,ชื่อสินค้า!A:C,3,FALSE),)</f>
        <v>0</v>
      </c>
      <c r="D58" s="8" t="str">
        <f>IFERROR(VLOOKUP(B58,ชื่อสินค้า!A:D,4,FALSE),"")</f>
        <v/>
      </c>
      <c r="E58" s="9"/>
      <c r="F58" s="21" t="str">
        <f t="shared" si="5"/>
        <v/>
      </c>
      <c r="G58" s="22"/>
      <c r="H58" s="8">
        <f>IFERROR(VLOOKUP(G58,ซื้อสินค้า!H:I,2,FALSE),)</f>
        <v>0</v>
      </c>
      <c r="I58" s="21">
        <f>IFERROR(VLOOKUP(G58,ซื้อสินค้า!H:J,3,FALSE),)</f>
        <v>0</v>
      </c>
      <c r="J58" s="21">
        <f t="shared" si="6"/>
        <v>0</v>
      </c>
      <c r="K58" s="21">
        <f t="shared" si="7"/>
        <v>0</v>
      </c>
      <c r="L58" s="12">
        <f t="shared" si="8"/>
        <v>0</v>
      </c>
      <c r="M58" s="21">
        <f t="shared" si="9"/>
        <v>0</v>
      </c>
      <c r="N58" s="9" t="str">
        <f ca="1">IFERROR(__xludf.DUMMYFUNCTION("IF(G58&lt;&gt;"""",G58, IFERROR(TRANSPOSE(FILTER('ซื้อสินค้า'!H:H,'ซื้อสินค้า'!B:B=B58,'ซื้อสินค้า'!I:I&gt;0)),))"),"")</f>
        <v/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>
      <c r="A59" s="5"/>
      <c r="B59" s="6"/>
      <c r="C59" s="20">
        <f>IFERROR(VLOOKUP(B59,ชื่อสินค้า!A:C,3,FALSE),)</f>
        <v>0</v>
      </c>
      <c r="D59" s="8" t="str">
        <f>IFERROR(VLOOKUP(B59,ชื่อสินค้า!A:D,4,FALSE),"")</f>
        <v/>
      </c>
      <c r="E59" s="9"/>
      <c r="F59" s="21" t="str">
        <f t="shared" si="5"/>
        <v/>
      </c>
      <c r="G59" s="22"/>
      <c r="H59" s="8">
        <f>IFERROR(VLOOKUP(G59,ซื้อสินค้า!H:I,2,FALSE),)</f>
        <v>0</v>
      </c>
      <c r="I59" s="21">
        <f>IFERROR(VLOOKUP(G59,ซื้อสินค้า!H:J,3,FALSE),)</f>
        <v>0</v>
      </c>
      <c r="J59" s="21">
        <f t="shared" si="6"/>
        <v>0</v>
      </c>
      <c r="K59" s="21">
        <f t="shared" si="7"/>
        <v>0</v>
      </c>
      <c r="L59" s="12">
        <f t="shared" si="8"/>
        <v>0</v>
      </c>
      <c r="M59" s="21">
        <f t="shared" si="9"/>
        <v>0</v>
      </c>
      <c r="N59" s="9" t="str">
        <f ca="1">IFERROR(__xludf.DUMMYFUNCTION("IF(G59&lt;&gt;"""",G59, IFERROR(TRANSPOSE(FILTER('ซื้อสินค้า'!H:H,'ซื้อสินค้า'!B:B=B59,'ซื้อสินค้า'!I:I&gt;0)),))"),"")</f>
        <v/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>
      <c r="A60" s="5"/>
      <c r="B60" s="6"/>
      <c r="C60" s="20">
        <f>IFERROR(VLOOKUP(B60,ชื่อสินค้า!A:C,3,FALSE),)</f>
        <v>0</v>
      </c>
      <c r="D60" s="8" t="str">
        <f>IFERROR(VLOOKUP(B60,ชื่อสินค้า!A:D,4,FALSE),"")</f>
        <v/>
      </c>
      <c r="E60" s="9"/>
      <c r="F60" s="21" t="str">
        <f t="shared" si="5"/>
        <v/>
      </c>
      <c r="G60" s="22"/>
      <c r="H60" s="8">
        <f>IFERROR(VLOOKUP(G60,ซื้อสินค้า!H:I,2,FALSE),)</f>
        <v>0</v>
      </c>
      <c r="I60" s="21">
        <f>IFERROR(VLOOKUP(G60,ซื้อสินค้า!H:J,3,FALSE),)</f>
        <v>0</v>
      </c>
      <c r="J60" s="21">
        <f t="shared" si="6"/>
        <v>0</v>
      </c>
      <c r="K60" s="21">
        <f t="shared" si="7"/>
        <v>0</v>
      </c>
      <c r="L60" s="12">
        <f t="shared" si="8"/>
        <v>0</v>
      </c>
      <c r="M60" s="21">
        <f t="shared" si="9"/>
        <v>0</v>
      </c>
      <c r="N60" s="9" t="str">
        <f ca="1">IFERROR(__xludf.DUMMYFUNCTION("IF(G60&lt;&gt;"""",G60, IFERROR(TRANSPOSE(FILTER('ซื้อสินค้า'!H:H,'ซื้อสินค้า'!B:B=B60,'ซื้อสินค้า'!I:I&gt;0)),))"),"")</f>
        <v/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>
      <c r="A61" s="5"/>
      <c r="B61" s="6"/>
      <c r="C61" s="20">
        <f>IFERROR(VLOOKUP(B61,ชื่อสินค้า!A:C,3,FALSE),)</f>
        <v>0</v>
      </c>
      <c r="D61" s="8" t="str">
        <f>IFERROR(VLOOKUP(B61,ชื่อสินค้า!A:D,4,FALSE),"")</f>
        <v/>
      </c>
      <c r="E61" s="9"/>
      <c r="F61" s="21" t="str">
        <f t="shared" si="5"/>
        <v/>
      </c>
      <c r="G61" s="22"/>
      <c r="H61" s="8">
        <f>IFERROR(VLOOKUP(G61,ซื้อสินค้า!H:I,2,FALSE),)</f>
        <v>0</v>
      </c>
      <c r="I61" s="21">
        <f>IFERROR(VLOOKUP(G61,ซื้อสินค้า!H:J,3,FALSE),)</f>
        <v>0</v>
      </c>
      <c r="J61" s="21">
        <f t="shared" si="6"/>
        <v>0</v>
      </c>
      <c r="K61" s="21">
        <f t="shared" si="7"/>
        <v>0</v>
      </c>
      <c r="L61" s="12">
        <f t="shared" si="8"/>
        <v>0</v>
      </c>
      <c r="M61" s="21">
        <f t="shared" si="9"/>
        <v>0</v>
      </c>
      <c r="N61" s="9" t="str">
        <f ca="1">IFERROR(__xludf.DUMMYFUNCTION("IF(G61&lt;&gt;"""",G61, IFERROR(TRANSPOSE(FILTER('ซื้อสินค้า'!H:H,'ซื้อสินค้า'!B:B=B61,'ซื้อสินค้า'!I:I&gt;0)),))"),"")</f>
        <v/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>
      <c r="A62" s="5"/>
      <c r="B62" s="6"/>
      <c r="C62" s="20">
        <f>IFERROR(VLOOKUP(B62,ชื่อสินค้า!A:C,3,FALSE),)</f>
        <v>0</v>
      </c>
      <c r="D62" s="8" t="str">
        <f>IFERROR(VLOOKUP(B62,ชื่อสินค้า!A:D,4,FALSE),"")</f>
        <v/>
      </c>
      <c r="E62" s="9"/>
      <c r="F62" s="21" t="str">
        <f t="shared" si="5"/>
        <v/>
      </c>
      <c r="G62" s="22"/>
      <c r="H62" s="8">
        <f>IFERROR(VLOOKUP(G62,ซื้อสินค้า!H:I,2,FALSE),)</f>
        <v>0</v>
      </c>
      <c r="I62" s="21">
        <f>IFERROR(VLOOKUP(G62,ซื้อสินค้า!H:J,3,FALSE),)</f>
        <v>0</v>
      </c>
      <c r="J62" s="21">
        <f t="shared" si="6"/>
        <v>0</v>
      </c>
      <c r="K62" s="21">
        <f t="shared" si="7"/>
        <v>0</v>
      </c>
      <c r="L62" s="12">
        <f t="shared" si="8"/>
        <v>0</v>
      </c>
      <c r="M62" s="21">
        <f t="shared" si="9"/>
        <v>0</v>
      </c>
      <c r="N62" s="9" t="str">
        <f ca="1">IFERROR(__xludf.DUMMYFUNCTION("IF(G62&lt;&gt;"""",G62, IFERROR(TRANSPOSE(FILTER('ซื้อสินค้า'!H:H,'ซื้อสินค้า'!B:B=B62,'ซื้อสินค้า'!I:I&gt;0)),))"),"")</f>
        <v/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>
      <c r="A63" s="5"/>
      <c r="B63" s="6"/>
      <c r="C63" s="20">
        <f>IFERROR(VLOOKUP(B63,ชื่อสินค้า!A:C,3,FALSE),)</f>
        <v>0</v>
      </c>
      <c r="D63" s="8" t="str">
        <f>IFERROR(VLOOKUP(B63,ชื่อสินค้า!A:D,4,FALSE),"")</f>
        <v/>
      </c>
      <c r="E63" s="9"/>
      <c r="F63" s="21" t="str">
        <f t="shared" si="5"/>
        <v/>
      </c>
      <c r="G63" s="22"/>
      <c r="H63" s="8">
        <f>IFERROR(VLOOKUP(G63,ซื้อสินค้า!H:I,2,FALSE),)</f>
        <v>0</v>
      </c>
      <c r="I63" s="21">
        <f>IFERROR(VLOOKUP(G63,ซื้อสินค้า!H:J,3,FALSE),)</f>
        <v>0</v>
      </c>
      <c r="J63" s="21">
        <f t="shared" si="6"/>
        <v>0</v>
      </c>
      <c r="K63" s="21">
        <f t="shared" si="7"/>
        <v>0</v>
      </c>
      <c r="L63" s="12">
        <f t="shared" si="8"/>
        <v>0</v>
      </c>
      <c r="M63" s="21">
        <f t="shared" si="9"/>
        <v>0</v>
      </c>
      <c r="N63" s="9" t="str">
        <f ca="1">IFERROR(__xludf.DUMMYFUNCTION("IF(G63&lt;&gt;"""",G63, IFERROR(TRANSPOSE(FILTER('ซื้อสินค้า'!H:H,'ซื้อสินค้า'!B:B=B63,'ซื้อสินค้า'!I:I&gt;0)),))"),"")</f>
        <v/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>
      <c r="A64" s="5"/>
      <c r="B64" s="6"/>
      <c r="C64" s="20">
        <f>IFERROR(VLOOKUP(B64,ชื่อสินค้า!A:C,3,FALSE),)</f>
        <v>0</v>
      </c>
      <c r="D64" s="8" t="str">
        <f>IFERROR(VLOOKUP(B64,ชื่อสินค้า!A:D,4,FALSE),"")</f>
        <v/>
      </c>
      <c r="E64" s="9"/>
      <c r="F64" s="21" t="str">
        <f t="shared" si="5"/>
        <v/>
      </c>
      <c r="G64" s="22"/>
      <c r="H64" s="8">
        <f>IFERROR(VLOOKUP(G64,ซื้อสินค้า!H:I,2,FALSE),)</f>
        <v>0</v>
      </c>
      <c r="I64" s="21">
        <f>IFERROR(VLOOKUP(G64,ซื้อสินค้า!H:J,3,FALSE),)</f>
        <v>0</v>
      </c>
      <c r="J64" s="21">
        <f t="shared" si="6"/>
        <v>0</v>
      </c>
      <c r="K64" s="21">
        <f t="shared" si="7"/>
        <v>0</v>
      </c>
      <c r="L64" s="12">
        <f t="shared" si="8"/>
        <v>0</v>
      </c>
      <c r="M64" s="21">
        <f t="shared" si="9"/>
        <v>0</v>
      </c>
      <c r="N64" s="9" t="str">
        <f ca="1">IFERROR(__xludf.DUMMYFUNCTION("IF(G64&lt;&gt;"""",G64, IFERROR(TRANSPOSE(FILTER('ซื้อสินค้า'!H:H,'ซื้อสินค้า'!B:B=B64,'ซื้อสินค้า'!I:I&gt;0)),))"),"")</f>
        <v/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>
      <c r="A65" s="5"/>
      <c r="B65" s="6"/>
      <c r="C65" s="20">
        <f>IFERROR(VLOOKUP(B65,ชื่อสินค้า!A:C,3,FALSE),)</f>
        <v>0</v>
      </c>
      <c r="D65" s="8" t="str">
        <f>IFERROR(VLOOKUP(B65,ชื่อสินค้า!A:D,4,FALSE),"")</f>
        <v/>
      </c>
      <c r="E65" s="9"/>
      <c r="F65" s="21" t="str">
        <f t="shared" si="5"/>
        <v/>
      </c>
      <c r="G65" s="22"/>
      <c r="H65" s="8">
        <f>IFERROR(VLOOKUP(G65,ซื้อสินค้า!H:I,2,FALSE),)</f>
        <v>0</v>
      </c>
      <c r="I65" s="21">
        <f>IFERROR(VLOOKUP(G65,ซื้อสินค้า!H:J,3,FALSE),)</f>
        <v>0</v>
      </c>
      <c r="J65" s="21">
        <f t="shared" si="6"/>
        <v>0</v>
      </c>
      <c r="K65" s="21">
        <f t="shared" si="7"/>
        <v>0</v>
      </c>
      <c r="L65" s="12">
        <f t="shared" si="8"/>
        <v>0</v>
      </c>
      <c r="M65" s="21">
        <f t="shared" si="9"/>
        <v>0</v>
      </c>
      <c r="N65" s="9" t="str">
        <f ca="1">IFERROR(__xludf.DUMMYFUNCTION("IF(G65&lt;&gt;"""",G65, IFERROR(TRANSPOSE(FILTER('ซื้อสินค้า'!H:H,'ซื้อสินค้า'!B:B=B65,'ซื้อสินค้า'!I:I&gt;0)),))"),"")</f>
        <v/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>
      <c r="A66" s="5"/>
      <c r="B66" s="6"/>
      <c r="C66" s="20">
        <f>IFERROR(VLOOKUP(B66,ชื่อสินค้า!A:C,3,FALSE),)</f>
        <v>0</v>
      </c>
      <c r="D66" s="8" t="str">
        <f>IFERROR(VLOOKUP(B66,ชื่อสินค้า!A:D,4,FALSE),"")</f>
        <v/>
      </c>
      <c r="E66" s="9"/>
      <c r="F66" s="21" t="str">
        <f t="shared" si="5"/>
        <v/>
      </c>
      <c r="G66" s="22"/>
      <c r="H66" s="8">
        <f>IFERROR(VLOOKUP(G66,ซื้อสินค้า!H:I,2,FALSE),)</f>
        <v>0</v>
      </c>
      <c r="I66" s="21">
        <f>IFERROR(VLOOKUP(G66,ซื้อสินค้า!H:J,3,FALSE),)</f>
        <v>0</v>
      </c>
      <c r="J66" s="21">
        <f t="shared" si="6"/>
        <v>0</v>
      </c>
      <c r="K66" s="21">
        <f t="shared" si="7"/>
        <v>0</v>
      </c>
      <c r="L66" s="12">
        <f t="shared" si="8"/>
        <v>0</v>
      </c>
      <c r="M66" s="21">
        <f t="shared" si="9"/>
        <v>0</v>
      </c>
      <c r="N66" s="9" t="str">
        <f ca="1">IFERROR(__xludf.DUMMYFUNCTION("IF(G66&lt;&gt;"""",G66, IFERROR(TRANSPOSE(FILTER('ซื้อสินค้า'!H:H,'ซื้อสินค้า'!B:B=B66,'ซื้อสินค้า'!I:I&gt;0)),))"),"")</f>
        <v/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>
      <c r="A67" s="5"/>
      <c r="B67" s="6"/>
      <c r="C67" s="20">
        <f>IFERROR(VLOOKUP(B67,ชื่อสินค้า!A:C,3,FALSE),)</f>
        <v>0</v>
      </c>
      <c r="D67" s="8" t="str">
        <f>IFERROR(VLOOKUP(B67,ชื่อสินค้า!A:D,4,FALSE),"")</f>
        <v/>
      </c>
      <c r="E67" s="9"/>
      <c r="F67" s="21" t="str">
        <f t="shared" si="5"/>
        <v/>
      </c>
      <c r="G67" s="22"/>
      <c r="H67" s="8">
        <f>IFERROR(VLOOKUP(G67,ซื้อสินค้า!H:I,2,FALSE),)</f>
        <v>0</v>
      </c>
      <c r="I67" s="21">
        <f>IFERROR(VLOOKUP(G67,ซื้อสินค้า!H:J,3,FALSE),)</f>
        <v>0</v>
      </c>
      <c r="J67" s="21">
        <f t="shared" si="6"/>
        <v>0</v>
      </c>
      <c r="K67" s="21">
        <f t="shared" si="7"/>
        <v>0</v>
      </c>
      <c r="L67" s="12">
        <f t="shared" si="8"/>
        <v>0</v>
      </c>
      <c r="M67" s="21">
        <f t="shared" si="9"/>
        <v>0</v>
      </c>
      <c r="N67" s="9" t="str">
        <f ca="1">IFERROR(__xludf.DUMMYFUNCTION("IF(G67&lt;&gt;"""",G67, IFERROR(TRANSPOSE(FILTER('ซื้อสินค้า'!H:H,'ซื้อสินค้า'!B:B=B67,'ซื้อสินค้า'!I:I&gt;0)),))"),"")</f>
        <v/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>
      <c r="A68" s="5"/>
      <c r="B68" s="6"/>
      <c r="C68" s="20">
        <f>IFERROR(VLOOKUP(B68,ชื่อสินค้า!A:C,3,FALSE),)</f>
        <v>0</v>
      </c>
      <c r="D68" s="8" t="str">
        <f>IFERROR(VLOOKUP(B68,ชื่อสินค้า!A:D,4,FALSE),"")</f>
        <v/>
      </c>
      <c r="E68" s="9"/>
      <c r="F68" s="21" t="str">
        <f t="shared" si="5"/>
        <v/>
      </c>
      <c r="G68" s="22"/>
      <c r="H68" s="8">
        <f>IFERROR(VLOOKUP(G68,ซื้อสินค้า!H:I,2,FALSE),)</f>
        <v>0</v>
      </c>
      <c r="I68" s="21">
        <f>IFERROR(VLOOKUP(G68,ซื้อสินค้า!H:J,3,FALSE),)</f>
        <v>0</v>
      </c>
      <c r="J68" s="21">
        <f t="shared" si="6"/>
        <v>0</v>
      </c>
      <c r="K68" s="21">
        <f t="shared" si="7"/>
        <v>0</v>
      </c>
      <c r="L68" s="12">
        <f t="shared" si="8"/>
        <v>0</v>
      </c>
      <c r="M68" s="21">
        <f t="shared" si="9"/>
        <v>0</v>
      </c>
      <c r="N68" s="9" t="str">
        <f ca="1">IFERROR(__xludf.DUMMYFUNCTION("IF(G68&lt;&gt;"""",G68, IFERROR(TRANSPOSE(FILTER('ซื้อสินค้า'!H:H,'ซื้อสินค้า'!B:B=B68,'ซื้อสินค้า'!I:I&gt;0)),))"),"")</f>
        <v/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>
      <c r="A69" s="5"/>
      <c r="B69" s="6"/>
      <c r="C69" s="20">
        <f>IFERROR(VLOOKUP(B69,ชื่อสินค้า!A:C,3,FALSE),)</f>
        <v>0</v>
      </c>
      <c r="D69" s="8" t="str">
        <f>IFERROR(VLOOKUP(B69,ชื่อสินค้า!A:D,4,FALSE),"")</f>
        <v/>
      </c>
      <c r="E69" s="9"/>
      <c r="F69" s="21" t="str">
        <f t="shared" si="5"/>
        <v/>
      </c>
      <c r="G69" s="22"/>
      <c r="H69" s="8">
        <f>IFERROR(VLOOKUP(G69,ซื้อสินค้า!H:I,2,FALSE),)</f>
        <v>0</v>
      </c>
      <c r="I69" s="21">
        <f>IFERROR(VLOOKUP(G69,ซื้อสินค้า!H:J,3,FALSE),)</f>
        <v>0</v>
      </c>
      <c r="J69" s="21">
        <f t="shared" si="6"/>
        <v>0</v>
      </c>
      <c r="K69" s="21">
        <f t="shared" si="7"/>
        <v>0</v>
      </c>
      <c r="L69" s="12">
        <f t="shared" si="8"/>
        <v>0</v>
      </c>
      <c r="M69" s="21">
        <f t="shared" si="9"/>
        <v>0</v>
      </c>
      <c r="N69" s="9" t="str">
        <f ca="1">IFERROR(__xludf.DUMMYFUNCTION("IF(G69&lt;&gt;"""",G69, IFERROR(TRANSPOSE(FILTER('ซื้อสินค้า'!H:H,'ซื้อสินค้า'!B:B=B69,'ซื้อสินค้า'!I:I&gt;0)),))"),"")</f>
        <v/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>
      <c r="A70" s="5"/>
      <c r="B70" s="6"/>
      <c r="C70" s="20">
        <f>IFERROR(VLOOKUP(B70,ชื่อสินค้า!A:C,3,FALSE),)</f>
        <v>0</v>
      </c>
      <c r="D70" s="8" t="str">
        <f>IFERROR(VLOOKUP(B70,ชื่อสินค้า!A:D,4,FALSE),"")</f>
        <v/>
      </c>
      <c r="E70" s="9"/>
      <c r="F70" s="21" t="str">
        <f t="shared" si="5"/>
        <v/>
      </c>
      <c r="G70" s="22"/>
      <c r="H70" s="8">
        <f>IFERROR(VLOOKUP(G70,ซื้อสินค้า!H:I,2,FALSE),)</f>
        <v>0</v>
      </c>
      <c r="I70" s="21">
        <f>IFERROR(VLOOKUP(G70,ซื้อสินค้า!H:J,3,FALSE),)</f>
        <v>0</v>
      </c>
      <c r="J70" s="21">
        <f t="shared" si="6"/>
        <v>0</v>
      </c>
      <c r="K70" s="21">
        <f t="shared" si="7"/>
        <v>0</v>
      </c>
      <c r="L70" s="12">
        <f t="shared" si="8"/>
        <v>0</v>
      </c>
      <c r="M70" s="21">
        <f t="shared" si="9"/>
        <v>0</v>
      </c>
      <c r="N70" s="9" t="str">
        <f ca="1">IFERROR(__xludf.DUMMYFUNCTION("IF(G70&lt;&gt;"""",G70, IFERROR(TRANSPOSE(FILTER('ซื้อสินค้า'!H:H,'ซื้อสินค้า'!B:B=B70,'ซื้อสินค้า'!I:I&gt;0)),))"),"")</f>
        <v/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>
      <c r="A71" s="5"/>
      <c r="B71" s="6"/>
      <c r="C71" s="20">
        <f>IFERROR(VLOOKUP(B71,ชื่อสินค้า!A:C,3,FALSE),)</f>
        <v>0</v>
      </c>
      <c r="D71" s="8" t="str">
        <f>IFERROR(VLOOKUP(B71,ชื่อสินค้า!A:D,4,FALSE),"")</f>
        <v/>
      </c>
      <c r="E71" s="9"/>
      <c r="F71" s="21" t="str">
        <f t="shared" si="5"/>
        <v/>
      </c>
      <c r="G71" s="22"/>
      <c r="H71" s="8">
        <f>IFERROR(VLOOKUP(G71,ซื้อสินค้า!H:I,2,FALSE),)</f>
        <v>0</v>
      </c>
      <c r="I71" s="21">
        <f>IFERROR(VLOOKUP(G71,ซื้อสินค้า!H:J,3,FALSE),)</f>
        <v>0</v>
      </c>
      <c r="J71" s="21">
        <f t="shared" si="6"/>
        <v>0</v>
      </c>
      <c r="K71" s="21">
        <f t="shared" si="7"/>
        <v>0</v>
      </c>
      <c r="L71" s="12">
        <f t="shared" si="8"/>
        <v>0</v>
      </c>
      <c r="M71" s="21">
        <f t="shared" si="9"/>
        <v>0</v>
      </c>
      <c r="N71" s="9" t="str">
        <f ca="1">IFERROR(__xludf.DUMMYFUNCTION("IF(G71&lt;&gt;"""",G71, IFERROR(TRANSPOSE(FILTER('ซื้อสินค้า'!H:H,'ซื้อสินค้า'!B:B=B71,'ซื้อสินค้า'!I:I&gt;0)),))"),"")</f>
        <v/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>
      <c r="A72" s="5"/>
      <c r="B72" s="6"/>
      <c r="C72" s="20">
        <f>IFERROR(VLOOKUP(B72,ชื่อสินค้า!A:C,3,FALSE),)</f>
        <v>0</v>
      </c>
      <c r="D72" s="8" t="str">
        <f>IFERROR(VLOOKUP(B72,ชื่อสินค้า!A:D,4,FALSE),"")</f>
        <v/>
      </c>
      <c r="E72" s="9"/>
      <c r="F72" s="21" t="str">
        <f t="shared" si="5"/>
        <v/>
      </c>
      <c r="G72" s="22"/>
      <c r="H72" s="8">
        <f>IFERROR(VLOOKUP(G72,ซื้อสินค้า!H:I,2,FALSE),)</f>
        <v>0</v>
      </c>
      <c r="I72" s="21">
        <f>IFERROR(VLOOKUP(G72,ซื้อสินค้า!H:J,3,FALSE),)</f>
        <v>0</v>
      </c>
      <c r="J72" s="21">
        <f t="shared" si="6"/>
        <v>0</v>
      </c>
      <c r="K72" s="21">
        <f t="shared" si="7"/>
        <v>0</v>
      </c>
      <c r="L72" s="12">
        <f t="shared" si="8"/>
        <v>0</v>
      </c>
      <c r="M72" s="21">
        <f t="shared" si="9"/>
        <v>0</v>
      </c>
      <c r="N72" s="9" t="str">
        <f ca="1">IFERROR(__xludf.DUMMYFUNCTION("IF(G72&lt;&gt;"""",G72, IFERROR(TRANSPOSE(FILTER('ซื้อสินค้า'!H:H,'ซื้อสินค้า'!B:B=B72,'ซื้อสินค้า'!I:I&gt;0)),))"),"")</f>
        <v/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>
      <c r="A73" s="5"/>
      <c r="B73" s="6"/>
      <c r="C73" s="20">
        <f>IFERROR(VLOOKUP(B73,ชื่อสินค้า!A:C,3,FALSE),)</f>
        <v>0</v>
      </c>
      <c r="D73" s="8" t="str">
        <f>IFERROR(VLOOKUP(B73,ชื่อสินค้า!A:D,4,FALSE),"")</f>
        <v/>
      </c>
      <c r="E73" s="9"/>
      <c r="F73" s="21" t="str">
        <f t="shared" si="5"/>
        <v/>
      </c>
      <c r="G73" s="22"/>
      <c r="H73" s="8">
        <f>IFERROR(VLOOKUP(G73,ซื้อสินค้า!H:I,2,FALSE),)</f>
        <v>0</v>
      </c>
      <c r="I73" s="21">
        <f>IFERROR(VLOOKUP(G73,ซื้อสินค้า!H:J,3,FALSE),)</f>
        <v>0</v>
      </c>
      <c r="J73" s="21">
        <f t="shared" si="6"/>
        <v>0</v>
      </c>
      <c r="K73" s="21">
        <f t="shared" si="7"/>
        <v>0</v>
      </c>
      <c r="L73" s="12">
        <f t="shared" si="8"/>
        <v>0</v>
      </c>
      <c r="M73" s="21">
        <f t="shared" si="9"/>
        <v>0</v>
      </c>
      <c r="N73" s="9" t="str">
        <f ca="1">IFERROR(__xludf.DUMMYFUNCTION("IF(G73&lt;&gt;"""",G73, IFERROR(TRANSPOSE(FILTER('ซื้อสินค้า'!H:H,'ซื้อสินค้า'!B:B=B73,'ซื้อสินค้า'!I:I&gt;0)),))"),"")</f>
        <v/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>
      <c r="A74" s="5"/>
      <c r="B74" s="6"/>
      <c r="C74" s="20">
        <f>IFERROR(VLOOKUP(B74,ชื่อสินค้า!A:C,3,FALSE),)</f>
        <v>0</v>
      </c>
      <c r="D74" s="8" t="str">
        <f>IFERROR(VLOOKUP(B74,ชื่อสินค้า!A:D,4,FALSE),"")</f>
        <v/>
      </c>
      <c r="E74" s="9"/>
      <c r="F74" s="21" t="str">
        <f t="shared" si="5"/>
        <v/>
      </c>
      <c r="G74" s="22"/>
      <c r="H74" s="8">
        <f>IFERROR(VLOOKUP(G74,ซื้อสินค้า!H:I,2,FALSE),)</f>
        <v>0</v>
      </c>
      <c r="I74" s="21">
        <f>IFERROR(VLOOKUP(G74,ซื้อสินค้า!H:J,3,FALSE),)</f>
        <v>0</v>
      </c>
      <c r="J74" s="21">
        <f t="shared" si="6"/>
        <v>0</v>
      </c>
      <c r="K74" s="21">
        <f t="shared" si="7"/>
        <v>0</v>
      </c>
      <c r="L74" s="12">
        <f t="shared" si="8"/>
        <v>0</v>
      </c>
      <c r="M74" s="21">
        <f t="shared" si="9"/>
        <v>0</v>
      </c>
      <c r="N74" s="9" t="str">
        <f ca="1">IFERROR(__xludf.DUMMYFUNCTION("IF(G74&lt;&gt;"""",G74, IFERROR(TRANSPOSE(FILTER('ซื้อสินค้า'!H:H,'ซื้อสินค้า'!B:B=B74,'ซื้อสินค้า'!I:I&gt;0)),))"),"")</f>
        <v/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>
      <c r="A75" s="5"/>
      <c r="B75" s="6"/>
      <c r="C75" s="20">
        <f>IFERROR(VLOOKUP(B75,ชื่อสินค้า!A:C,3,FALSE),)</f>
        <v>0</v>
      </c>
      <c r="D75" s="8" t="str">
        <f>IFERROR(VLOOKUP(B75,ชื่อสินค้า!A:D,4,FALSE),"")</f>
        <v/>
      </c>
      <c r="E75" s="9"/>
      <c r="F75" s="21" t="str">
        <f t="shared" si="5"/>
        <v/>
      </c>
      <c r="G75" s="22"/>
      <c r="H75" s="8">
        <f>IFERROR(VLOOKUP(G75,ซื้อสินค้า!H:I,2,FALSE),)</f>
        <v>0</v>
      </c>
      <c r="I75" s="21">
        <f>IFERROR(VLOOKUP(G75,ซื้อสินค้า!H:J,3,FALSE),)</f>
        <v>0</v>
      </c>
      <c r="J75" s="21">
        <f t="shared" si="6"/>
        <v>0</v>
      </c>
      <c r="K75" s="21">
        <f t="shared" si="7"/>
        <v>0</v>
      </c>
      <c r="L75" s="12">
        <f t="shared" si="8"/>
        <v>0</v>
      </c>
      <c r="M75" s="21">
        <f t="shared" si="9"/>
        <v>0</v>
      </c>
      <c r="N75" s="9" t="str">
        <f ca="1">IFERROR(__xludf.DUMMYFUNCTION("IF(G75&lt;&gt;"""",G75, IFERROR(TRANSPOSE(FILTER('ซื้อสินค้า'!H:H,'ซื้อสินค้า'!B:B=B75,'ซื้อสินค้า'!I:I&gt;0)),))"),"")</f>
        <v/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>
      <c r="A76" s="5"/>
      <c r="B76" s="6"/>
      <c r="C76" s="20">
        <f>IFERROR(VLOOKUP(B76,ชื่อสินค้า!A:C,3,FALSE),)</f>
        <v>0</v>
      </c>
      <c r="D76" s="8" t="str">
        <f>IFERROR(VLOOKUP(B76,ชื่อสินค้า!A:D,4,FALSE),"")</f>
        <v/>
      </c>
      <c r="E76" s="9"/>
      <c r="F76" s="21" t="str">
        <f t="shared" si="5"/>
        <v/>
      </c>
      <c r="G76" s="22"/>
      <c r="H76" s="8">
        <f>IFERROR(VLOOKUP(G76,ซื้อสินค้า!H:I,2,FALSE),)</f>
        <v>0</v>
      </c>
      <c r="I76" s="21">
        <f>IFERROR(VLOOKUP(G76,ซื้อสินค้า!H:J,3,FALSE),)</f>
        <v>0</v>
      </c>
      <c r="J76" s="21">
        <f t="shared" si="6"/>
        <v>0</v>
      </c>
      <c r="K76" s="21">
        <f t="shared" si="7"/>
        <v>0</v>
      </c>
      <c r="L76" s="12">
        <f t="shared" si="8"/>
        <v>0</v>
      </c>
      <c r="M76" s="21">
        <f t="shared" si="9"/>
        <v>0</v>
      </c>
      <c r="N76" s="9" t="str">
        <f ca="1">IFERROR(__xludf.DUMMYFUNCTION("IF(G76&lt;&gt;"""",G76, IFERROR(TRANSPOSE(FILTER('ซื้อสินค้า'!H:H,'ซื้อสินค้า'!B:B=B76,'ซื้อสินค้า'!I:I&gt;0)),))"),"")</f>
        <v/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>
      <c r="A77" s="5"/>
      <c r="B77" s="6"/>
      <c r="C77" s="20">
        <f>IFERROR(VLOOKUP(B77,ชื่อสินค้า!A:C,3,FALSE),)</f>
        <v>0</v>
      </c>
      <c r="D77" s="8" t="str">
        <f>IFERROR(VLOOKUP(B77,ชื่อสินค้า!A:D,4,FALSE),"")</f>
        <v/>
      </c>
      <c r="E77" s="9"/>
      <c r="F77" s="21" t="str">
        <f t="shared" si="5"/>
        <v/>
      </c>
      <c r="G77" s="22"/>
      <c r="H77" s="8">
        <f>IFERROR(VLOOKUP(G77,ซื้อสินค้า!H:I,2,FALSE),)</f>
        <v>0</v>
      </c>
      <c r="I77" s="21">
        <f>IFERROR(VLOOKUP(G77,ซื้อสินค้า!H:J,3,FALSE),)</f>
        <v>0</v>
      </c>
      <c r="J77" s="21">
        <f t="shared" si="6"/>
        <v>0</v>
      </c>
      <c r="K77" s="21">
        <f t="shared" si="7"/>
        <v>0</v>
      </c>
      <c r="L77" s="12">
        <f t="shared" si="8"/>
        <v>0</v>
      </c>
      <c r="M77" s="21">
        <f t="shared" si="9"/>
        <v>0</v>
      </c>
      <c r="N77" s="9" t="str">
        <f ca="1">IFERROR(__xludf.DUMMYFUNCTION("IF(G77&lt;&gt;"""",G77, IFERROR(TRANSPOSE(FILTER('ซื้อสินค้า'!H:H,'ซื้อสินค้า'!B:B=B77,'ซื้อสินค้า'!I:I&gt;0)),))"),"")</f>
        <v/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>
      <c r="A78" s="5"/>
      <c r="B78" s="6"/>
      <c r="C78" s="20">
        <f>IFERROR(VLOOKUP(B78,ชื่อสินค้า!A:C,3,FALSE),)</f>
        <v>0</v>
      </c>
      <c r="D78" s="8" t="str">
        <f>IFERROR(VLOOKUP(B78,ชื่อสินค้า!A:D,4,FALSE),"")</f>
        <v/>
      </c>
      <c r="E78" s="9"/>
      <c r="F78" s="21" t="str">
        <f t="shared" si="5"/>
        <v/>
      </c>
      <c r="G78" s="22"/>
      <c r="H78" s="8">
        <f>IFERROR(VLOOKUP(G78,ซื้อสินค้า!H:I,2,FALSE),)</f>
        <v>0</v>
      </c>
      <c r="I78" s="21">
        <f>IFERROR(VLOOKUP(G78,ซื้อสินค้า!H:J,3,FALSE),)</f>
        <v>0</v>
      </c>
      <c r="J78" s="21">
        <f t="shared" si="6"/>
        <v>0</v>
      </c>
      <c r="K78" s="21">
        <f t="shared" si="7"/>
        <v>0</v>
      </c>
      <c r="L78" s="12">
        <f t="shared" si="8"/>
        <v>0</v>
      </c>
      <c r="M78" s="21">
        <f t="shared" si="9"/>
        <v>0</v>
      </c>
      <c r="N78" s="9" t="str">
        <f ca="1">IFERROR(__xludf.DUMMYFUNCTION("IF(G78&lt;&gt;"""",G78, IFERROR(TRANSPOSE(FILTER('ซื้อสินค้า'!H:H,'ซื้อสินค้า'!B:B=B78,'ซื้อสินค้า'!I:I&gt;0)),))"),"")</f>
        <v/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>
      <c r="A79" s="5"/>
      <c r="B79" s="6"/>
      <c r="C79" s="20">
        <f>IFERROR(VLOOKUP(B79,ชื่อสินค้า!A:C,3,FALSE),)</f>
        <v>0</v>
      </c>
      <c r="D79" s="8" t="str">
        <f>IFERROR(VLOOKUP(B79,ชื่อสินค้า!A:D,4,FALSE),"")</f>
        <v/>
      </c>
      <c r="E79" s="9"/>
      <c r="F79" s="21" t="str">
        <f t="shared" si="5"/>
        <v/>
      </c>
      <c r="G79" s="22"/>
      <c r="H79" s="8">
        <f>IFERROR(VLOOKUP(G79,ซื้อสินค้า!H:I,2,FALSE),)</f>
        <v>0</v>
      </c>
      <c r="I79" s="21">
        <f>IFERROR(VLOOKUP(G79,ซื้อสินค้า!H:J,3,FALSE),)</f>
        <v>0</v>
      </c>
      <c r="J79" s="21">
        <f t="shared" si="6"/>
        <v>0</v>
      </c>
      <c r="K79" s="21">
        <f t="shared" si="7"/>
        <v>0</v>
      </c>
      <c r="L79" s="12">
        <f t="shared" si="8"/>
        <v>0</v>
      </c>
      <c r="M79" s="21">
        <f t="shared" si="9"/>
        <v>0</v>
      </c>
      <c r="N79" s="9" t="str">
        <f ca="1">IFERROR(__xludf.DUMMYFUNCTION("IF(G79&lt;&gt;"""",G79, IFERROR(TRANSPOSE(FILTER('ซื้อสินค้า'!H:H,'ซื้อสินค้า'!B:B=B79,'ซื้อสินค้า'!I:I&gt;0)),))"),"")</f>
        <v/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>
      <c r="A80" s="5"/>
      <c r="B80" s="6"/>
      <c r="C80" s="20">
        <f>IFERROR(VLOOKUP(B80,ชื่อสินค้า!A:C,3,FALSE),)</f>
        <v>0</v>
      </c>
      <c r="D80" s="8" t="str">
        <f>IFERROR(VLOOKUP(B80,ชื่อสินค้า!A:D,4,FALSE),"")</f>
        <v/>
      </c>
      <c r="E80" s="9"/>
      <c r="F80" s="21" t="str">
        <f t="shared" si="5"/>
        <v/>
      </c>
      <c r="G80" s="22"/>
      <c r="H80" s="8">
        <f>IFERROR(VLOOKUP(G80,ซื้อสินค้า!H:I,2,FALSE),)</f>
        <v>0</v>
      </c>
      <c r="I80" s="21">
        <f>IFERROR(VLOOKUP(G80,ซื้อสินค้า!H:J,3,FALSE),)</f>
        <v>0</v>
      </c>
      <c r="J80" s="21">
        <f t="shared" si="6"/>
        <v>0</v>
      </c>
      <c r="K80" s="21">
        <f t="shared" si="7"/>
        <v>0</v>
      </c>
      <c r="L80" s="12">
        <f t="shared" si="8"/>
        <v>0</v>
      </c>
      <c r="M80" s="21">
        <f t="shared" si="9"/>
        <v>0</v>
      </c>
      <c r="N80" s="9" t="str">
        <f ca="1">IFERROR(__xludf.DUMMYFUNCTION("IF(G80&lt;&gt;"""",G80, IFERROR(TRANSPOSE(FILTER('ซื้อสินค้า'!H:H,'ซื้อสินค้า'!B:B=B80,'ซื้อสินค้า'!I:I&gt;0)),))"),"")</f>
        <v/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>
      <c r="A81" s="5"/>
      <c r="B81" s="6"/>
      <c r="C81" s="20">
        <f>IFERROR(VLOOKUP(B81,ชื่อสินค้า!A:C,3,FALSE),)</f>
        <v>0</v>
      </c>
      <c r="D81" s="8" t="str">
        <f>IFERROR(VLOOKUP(B81,ชื่อสินค้า!A:D,4,FALSE),"")</f>
        <v/>
      </c>
      <c r="E81" s="9"/>
      <c r="F81" s="21" t="str">
        <f t="shared" si="5"/>
        <v/>
      </c>
      <c r="G81" s="22"/>
      <c r="H81" s="8">
        <f>IFERROR(VLOOKUP(G81,ซื้อสินค้า!H:I,2,FALSE),)</f>
        <v>0</v>
      </c>
      <c r="I81" s="21">
        <f>IFERROR(VLOOKUP(G81,ซื้อสินค้า!H:J,3,FALSE),)</f>
        <v>0</v>
      </c>
      <c r="J81" s="21">
        <f t="shared" si="6"/>
        <v>0</v>
      </c>
      <c r="K81" s="21">
        <f t="shared" si="7"/>
        <v>0</v>
      </c>
      <c r="L81" s="12">
        <f t="shared" si="8"/>
        <v>0</v>
      </c>
      <c r="M81" s="21">
        <f t="shared" si="9"/>
        <v>0</v>
      </c>
      <c r="N81" s="9" t="str">
        <f ca="1">IFERROR(__xludf.DUMMYFUNCTION("IF(G81&lt;&gt;"""",G81, IFERROR(TRANSPOSE(FILTER('ซื้อสินค้า'!H:H,'ซื้อสินค้า'!B:B=B81,'ซื้อสินค้า'!I:I&gt;0)),))"),"")</f>
        <v/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>
      <c r="A82" s="5"/>
      <c r="B82" s="6"/>
      <c r="C82" s="20">
        <f>IFERROR(VLOOKUP(B82,ชื่อสินค้า!A:C,3,FALSE),)</f>
        <v>0</v>
      </c>
      <c r="D82" s="8" t="str">
        <f>IFERROR(VLOOKUP(B82,ชื่อสินค้า!A:D,4,FALSE),"")</f>
        <v/>
      </c>
      <c r="E82" s="9"/>
      <c r="F82" s="21" t="str">
        <f t="shared" si="5"/>
        <v/>
      </c>
      <c r="G82" s="22"/>
      <c r="H82" s="8">
        <f>IFERROR(VLOOKUP(G82,ซื้อสินค้า!H:I,2,FALSE),)</f>
        <v>0</v>
      </c>
      <c r="I82" s="21">
        <f>IFERROR(VLOOKUP(G82,ซื้อสินค้า!H:J,3,FALSE),)</f>
        <v>0</v>
      </c>
      <c r="J82" s="21">
        <f t="shared" si="6"/>
        <v>0</v>
      </c>
      <c r="K82" s="21">
        <f t="shared" si="7"/>
        <v>0</v>
      </c>
      <c r="L82" s="12">
        <f t="shared" si="8"/>
        <v>0</v>
      </c>
      <c r="M82" s="21">
        <f t="shared" si="9"/>
        <v>0</v>
      </c>
      <c r="N82" s="9" t="str">
        <f ca="1">IFERROR(__xludf.DUMMYFUNCTION("IF(G82&lt;&gt;"""",G82, IFERROR(TRANSPOSE(FILTER('ซื้อสินค้า'!H:H,'ซื้อสินค้า'!B:B=B82,'ซื้อสินค้า'!I:I&gt;0)),))"),"")</f>
        <v/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>
      <c r="A83" s="5"/>
      <c r="B83" s="6"/>
      <c r="C83" s="20">
        <f>IFERROR(VLOOKUP(B83,ชื่อสินค้า!A:C,3,FALSE),)</f>
        <v>0</v>
      </c>
      <c r="D83" s="8" t="str">
        <f>IFERROR(VLOOKUP(B83,ชื่อสินค้า!A:D,4,FALSE),"")</f>
        <v/>
      </c>
      <c r="E83" s="9"/>
      <c r="F83" s="21" t="str">
        <f t="shared" si="5"/>
        <v/>
      </c>
      <c r="G83" s="22"/>
      <c r="H83" s="8">
        <f>IFERROR(VLOOKUP(G83,ซื้อสินค้า!H:I,2,FALSE),)</f>
        <v>0</v>
      </c>
      <c r="I83" s="21">
        <f>IFERROR(VLOOKUP(G83,ซื้อสินค้า!H:J,3,FALSE),)</f>
        <v>0</v>
      </c>
      <c r="J83" s="21">
        <f t="shared" si="6"/>
        <v>0</v>
      </c>
      <c r="K83" s="21">
        <f t="shared" si="7"/>
        <v>0</v>
      </c>
      <c r="L83" s="12">
        <f t="shared" si="8"/>
        <v>0</v>
      </c>
      <c r="M83" s="21">
        <f t="shared" si="9"/>
        <v>0</v>
      </c>
      <c r="N83" s="9" t="str">
        <f ca="1">IFERROR(__xludf.DUMMYFUNCTION("IF(G83&lt;&gt;"""",G83, IFERROR(TRANSPOSE(FILTER('ซื้อสินค้า'!H:H,'ซื้อสินค้า'!B:B=B83,'ซื้อสินค้า'!I:I&gt;0)),))"),"")</f>
        <v/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>
      <c r="A84" s="5"/>
      <c r="B84" s="6"/>
      <c r="C84" s="20">
        <f>IFERROR(VLOOKUP(B84,ชื่อสินค้า!A:C,3,FALSE),)</f>
        <v>0</v>
      </c>
      <c r="D84" s="8" t="str">
        <f>IFERROR(VLOOKUP(B84,ชื่อสินค้า!A:D,4,FALSE),"")</f>
        <v/>
      </c>
      <c r="E84" s="9"/>
      <c r="F84" s="21" t="str">
        <f t="shared" si="5"/>
        <v/>
      </c>
      <c r="G84" s="22"/>
      <c r="H84" s="8">
        <f>IFERROR(VLOOKUP(G84,ซื้อสินค้า!H:I,2,FALSE),)</f>
        <v>0</v>
      </c>
      <c r="I84" s="21">
        <f>IFERROR(VLOOKUP(G84,ซื้อสินค้า!H:J,3,FALSE),)</f>
        <v>0</v>
      </c>
      <c r="J84" s="21">
        <f t="shared" si="6"/>
        <v>0</v>
      </c>
      <c r="K84" s="21">
        <f t="shared" si="7"/>
        <v>0</v>
      </c>
      <c r="L84" s="12">
        <f t="shared" si="8"/>
        <v>0</v>
      </c>
      <c r="M84" s="21">
        <f t="shared" si="9"/>
        <v>0</v>
      </c>
      <c r="N84" s="9" t="str">
        <f ca="1">IFERROR(__xludf.DUMMYFUNCTION("IF(G84&lt;&gt;"""",G84, IFERROR(TRANSPOSE(FILTER('ซื้อสินค้า'!H:H,'ซื้อสินค้า'!B:B=B84,'ซื้อสินค้า'!I:I&gt;0)),))"),"")</f>
        <v/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>
      <c r="A85" s="5"/>
      <c r="B85" s="6"/>
      <c r="C85" s="20">
        <f>IFERROR(VLOOKUP(B85,ชื่อสินค้า!A:C,3,FALSE),)</f>
        <v>0</v>
      </c>
      <c r="D85" s="8" t="str">
        <f>IFERROR(VLOOKUP(B85,ชื่อสินค้า!A:D,4,FALSE),"")</f>
        <v/>
      </c>
      <c r="E85" s="9"/>
      <c r="F85" s="21" t="str">
        <f t="shared" si="5"/>
        <v/>
      </c>
      <c r="G85" s="22"/>
      <c r="H85" s="8">
        <f>IFERROR(VLOOKUP(G85,ซื้อสินค้า!H:I,2,FALSE),)</f>
        <v>0</v>
      </c>
      <c r="I85" s="21">
        <f>IFERROR(VLOOKUP(G85,ซื้อสินค้า!H:J,3,FALSE),)</f>
        <v>0</v>
      </c>
      <c r="J85" s="21">
        <f t="shared" si="6"/>
        <v>0</v>
      </c>
      <c r="K85" s="21">
        <f t="shared" si="7"/>
        <v>0</v>
      </c>
      <c r="L85" s="12">
        <f t="shared" si="8"/>
        <v>0</v>
      </c>
      <c r="M85" s="21">
        <f t="shared" si="9"/>
        <v>0</v>
      </c>
      <c r="N85" s="9" t="str">
        <f ca="1">IFERROR(__xludf.DUMMYFUNCTION("IF(G85&lt;&gt;"""",G85, IFERROR(TRANSPOSE(FILTER('ซื้อสินค้า'!H:H,'ซื้อสินค้า'!B:B=B85,'ซื้อสินค้า'!I:I&gt;0)),))"),"")</f>
        <v/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>
      <c r="A86" s="5"/>
      <c r="B86" s="6"/>
      <c r="C86" s="20">
        <f>IFERROR(VLOOKUP(B86,ชื่อสินค้า!A:C,3,FALSE),)</f>
        <v>0</v>
      </c>
      <c r="D86" s="8" t="str">
        <f>IFERROR(VLOOKUP(B86,ชื่อสินค้า!A:D,4,FALSE),"")</f>
        <v/>
      </c>
      <c r="E86" s="9"/>
      <c r="F86" s="21" t="str">
        <f t="shared" si="5"/>
        <v/>
      </c>
      <c r="G86" s="22"/>
      <c r="H86" s="8">
        <f>IFERROR(VLOOKUP(G86,ซื้อสินค้า!H:I,2,FALSE),)</f>
        <v>0</v>
      </c>
      <c r="I86" s="21">
        <f>IFERROR(VLOOKUP(G86,ซื้อสินค้า!H:J,3,FALSE),)</f>
        <v>0</v>
      </c>
      <c r="J86" s="21">
        <f t="shared" si="6"/>
        <v>0</v>
      </c>
      <c r="K86" s="21">
        <f t="shared" si="7"/>
        <v>0</v>
      </c>
      <c r="L86" s="12">
        <f t="shared" si="8"/>
        <v>0</v>
      </c>
      <c r="M86" s="21">
        <f t="shared" si="9"/>
        <v>0</v>
      </c>
      <c r="N86" s="9" t="str">
        <f ca="1">IFERROR(__xludf.DUMMYFUNCTION("IF(G86&lt;&gt;"""",G86, IFERROR(TRANSPOSE(FILTER('ซื้อสินค้า'!H:H,'ซื้อสินค้า'!B:B=B86,'ซื้อสินค้า'!I:I&gt;0)),))"),"")</f>
        <v/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>
      <c r="A87" s="5"/>
      <c r="B87" s="6"/>
      <c r="C87" s="20">
        <f>IFERROR(VLOOKUP(B87,ชื่อสินค้า!A:C,3,FALSE),)</f>
        <v>0</v>
      </c>
      <c r="D87" s="8" t="str">
        <f>IFERROR(VLOOKUP(B87,ชื่อสินค้า!A:D,4,FALSE),"")</f>
        <v/>
      </c>
      <c r="E87" s="9"/>
      <c r="F87" s="21" t="str">
        <f t="shared" si="5"/>
        <v/>
      </c>
      <c r="G87" s="22"/>
      <c r="H87" s="8">
        <f>IFERROR(VLOOKUP(G87,ซื้อสินค้า!H:I,2,FALSE),)</f>
        <v>0</v>
      </c>
      <c r="I87" s="21">
        <f>IFERROR(VLOOKUP(G87,ซื้อสินค้า!H:J,3,FALSE),)</f>
        <v>0</v>
      </c>
      <c r="J87" s="21">
        <f t="shared" si="6"/>
        <v>0</v>
      </c>
      <c r="K87" s="21">
        <f t="shared" si="7"/>
        <v>0</v>
      </c>
      <c r="L87" s="12">
        <f t="shared" si="8"/>
        <v>0</v>
      </c>
      <c r="M87" s="21">
        <f t="shared" si="9"/>
        <v>0</v>
      </c>
      <c r="N87" s="9" t="str">
        <f ca="1">IFERROR(__xludf.DUMMYFUNCTION("IF(G87&lt;&gt;"""",G87, IFERROR(TRANSPOSE(FILTER('ซื้อสินค้า'!H:H,'ซื้อสินค้า'!B:B=B87,'ซื้อสินค้า'!I:I&gt;0)),))"),"")</f>
        <v/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>
      <c r="A88" s="5"/>
      <c r="B88" s="6"/>
      <c r="C88" s="20">
        <f>IFERROR(VLOOKUP(B88,ชื่อสินค้า!A:C,3,FALSE),)</f>
        <v>0</v>
      </c>
      <c r="D88" s="8" t="str">
        <f>IFERROR(VLOOKUP(B88,ชื่อสินค้า!A:D,4,FALSE),"")</f>
        <v/>
      </c>
      <c r="E88" s="9"/>
      <c r="F88" s="21" t="str">
        <f t="shared" si="5"/>
        <v/>
      </c>
      <c r="G88" s="22"/>
      <c r="H88" s="8">
        <f>IFERROR(VLOOKUP(G88,ซื้อสินค้า!H:I,2,FALSE),)</f>
        <v>0</v>
      </c>
      <c r="I88" s="21">
        <f>IFERROR(VLOOKUP(G88,ซื้อสินค้า!H:J,3,FALSE),)</f>
        <v>0</v>
      </c>
      <c r="J88" s="21">
        <f t="shared" si="6"/>
        <v>0</v>
      </c>
      <c r="K88" s="21">
        <f t="shared" si="7"/>
        <v>0</v>
      </c>
      <c r="L88" s="12">
        <f t="shared" si="8"/>
        <v>0</v>
      </c>
      <c r="M88" s="21">
        <f t="shared" si="9"/>
        <v>0</v>
      </c>
      <c r="N88" s="9" t="str">
        <f ca="1">IFERROR(__xludf.DUMMYFUNCTION("IF(G88&lt;&gt;"""",G88, IFERROR(TRANSPOSE(FILTER('ซื้อสินค้า'!H:H,'ซื้อสินค้า'!B:B=B88,'ซื้อสินค้า'!I:I&gt;0)),))"),"")</f>
        <v/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>
      <c r="A89" s="5"/>
      <c r="B89" s="6"/>
      <c r="C89" s="20">
        <f>IFERROR(VLOOKUP(B89,ชื่อสินค้า!A:C,3,FALSE),)</f>
        <v>0</v>
      </c>
      <c r="D89" s="8" t="str">
        <f>IFERROR(VLOOKUP(B89,ชื่อสินค้า!A:D,4,FALSE),"")</f>
        <v/>
      </c>
      <c r="E89" s="9"/>
      <c r="F89" s="21" t="str">
        <f t="shared" si="5"/>
        <v/>
      </c>
      <c r="G89" s="22"/>
      <c r="H89" s="8">
        <f>IFERROR(VLOOKUP(G89,ซื้อสินค้า!H:I,2,FALSE),)</f>
        <v>0</v>
      </c>
      <c r="I89" s="21">
        <f>IFERROR(VLOOKUP(G89,ซื้อสินค้า!H:J,3,FALSE),)</f>
        <v>0</v>
      </c>
      <c r="J89" s="21">
        <f t="shared" si="6"/>
        <v>0</v>
      </c>
      <c r="K89" s="21">
        <f t="shared" si="7"/>
        <v>0</v>
      </c>
      <c r="L89" s="12">
        <f t="shared" si="8"/>
        <v>0</v>
      </c>
      <c r="M89" s="21">
        <f t="shared" si="9"/>
        <v>0</v>
      </c>
      <c r="N89" s="9" t="str">
        <f ca="1">IFERROR(__xludf.DUMMYFUNCTION("IF(G89&lt;&gt;"""",G89, IFERROR(TRANSPOSE(FILTER('ซื้อสินค้า'!H:H,'ซื้อสินค้า'!B:B=B89,'ซื้อสินค้า'!I:I&gt;0)),))"),"")</f>
        <v/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>
      <c r="A90" s="5"/>
      <c r="B90" s="6"/>
      <c r="C90" s="20">
        <f>IFERROR(VLOOKUP(B90,ชื่อสินค้า!A:C,3,FALSE),)</f>
        <v>0</v>
      </c>
      <c r="D90" s="8" t="str">
        <f>IFERROR(VLOOKUP(B90,ชื่อสินค้า!A:D,4,FALSE),"")</f>
        <v/>
      </c>
      <c r="E90" s="9"/>
      <c r="F90" s="21" t="str">
        <f t="shared" si="5"/>
        <v/>
      </c>
      <c r="G90" s="22"/>
      <c r="H90" s="8">
        <f>IFERROR(VLOOKUP(G90,ซื้อสินค้า!H:I,2,FALSE),)</f>
        <v>0</v>
      </c>
      <c r="I90" s="21">
        <f>IFERROR(VLOOKUP(G90,ซื้อสินค้า!H:J,3,FALSE),)</f>
        <v>0</v>
      </c>
      <c r="J90" s="21">
        <f t="shared" si="6"/>
        <v>0</v>
      </c>
      <c r="K90" s="21">
        <f t="shared" si="7"/>
        <v>0</v>
      </c>
      <c r="L90" s="12">
        <f t="shared" si="8"/>
        <v>0</v>
      </c>
      <c r="M90" s="21">
        <f t="shared" si="9"/>
        <v>0</v>
      </c>
      <c r="N90" s="9" t="str">
        <f ca="1">IFERROR(__xludf.DUMMYFUNCTION("IF(G90&lt;&gt;"""",G90, IFERROR(TRANSPOSE(FILTER('ซื้อสินค้า'!H:H,'ซื้อสินค้า'!B:B=B90,'ซื้อสินค้า'!I:I&gt;0)),))"),"")</f>
        <v/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>
      <c r="A91" s="5"/>
      <c r="B91" s="6"/>
      <c r="C91" s="20">
        <f>IFERROR(VLOOKUP(B91,ชื่อสินค้า!A:C,3,FALSE),)</f>
        <v>0</v>
      </c>
      <c r="D91" s="8" t="str">
        <f>IFERROR(VLOOKUP(B91,ชื่อสินค้า!A:D,4,FALSE),"")</f>
        <v/>
      </c>
      <c r="E91" s="9"/>
      <c r="F91" s="21" t="str">
        <f t="shared" si="5"/>
        <v/>
      </c>
      <c r="G91" s="22"/>
      <c r="H91" s="8">
        <f>IFERROR(VLOOKUP(G91,ซื้อสินค้า!H:I,2,FALSE),)</f>
        <v>0</v>
      </c>
      <c r="I91" s="21">
        <f>IFERROR(VLOOKUP(G91,ซื้อสินค้า!H:J,3,FALSE),)</f>
        <v>0</v>
      </c>
      <c r="J91" s="21">
        <f t="shared" si="6"/>
        <v>0</v>
      </c>
      <c r="K91" s="21">
        <f t="shared" si="7"/>
        <v>0</v>
      </c>
      <c r="L91" s="12">
        <f t="shared" si="8"/>
        <v>0</v>
      </c>
      <c r="M91" s="21">
        <f t="shared" si="9"/>
        <v>0</v>
      </c>
      <c r="N91" s="9" t="str">
        <f ca="1">IFERROR(__xludf.DUMMYFUNCTION("IF(G91&lt;&gt;"""",G91, IFERROR(TRANSPOSE(FILTER('ซื้อสินค้า'!H:H,'ซื้อสินค้า'!B:B=B91,'ซื้อสินค้า'!I:I&gt;0)),))"),"")</f>
        <v/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>
      <c r="A92" s="5"/>
      <c r="B92" s="6"/>
      <c r="C92" s="20">
        <f>IFERROR(VLOOKUP(B92,ชื่อสินค้า!A:C,3,FALSE),)</f>
        <v>0</v>
      </c>
      <c r="D92" s="8" t="str">
        <f>IFERROR(VLOOKUP(B92,ชื่อสินค้า!A:D,4,FALSE),"")</f>
        <v/>
      </c>
      <c r="E92" s="9"/>
      <c r="F92" s="21" t="str">
        <f t="shared" si="5"/>
        <v/>
      </c>
      <c r="G92" s="22"/>
      <c r="H92" s="8">
        <f>IFERROR(VLOOKUP(G92,ซื้อสินค้า!H:I,2,FALSE),)</f>
        <v>0</v>
      </c>
      <c r="I92" s="21">
        <f>IFERROR(VLOOKUP(G92,ซื้อสินค้า!H:J,3,FALSE),)</f>
        <v>0</v>
      </c>
      <c r="J92" s="21">
        <f t="shared" si="6"/>
        <v>0</v>
      </c>
      <c r="K92" s="21">
        <f t="shared" si="7"/>
        <v>0</v>
      </c>
      <c r="L92" s="12">
        <f t="shared" si="8"/>
        <v>0</v>
      </c>
      <c r="M92" s="21">
        <f t="shared" si="9"/>
        <v>0</v>
      </c>
      <c r="N92" s="9" t="str">
        <f ca="1">IFERROR(__xludf.DUMMYFUNCTION("IF(G92&lt;&gt;"""",G92, IFERROR(TRANSPOSE(FILTER('ซื้อสินค้า'!H:H,'ซื้อสินค้า'!B:B=B92,'ซื้อสินค้า'!I:I&gt;0)),))"),"")</f>
        <v/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>
      <c r="A93" s="5"/>
      <c r="B93" s="6"/>
      <c r="C93" s="20">
        <f>IFERROR(VLOOKUP(B93,ชื่อสินค้า!A:C,3,FALSE),)</f>
        <v>0</v>
      </c>
      <c r="D93" s="8" t="str">
        <f>IFERROR(VLOOKUP(B93,ชื่อสินค้า!A:D,4,FALSE),"")</f>
        <v/>
      </c>
      <c r="E93" s="9"/>
      <c r="F93" s="21" t="str">
        <f t="shared" si="5"/>
        <v/>
      </c>
      <c r="G93" s="22"/>
      <c r="H93" s="8">
        <f>IFERROR(VLOOKUP(G93,ซื้อสินค้า!H:I,2,FALSE),)</f>
        <v>0</v>
      </c>
      <c r="I93" s="21">
        <f>IFERROR(VLOOKUP(G93,ซื้อสินค้า!H:J,3,FALSE),)</f>
        <v>0</v>
      </c>
      <c r="J93" s="21">
        <f t="shared" si="6"/>
        <v>0</v>
      </c>
      <c r="K93" s="21">
        <f t="shared" si="7"/>
        <v>0</v>
      </c>
      <c r="L93" s="12">
        <f t="shared" si="8"/>
        <v>0</v>
      </c>
      <c r="M93" s="21">
        <f t="shared" si="9"/>
        <v>0</v>
      </c>
      <c r="N93" s="9" t="str">
        <f ca="1">IFERROR(__xludf.DUMMYFUNCTION("IF(G93&lt;&gt;"""",G93, IFERROR(TRANSPOSE(FILTER('ซื้อสินค้า'!H:H,'ซื้อสินค้า'!B:B=B93,'ซื้อสินค้า'!I:I&gt;0)),))"),"")</f>
        <v/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>
      <c r="A94" s="5"/>
      <c r="B94" s="6"/>
      <c r="C94" s="20">
        <f>IFERROR(VLOOKUP(B94,ชื่อสินค้า!A:C,3,FALSE),)</f>
        <v>0</v>
      </c>
      <c r="D94" s="8" t="str">
        <f>IFERROR(VLOOKUP(B94,ชื่อสินค้า!A:D,4,FALSE),"")</f>
        <v/>
      </c>
      <c r="E94" s="9"/>
      <c r="F94" s="21" t="str">
        <f t="shared" si="5"/>
        <v/>
      </c>
      <c r="G94" s="22"/>
      <c r="H94" s="8">
        <f>IFERROR(VLOOKUP(G94,ซื้อสินค้า!H:I,2,FALSE),)</f>
        <v>0</v>
      </c>
      <c r="I94" s="21">
        <f>IFERROR(VLOOKUP(G94,ซื้อสินค้า!H:J,3,FALSE),)</f>
        <v>0</v>
      </c>
      <c r="J94" s="21">
        <f t="shared" si="6"/>
        <v>0</v>
      </c>
      <c r="K94" s="21">
        <f t="shared" si="7"/>
        <v>0</v>
      </c>
      <c r="L94" s="12">
        <f t="shared" si="8"/>
        <v>0</v>
      </c>
      <c r="M94" s="21">
        <f t="shared" si="9"/>
        <v>0</v>
      </c>
      <c r="N94" s="9" t="str">
        <f ca="1">IFERROR(__xludf.DUMMYFUNCTION("IF(G94&lt;&gt;"""",G94, IFERROR(TRANSPOSE(FILTER('ซื้อสินค้า'!H:H,'ซื้อสินค้า'!B:B=B94,'ซื้อสินค้า'!I:I&gt;0)),))"),"")</f>
        <v/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>
      <c r="A95" s="5"/>
      <c r="B95" s="6"/>
      <c r="C95" s="20">
        <f>IFERROR(VLOOKUP(B95,ชื่อสินค้า!A:C,3,FALSE),)</f>
        <v>0</v>
      </c>
      <c r="D95" s="8" t="str">
        <f>IFERROR(VLOOKUP(B95,ชื่อสินค้า!A:D,4,FALSE),"")</f>
        <v/>
      </c>
      <c r="E95" s="9"/>
      <c r="F95" s="21" t="str">
        <f t="shared" si="5"/>
        <v/>
      </c>
      <c r="G95" s="22"/>
      <c r="H95" s="8">
        <f>IFERROR(VLOOKUP(G95,ซื้อสินค้า!H:I,2,FALSE),)</f>
        <v>0</v>
      </c>
      <c r="I95" s="21">
        <f>IFERROR(VLOOKUP(G95,ซื้อสินค้า!H:J,3,FALSE),)</f>
        <v>0</v>
      </c>
      <c r="J95" s="21">
        <f t="shared" si="6"/>
        <v>0</v>
      </c>
      <c r="K95" s="21">
        <f t="shared" si="7"/>
        <v>0</v>
      </c>
      <c r="L95" s="12">
        <f t="shared" si="8"/>
        <v>0</v>
      </c>
      <c r="M95" s="21">
        <f t="shared" si="9"/>
        <v>0</v>
      </c>
      <c r="N95" s="9" t="str">
        <f ca="1">IFERROR(__xludf.DUMMYFUNCTION("IF(G95&lt;&gt;"""",G95, IFERROR(TRANSPOSE(FILTER('ซื้อสินค้า'!H:H,'ซื้อสินค้า'!B:B=B95,'ซื้อสินค้า'!I:I&gt;0)),))"),"")</f>
        <v/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>
      <c r="A96" s="5"/>
      <c r="B96" s="6"/>
      <c r="C96" s="20">
        <f>IFERROR(VLOOKUP(B96,ชื่อสินค้า!A:C,3,FALSE),)</f>
        <v>0</v>
      </c>
      <c r="D96" s="8" t="str">
        <f>IFERROR(VLOOKUP(B96,ชื่อสินค้า!A:D,4,FALSE),"")</f>
        <v/>
      </c>
      <c r="E96" s="9"/>
      <c r="F96" s="21" t="str">
        <f t="shared" si="5"/>
        <v/>
      </c>
      <c r="G96" s="22"/>
      <c r="H96" s="8">
        <f>IFERROR(VLOOKUP(G96,ซื้อสินค้า!H:I,2,FALSE),)</f>
        <v>0</v>
      </c>
      <c r="I96" s="21">
        <f>IFERROR(VLOOKUP(G96,ซื้อสินค้า!H:J,3,FALSE),)</f>
        <v>0</v>
      </c>
      <c r="J96" s="21">
        <f t="shared" si="6"/>
        <v>0</v>
      </c>
      <c r="K96" s="21">
        <f t="shared" si="7"/>
        <v>0</v>
      </c>
      <c r="L96" s="12">
        <f t="shared" si="8"/>
        <v>0</v>
      </c>
      <c r="M96" s="21">
        <f t="shared" si="9"/>
        <v>0</v>
      </c>
      <c r="N96" s="9" t="str">
        <f ca="1">IFERROR(__xludf.DUMMYFUNCTION("IF(G96&lt;&gt;"""",G96, IFERROR(TRANSPOSE(FILTER('ซื้อสินค้า'!H:H,'ซื้อสินค้า'!B:B=B96,'ซื้อสินค้า'!I:I&gt;0)),))"),"")</f>
        <v/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>
      <c r="A97" s="5"/>
      <c r="B97" s="6"/>
      <c r="C97" s="20">
        <f>IFERROR(VLOOKUP(B97,ชื่อสินค้า!A:C,3,FALSE),)</f>
        <v>0</v>
      </c>
      <c r="D97" s="8" t="str">
        <f>IFERROR(VLOOKUP(B97,ชื่อสินค้า!A:D,4,FALSE),"")</f>
        <v/>
      </c>
      <c r="E97" s="9"/>
      <c r="F97" s="21" t="str">
        <f t="shared" si="5"/>
        <v/>
      </c>
      <c r="G97" s="22"/>
      <c r="H97" s="8">
        <f>IFERROR(VLOOKUP(G97,ซื้อสินค้า!H:I,2,FALSE),)</f>
        <v>0</v>
      </c>
      <c r="I97" s="21">
        <f>IFERROR(VLOOKUP(G97,ซื้อสินค้า!H:J,3,FALSE),)</f>
        <v>0</v>
      </c>
      <c r="J97" s="21">
        <f t="shared" si="6"/>
        <v>0</v>
      </c>
      <c r="K97" s="21">
        <f t="shared" si="7"/>
        <v>0</v>
      </c>
      <c r="L97" s="12">
        <f t="shared" si="8"/>
        <v>0</v>
      </c>
      <c r="M97" s="21">
        <f t="shared" si="9"/>
        <v>0</v>
      </c>
      <c r="N97" s="9" t="str">
        <f ca="1">IFERROR(__xludf.DUMMYFUNCTION("IF(G97&lt;&gt;"""",G97, IFERROR(TRANSPOSE(FILTER('ซื้อสินค้า'!H:H,'ซื้อสินค้า'!B:B=B97,'ซื้อสินค้า'!I:I&gt;0)),))"),"")</f>
        <v/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>
      <c r="A98" s="5"/>
      <c r="B98" s="6"/>
      <c r="C98" s="20">
        <f>IFERROR(VLOOKUP(B98,ชื่อสินค้า!A:C,3,FALSE),)</f>
        <v>0</v>
      </c>
      <c r="D98" s="8" t="str">
        <f>IFERROR(VLOOKUP(B98,ชื่อสินค้า!A:D,4,FALSE),"")</f>
        <v/>
      </c>
      <c r="E98" s="9"/>
      <c r="F98" s="21" t="str">
        <f t="shared" si="5"/>
        <v/>
      </c>
      <c r="G98" s="22"/>
      <c r="H98" s="8">
        <f>IFERROR(VLOOKUP(G98,ซื้อสินค้า!H:I,2,FALSE),)</f>
        <v>0</v>
      </c>
      <c r="I98" s="21">
        <f>IFERROR(VLOOKUP(G98,ซื้อสินค้า!H:J,3,FALSE),)</f>
        <v>0</v>
      </c>
      <c r="J98" s="21">
        <f t="shared" si="6"/>
        <v>0</v>
      </c>
      <c r="K98" s="21">
        <f t="shared" si="7"/>
        <v>0</v>
      </c>
      <c r="L98" s="12">
        <f t="shared" si="8"/>
        <v>0</v>
      </c>
      <c r="M98" s="21">
        <f t="shared" si="9"/>
        <v>0</v>
      </c>
      <c r="N98" s="9" t="str">
        <f ca="1">IFERROR(__xludf.DUMMYFUNCTION("IF(G98&lt;&gt;"""",G98, IFERROR(TRANSPOSE(FILTER('ซื้อสินค้า'!H:H,'ซื้อสินค้า'!B:B=B98,'ซื้อสินค้า'!I:I&gt;0)),))"),"")</f>
        <v/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>
      <c r="A99" s="5"/>
      <c r="B99" s="6"/>
      <c r="C99" s="20">
        <f>IFERROR(VLOOKUP(B99,ชื่อสินค้า!A:C,3,FALSE),)</f>
        <v>0</v>
      </c>
      <c r="D99" s="8" t="str">
        <f>IFERROR(VLOOKUP(B99,ชื่อสินค้า!A:D,4,FALSE),"")</f>
        <v/>
      </c>
      <c r="E99" s="9"/>
      <c r="F99" s="21" t="str">
        <f t="shared" si="5"/>
        <v/>
      </c>
      <c r="G99" s="22"/>
      <c r="H99" s="8">
        <f>IFERROR(VLOOKUP(G99,ซื้อสินค้า!H:I,2,FALSE),)</f>
        <v>0</v>
      </c>
      <c r="I99" s="21">
        <f>IFERROR(VLOOKUP(G99,ซื้อสินค้า!H:J,3,FALSE),)</f>
        <v>0</v>
      </c>
      <c r="J99" s="21">
        <f t="shared" si="6"/>
        <v>0</v>
      </c>
      <c r="K99" s="21">
        <f t="shared" si="7"/>
        <v>0</v>
      </c>
      <c r="L99" s="12">
        <f t="shared" si="8"/>
        <v>0</v>
      </c>
      <c r="M99" s="21">
        <f t="shared" si="9"/>
        <v>0</v>
      </c>
      <c r="N99" s="9" t="str">
        <f ca="1">IFERROR(__xludf.DUMMYFUNCTION("IF(G99&lt;&gt;"""",G99, IFERROR(TRANSPOSE(FILTER('ซื้อสินค้า'!H:H,'ซื้อสินค้า'!B:B=B99,'ซื้อสินค้า'!I:I&gt;0)),))"),"")</f>
        <v/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>
      <c r="A100" s="5"/>
      <c r="B100" s="6"/>
      <c r="C100" s="20">
        <f>IFERROR(VLOOKUP(B100,ชื่อสินค้า!A:C,3,FALSE),)</f>
        <v>0</v>
      </c>
      <c r="D100" s="8" t="str">
        <f>IFERROR(VLOOKUP(B100,ชื่อสินค้า!A:D,4,FALSE),"")</f>
        <v/>
      </c>
      <c r="E100" s="9"/>
      <c r="F100" s="21" t="str">
        <f t="shared" si="5"/>
        <v/>
      </c>
      <c r="G100" s="22"/>
      <c r="H100" s="8">
        <f>IFERROR(VLOOKUP(G100,ซื้อสินค้า!H:I,2,FALSE),)</f>
        <v>0</v>
      </c>
      <c r="I100" s="21">
        <f>IFERROR(VLOOKUP(G100,ซื้อสินค้า!H:J,3,FALSE),)</f>
        <v>0</v>
      </c>
      <c r="J100" s="21">
        <f t="shared" si="6"/>
        <v>0</v>
      </c>
      <c r="K100" s="21">
        <f t="shared" si="7"/>
        <v>0</v>
      </c>
      <c r="L100" s="12">
        <f t="shared" si="8"/>
        <v>0</v>
      </c>
      <c r="M100" s="21">
        <f t="shared" si="9"/>
        <v>0</v>
      </c>
      <c r="N100" s="9" t="str">
        <f ca="1">IFERROR(__xludf.DUMMYFUNCTION("IF(G100&lt;&gt;"""",G100, IFERROR(TRANSPOSE(FILTER('ซื้อสินค้า'!H:H,'ซื้อสินค้า'!B:B=B100,'ซื้อสินค้า'!I:I&gt;0)),))"),"")</f>
        <v/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>
      <c r="A101" s="5"/>
      <c r="B101" s="6"/>
      <c r="C101" s="20">
        <f>IFERROR(VLOOKUP(B101,ชื่อสินค้า!A:C,3,FALSE),)</f>
        <v>0</v>
      </c>
      <c r="D101" s="8" t="str">
        <f>IFERROR(VLOOKUP(B101,ชื่อสินค้า!A:D,4,FALSE),"")</f>
        <v/>
      </c>
      <c r="E101" s="9"/>
      <c r="F101" s="21" t="str">
        <f t="shared" si="5"/>
        <v/>
      </c>
      <c r="G101" s="22"/>
      <c r="H101" s="8">
        <f>IFERROR(VLOOKUP(G101,ซื้อสินค้า!H:I,2,FALSE),)</f>
        <v>0</v>
      </c>
      <c r="I101" s="21">
        <f>IFERROR(VLOOKUP(G101,ซื้อสินค้า!H:J,3,FALSE),)</f>
        <v>0</v>
      </c>
      <c r="J101" s="21">
        <f t="shared" si="6"/>
        <v>0</v>
      </c>
      <c r="K101" s="21">
        <f t="shared" si="7"/>
        <v>0</v>
      </c>
      <c r="L101" s="12">
        <f t="shared" si="8"/>
        <v>0</v>
      </c>
      <c r="M101" s="21">
        <f t="shared" si="9"/>
        <v>0</v>
      </c>
      <c r="N101" s="9" t="str">
        <f ca="1">IFERROR(__xludf.DUMMYFUNCTION("IF(G101&lt;&gt;"""",G101, IFERROR(TRANSPOSE(FILTER('ซื้อสินค้า'!H:H,'ซื้อสินค้า'!B:B=B101,'ซื้อสินค้า'!I:I&gt;0)),))"),"")</f>
        <v/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>
      <c r="A102" s="5"/>
      <c r="B102" s="6"/>
      <c r="C102" s="20">
        <f>IFERROR(VLOOKUP(B102,ชื่อสินค้า!A:C,3,FALSE),)</f>
        <v>0</v>
      </c>
      <c r="D102" s="8" t="str">
        <f>IFERROR(VLOOKUP(B102,ชื่อสินค้า!A:D,4,FALSE),"")</f>
        <v/>
      </c>
      <c r="E102" s="9"/>
      <c r="F102" s="21" t="str">
        <f t="shared" si="5"/>
        <v/>
      </c>
      <c r="G102" s="22"/>
      <c r="H102" s="8">
        <f>IFERROR(VLOOKUP(G102,ซื้อสินค้า!H:I,2,FALSE),)</f>
        <v>0</v>
      </c>
      <c r="I102" s="21">
        <f>IFERROR(VLOOKUP(G102,ซื้อสินค้า!H:J,3,FALSE),)</f>
        <v>0</v>
      </c>
      <c r="J102" s="21">
        <f t="shared" si="6"/>
        <v>0</v>
      </c>
      <c r="K102" s="21">
        <f t="shared" si="7"/>
        <v>0</v>
      </c>
      <c r="L102" s="12">
        <f t="shared" si="8"/>
        <v>0</v>
      </c>
      <c r="M102" s="21">
        <f t="shared" si="9"/>
        <v>0</v>
      </c>
      <c r="N102" s="9" t="str">
        <f ca="1">IFERROR(__xludf.DUMMYFUNCTION("IF(G102&lt;&gt;"""",G102, IFERROR(TRANSPOSE(FILTER('ซื้อสินค้า'!H:H,'ซื้อสินค้า'!B:B=B102,'ซื้อสินค้า'!I:I&gt;0)),))"),"")</f>
        <v/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>
      <c r="A103" s="5"/>
      <c r="B103" s="6"/>
      <c r="C103" s="20">
        <f>IFERROR(VLOOKUP(B103,ชื่อสินค้า!A:C,3,FALSE),)</f>
        <v>0</v>
      </c>
      <c r="D103" s="8" t="str">
        <f>IFERROR(VLOOKUP(B103,ชื่อสินค้า!A:D,4,FALSE),"")</f>
        <v/>
      </c>
      <c r="E103" s="9"/>
      <c r="F103" s="21" t="str">
        <f t="shared" si="5"/>
        <v/>
      </c>
      <c r="G103" s="22"/>
      <c r="H103" s="8">
        <f>IFERROR(VLOOKUP(G103,ซื้อสินค้า!H:I,2,FALSE),)</f>
        <v>0</v>
      </c>
      <c r="I103" s="21">
        <f>IFERROR(VLOOKUP(G103,ซื้อสินค้า!H:J,3,FALSE),)</f>
        <v>0</v>
      </c>
      <c r="J103" s="21">
        <f t="shared" si="6"/>
        <v>0</v>
      </c>
      <c r="K103" s="21">
        <f t="shared" si="7"/>
        <v>0</v>
      </c>
      <c r="L103" s="12">
        <f t="shared" si="8"/>
        <v>0</v>
      </c>
      <c r="M103" s="21">
        <f t="shared" si="9"/>
        <v>0</v>
      </c>
      <c r="N103" s="9" t="str">
        <f ca="1">IFERROR(__xludf.DUMMYFUNCTION("IF(G103&lt;&gt;"""",G103, IFERROR(TRANSPOSE(FILTER('ซื้อสินค้า'!H:H,'ซื้อสินค้า'!B:B=B103,'ซื้อสินค้า'!I:I&gt;0)),))"),"")</f>
        <v/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>
      <c r="A104" s="5"/>
      <c r="B104" s="6"/>
      <c r="C104" s="20">
        <f>IFERROR(VLOOKUP(B104,ชื่อสินค้า!A:C,3,FALSE),)</f>
        <v>0</v>
      </c>
      <c r="D104" s="8" t="str">
        <f>IFERROR(VLOOKUP(B104,ชื่อสินค้า!A:D,4,FALSE),"")</f>
        <v/>
      </c>
      <c r="E104" s="9"/>
      <c r="F104" s="21" t="str">
        <f t="shared" si="5"/>
        <v/>
      </c>
      <c r="G104" s="22"/>
      <c r="H104" s="8">
        <f>IFERROR(VLOOKUP(G104,ซื้อสินค้า!H:I,2,FALSE),)</f>
        <v>0</v>
      </c>
      <c r="I104" s="21">
        <f>IFERROR(VLOOKUP(G104,ซื้อสินค้า!H:J,3,FALSE),)</f>
        <v>0</v>
      </c>
      <c r="J104" s="21">
        <f t="shared" si="6"/>
        <v>0</v>
      </c>
      <c r="K104" s="21">
        <f t="shared" si="7"/>
        <v>0</v>
      </c>
      <c r="L104" s="12">
        <f t="shared" si="8"/>
        <v>0</v>
      </c>
      <c r="M104" s="21">
        <f t="shared" si="9"/>
        <v>0</v>
      </c>
      <c r="N104" s="9" t="str">
        <f ca="1">IFERROR(__xludf.DUMMYFUNCTION("IF(G104&lt;&gt;"""",G104, IFERROR(TRANSPOSE(FILTER('ซื้อสินค้า'!H:H,'ซื้อสินค้า'!B:B=B104,'ซื้อสินค้า'!I:I&gt;0)),))"),"")</f>
        <v/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>
      <c r="A105" s="5"/>
      <c r="B105" s="6"/>
      <c r="C105" s="20">
        <f>IFERROR(VLOOKUP(B105,ชื่อสินค้า!A:C,3,FALSE),)</f>
        <v>0</v>
      </c>
      <c r="D105" s="8" t="str">
        <f>IFERROR(VLOOKUP(B105,ชื่อสินค้า!A:D,4,FALSE),"")</f>
        <v/>
      </c>
      <c r="E105" s="9"/>
      <c r="F105" s="21" t="str">
        <f t="shared" si="5"/>
        <v/>
      </c>
      <c r="G105" s="22"/>
      <c r="H105" s="8">
        <f>IFERROR(VLOOKUP(G105,ซื้อสินค้า!H:I,2,FALSE),)</f>
        <v>0</v>
      </c>
      <c r="I105" s="21">
        <f>IFERROR(VLOOKUP(G105,ซื้อสินค้า!H:J,3,FALSE),)</f>
        <v>0</v>
      </c>
      <c r="J105" s="21">
        <f t="shared" si="6"/>
        <v>0</v>
      </c>
      <c r="K105" s="21">
        <f t="shared" si="7"/>
        <v>0</v>
      </c>
      <c r="L105" s="12">
        <f t="shared" si="8"/>
        <v>0</v>
      </c>
      <c r="M105" s="21">
        <f t="shared" si="9"/>
        <v>0</v>
      </c>
      <c r="N105" s="9" t="str">
        <f ca="1">IFERROR(__xludf.DUMMYFUNCTION("IF(G105&lt;&gt;"""",G105, IFERROR(TRANSPOSE(FILTER('ซื้อสินค้า'!H:H,'ซื้อสินค้า'!B:B=B105,'ซื้อสินค้า'!I:I&gt;0)),))"),"")</f>
        <v/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>
      <c r="A106" s="5"/>
      <c r="B106" s="6"/>
      <c r="C106" s="20">
        <f>IFERROR(VLOOKUP(B106,ชื่อสินค้า!A:C,3,FALSE),)</f>
        <v>0</v>
      </c>
      <c r="D106" s="8" t="str">
        <f>IFERROR(VLOOKUP(B106,ชื่อสินค้า!A:D,4,FALSE),"")</f>
        <v/>
      </c>
      <c r="E106" s="9"/>
      <c r="F106" s="21" t="str">
        <f t="shared" si="5"/>
        <v/>
      </c>
      <c r="G106" s="22"/>
      <c r="H106" s="8">
        <f>IFERROR(VLOOKUP(G106,ซื้อสินค้า!H:I,2,FALSE),)</f>
        <v>0</v>
      </c>
      <c r="I106" s="21">
        <f>IFERROR(VLOOKUP(G106,ซื้อสินค้า!H:J,3,FALSE),)</f>
        <v>0</v>
      </c>
      <c r="J106" s="21">
        <f t="shared" si="6"/>
        <v>0</v>
      </c>
      <c r="K106" s="21">
        <f t="shared" si="7"/>
        <v>0</v>
      </c>
      <c r="L106" s="12">
        <f t="shared" si="8"/>
        <v>0</v>
      </c>
      <c r="M106" s="21">
        <f t="shared" si="9"/>
        <v>0</v>
      </c>
      <c r="N106" s="9" t="str">
        <f ca="1">IFERROR(__xludf.DUMMYFUNCTION("IF(G106&lt;&gt;"""",G106, IFERROR(TRANSPOSE(FILTER('ซื้อสินค้า'!H:H,'ซื้อสินค้า'!B:B=B106,'ซื้อสินค้า'!I:I&gt;0)),))"),"")</f>
        <v/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>
      <c r="A107" s="5"/>
      <c r="B107" s="6"/>
      <c r="C107" s="20">
        <f>IFERROR(VLOOKUP(B107,ชื่อสินค้า!A:C,3,FALSE),)</f>
        <v>0</v>
      </c>
      <c r="D107" s="8" t="str">
        <f>IFERROR(VLOOKUP(B107,ชื่อสินค้า!A:D,4,FALSE),"")</f>
        <v/>
      </c>
      <c r="E107" s="9"/>
      <c r="F107" s="21" t="str">
        <f t="shared" si="5"/>
        <v/>
      </c>
      <c r="G107" s="22"/>
      <c r="H107" s="8">
        <f>IFERROR(VLOOKUP(G107,ซื้อสินค้า!H:I,2,FALSE),)</f>
        <v>0</v>
      </c>
      <c r="I107" s="21">
        <f>IFERROR(VLOOKUP(G107,ซื้อสินค้า!H:J,3,FALSE),)</f>
        <v>0</v>
      </c>
      <c r="J107" s="21">
        <f t="shared" si="6"/>
        <v>0</v>
      </c>
      <c r="K107" s="21">
        <f t="shared" si="7"/>
        <v>0</v>
      </c>
      <c r="L107" s="12">
        <f t="shared" si="8"/>
        <v>0</v>
      </c>
      <c r="M107" s="21">
        <f t="shared" si="9"/>
        <v>0</v>
      </c>
      <c r="N107" s="9" t="str">
        <f ca="1">IFERROR(__xludf.DUMMYFUNCTION("IF(G107&lt;&gt;"""",G107, IFERROR(TRANSPOSE(FILTER('ซื้อสินค้า'!H:H,'ซื้อสินค้า'!B:B=B107,'ซื้อสินค้า'!I:I&gt;0)),))"),"")</f>
        <v/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>
      <c r="A108" s="5"/>
      <c r="B108" s="6"/>
      <c r="C108" s="20">
        <f>IFERROR(VLOOKUP(B108,ชื่อสินค้า!A:C,3,FALSE),)</f>
        <v>0</v>
      </c>
      <c r="D108" s="8" t="str">
        <f>IFERROR(VLOOKUP(B108,ชื่อสินค้า!A:D,4,FALSE),"")</f>
        <v/>
      </c>
      <c r="E108" s="9"/>
      <c r="F108" s="21" t="str">
        <f t="shared" si="5"/>
        <v/>
      </c>
      <c r="G108" s="22"/>
      <c r="H108" s="8">
        <f>IFERROR(VLOOKUP(G108,ซื้อสินค้า!H:I,2,FALSE),)</f>
        <v>0</v>
      </c>
      <c r="I108" s="21">
        <f>IFERROR(VLOOKUP(G108,ซื้อสินค้า!H:J,3,FALSE),)</f>
        <v>0</v>
      </c>
      <c r="J108" s="21">
        <f t="shared" si="6"/>
        <v>0</v>
      </c>
      <c r="K108" s="21">
        <f t="shared" si="7"/>
        <v>0</v>
      </c>
      <c r="L108" s="12">
        <f t="shared" si="8"/>
        <v>0</v>
      </c>
      <c r="M108" s="21">
        <f t="shared" si="9"/>
        <v>0</v>
      </c>
      <c r="N108" s="9" t="str">
        <f ca="1">IFERROR(__xludf.DUMMYFUNCTION("IF(G108&lt;&gt;"""",G108, IFERROR(TRANSPOSE(FILTER('ซื้อสินค้า'!H:H,'ซื้อสินค้า'!B:B=B108,'ซื้อสินค้า'!I:I&gt;0)),))"),"")</f>
        <v/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>
      <c r="A109" s="5"/>
      <c r="B109" s="6"/>
      <c r="C109" s="20">
        <f>IFERROR(VLOOKUP(B109,ชื่อสินค้า!A:C,3,FALSE),)</f>
        <v>0</v>
      </c>
      <c r="D109" s="8" t="str">
        <f>IFERROR(VLOOKUP(B109,ชื่อสินค้า!A:D,4,FALSE),"")</f>
        <v/>
      </c>
      <c r="E109" s="9"/>
      <c r="F109" s="21" t="str">
        <f t="shared" si="5"/>
        <v/>
      </c>
      <c r="G109" s="22"/>
      <c r="H109" s="8">
        <f>IFERROR(VLOOKUP(G109,ซื้อสินค้า!H:I,2,FALSE),)</f>
        <v>0</v>
      </c>
      <c r="I109" s="21">
        <f>IFERROR(VLOOKUP(G109,ซื้อสินค้า!H:J,3,FALSE),)</f>
        <v>0</v>
      </c>
      <c r="J109" s="21">
        <f t="shared" si="6"/>
        <v>0</v>
      </c>
      <c r="K109" s="21">
        <f t="shared" si="7"/>
        <v>0</v>
      </c>
      <c r="L109" s="12">
        <f t="shared" si="8"/>
        <v>0</v>
      </c>
      <c r="M109" s="21">
        <f t="shared" si="9"/>
        <v>0</v>
      </c>
      <c r="N109" s="9" t="str">
        <f ca="1">IFERROR(__xludf.DUMMYFUNCTION("IF(G109&lt;&gt;"""",G109, IFERROR(TRANSPOSE(FILTER('ซื้อสินค้า'!H:H,'ซื้อสินค้า'!B:B=B109,'ซื้อสินค้า'!I:I&gt;0)),))"),"")</f>
        <v/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>
      <c r="A110" s="5"/>
      <c r="B110" s="6"/>
      <c r="C110" s="20">
        <f>IFERROR(VLOOKUP(B110,ชื่อสินค้า!A:C,3,FALSE),)</f>
        <v>0</v>
      </c>
      <c r="D110" s="8" t="str">
        <f>IFERROR(VLOOKUP(B110,ชื่อสินค้า!A:D,4,FALSE),"")</f>
        <v/>
      </c>
      <c r="E110" s="9"/>
      <c r="F110" s="21" t="str">
        <f t="shared" si="5"/>
        <v/>
      </c>
      <c r="G110" s="22"/>
      <c r="H110" s="8">
        <f>IFERROR(VLOOKUP(G110,ซื้อสินค้า!H:I,2,FALSE),)</f>
        <v>0</v>
      </c>
      <c r="I110" s="21">
        <f>IFERROR(VLOOKUP(G110,ซื้อสินค้า!H:J,3,FALSE),)</f>
        <v>0</v>
      </c>
      <c r="J110" s="21">
        <f t="shared" si="6"/>
        <v>0</v>
      </c>
      <c r="K110" s="21">
        <f t="shared" si="7"/>
        <v>0</v>
      </c>
      <c r="L110" s="12">
        <f t="shared" si="8"/>
        <v>0</v>
      </c>
      <c r="M110" s="21">
        <f t="shared" si="9"/>
        <v>0</v>
      </c>
      <c r="N110" s="9" t="str">
        <f ca="1">IFERROR(__xludf.DUMMYFUNCTION("IF(G110&lt;&gt;"""",G110, IFERROR(TRANSPOSE(FILTER('ซื้อสินค้า'!H:H,'ซื้อสินค้า'!B:B=B110,'ซื้อสินค้า'!I:I&gt;0)),))"),"")</f>
        <v/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>
      <c r="A111" s="5"/>
      <c r="B111" s="6"/>
      <c r="C111" s="20">
        <f>IFERROR(VLOOKUP(B111,ชื่อสินค้า!A:C,3,FALSE),)</f>
        <v>0</v>
      </c>
      <c r="D111" s="8" t="str">
        <f>IFERROR(VLOOKUP(B111,ชื่อสินค้า!A:D,4,FALSE),"")</f>
        <v/>
      </c>
      <c r="E111" s="9"/>
      <c r="F111" s="21" t="str">
        <f t="shared" si="5"/>
        <v/>
      </c>
      <c r="G111" s="22"/>
      <c r="H111" s="8">
        <f>IFERROR(VLOOKUP(G111,ซื้อสินค้า!H:I,2,FALSE),)</f>
        <v>0</v>
      </c>
      <c r="I111" s="21">
        <f>IFERROR(VLOOKUP(G111,ซื้อสินค้า!H:J,3,FALSE),)</f>
        <v>0</v>
      </c>
      <c r="J111" s="21">
        <f t="shared" si="6"/>
        <v>0</v>
      </c>
      <c r="K111" s="21">
        <f t="shared" si="7"/>
        <v>0</v>
      </c>
      <c r="L111" s="12">
        <f t="shared" si="8"/>
        <v>0</v>
      </c>
      <c r="M111" s="21">
        <f t="shared" si="9"/>
        <v>0</v>
      </c>
      <c r="N111" s="9" t="str">
        <f ca="1">IFERROR(__xludf.DUMMYFUNCTION("IF(G111&lt;&gt;"""",G111, IFERROR(TRANSPOSE(FILTER('ซื้อสินค้า'!H:H,'ซื้อสินค้า'!B:B=B111,'ซื้อสินค้า'!I:I&gt;0)),))"),"")</f>
        <v/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>
      <c r="A112" s="5"/>
      <c r="B112" s="6"/>
      <c r="C112" s="20">
        <f>IFERROR(VLOOKUP(B112,ชื่อสินค้า!A:C,3,FALSE),)</f>
        <v>0</v>
      </c>
      <c r="D112" s="8" t="str">
        <f>IFERROR(VLOOKUP(B112,ชื่อสินค้า!A:D,4,FALSE),"")</f>
        <v/>
      </c>
      <c r="E112" s="9"/>
      <c r="F112" s="21" t="str">
        <f t="shared" si="5"/>
        <v/>
      </c>
      <c r="G112" s="22"/>
      <c r="H112" s="8">
        <f>IFERROR(VLOOKUP(G112,ซื้อสินค้า!H:I,2,FALSE),)</f>
        <v>0</v>
      </c>
      <c r="I112" s="21">
        <f>IFERROR(VLOOKUP(G112,ซื้อสินค้า!H:J,3,FALSE),)</f>
        <v>0</v>
      </c>
      <c r="J112" s="21">
        <f t="shared" si="6"/>
        <v>0</v>
      </c>
      <c r="K112" s="21">
        <f t="shared" si="7"/>
        <v>0</v>
      </c>
      <c r="L112" s="12">
        <f t="shared" si="8"/>
        <v>0</v>
      </c>
      <c r="M112" s="21">
        <f t="shared" si="9"/>
        <v>0</v>
      </c>
      <c r="N112" s="9" t="str">
        <f ca="1">IFERROR(__xludf.DUMMYFUNCTION("IF(G112&lt;&gt;"""",G112, IFERROR(TRANSPOSE(FILTER('ซื้อสินค้า'!H:H,'ซื้อสินค้า'!B:B=B112,'ซื้อสินค้า'!I:I&gt;0)),))"),"")</f>
        <v/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>
      <c r="A113" s="5"/>
      <c r="B113" s="6"/>
      <c r="C113" s="20">
        <f>IFERROR(VLOOKUP(B113,ชื่อสินค้า!A:C,3,FALSE),)</f>
        <v>0</v>
      </c>
      <c r="D113" s="8" t="str">
        <f>IFERROR(VLOOKUP(B113,ชื่อสินค้า!A:D,4,FALSE),"")</f>
        <v/>
      </c>
      <c r="E113" s="9"/>
      <c r="F113" s="21" t="str">
        <f t="shared" si="5"/>
        <v/>
      </c>
      <c r="G113" s="22"/>
      <c r="H113" s="8">
        <f>IFERROR(VLOOKUP(G113,ซื้อสินค้า!H:I,2,FALSE),)</f>
        <v>0</v>
      </c>
      <c r="I113" s="21">
        <f>IFERROR(VLOOKUP(G113,ซื้อสินค้า!H:J,3,FALSE),)</f>
        <v>0</v>
      </c>
      <c r="J113" s="21">
        <f t="shared" si="6"/>
        <v>0</v>
      </c>
      <c r="K113" s="21">
        <f t="shared" si="7"/>
        <v>0</v>
      </c>
      <c r="L113" s="12">
        <f t="shared" si="8"/>
        <v>0</v>
      </c>
      <c r="M113" s="21">
        <f t="shared" si="9"/>
        <v>0</v>
      </c>
      <c r="N113" s="9" t="str">
        <f ca="1">IFERROR(__xludf.DUMMYFUNCTION("IF(G113&lt;&gt;"""",G113, IFERROR(TRANSPOSE(FILTER('ซื้อสินค้า'!H:H,'ซื้อสินค้า'!B:B=B113,'ซื้อสินค้า'!I:I&gt;0)),))"),"")</f>
        <v/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>
      <c r="A114" s="5"/>
      <c r="B114" s="6"/>
      <c r="C114" s="20">
        <f>IFERROR(VLOOKUP(B114,ชื่อสินค้า!A:C,3,FALSE),)</f>
        <v>0</v>
      </c>
      <c r="D114" s="8" t="str">
        <f>IFERROR(VLOOKUP(B114,ชื่อสินค้า!A:D,4,FALSE),"")</f>
        <v/>
      </c>
      <c r="E114" s="9"/>
      <c r="F114" s="21" t="str">
        <f t="shared" si="5"/>
        <v/>
      </c>
      <c r="G114" s="22"/>
      <c r="H114" s="8">
        <f>IFERROR(VLOOKUP(G114,ซื้อสินค้า!H:I,2,FALSE),)</f>
        <v>0</v>
      </c>
      <c r="I114" s="21">
        <f>IFERROR(VLOOKUP(G114,ซื้อสินค้า!H:J,3,FALSE),)</f>
        <v>0</v>
      </c>
      <c r="J114" s="21">
        <f t="shared" si="6"/>
        <v>0</v>
      </c>
      <c r="K114" s="21">
        <f t="shared" si="7"/>
        <v>0</v>
      </c>
      <c r="L114" s="12">
        <f t="shared" si="8"/>
        <v>0</v>
      </c>
      <c r="M114" s="21">
        <f t="shared" si="9"/>
        <v>0</v>
      </c>
      <c r="N114" s="9" t="str">
        <f ca="1">IFERROR(__xludf.DUMMYFUNCTION("IF(G114&lt;&gt;"""",G114, IFERROR(TRANSPOSE(FILTER('ซื้อสินค้า'!H:H,'ซื้อสินค้า'!B:B=B114,'ซื้อสินค้า'!I:I&gt;0)),))"),"")</f>
        <v/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>
      <c r="A115" s="5"/>
      <c r="B115" s="6"/>
      <c r="C115" s="20">
        <f>IFERROR(VLOOKUP(B115,ชื่อสินค้า!A:C,3,FALSE),)</f>
        <v>0</v>
      </c>
      <c r="D115" s="8" t="str">
        <f>IFERROR(VLOOKUP(B115,ชื่อสินค้า!A:D,4,FALSE),"")</f>
        <v/>
      </c>
      <c r="E115" s="9"/>
      <c r="F115" s="21" t="str">
        <f t="shared" si="5"/>
        <v/>
      </c>
      <c r="G115" s="22"/>
      <c r="H115" s="8">
        <f>IFERROR(VLOOKUP(G115,ซื้อสินค้า!H:I,2,FALSE),)</f>
        <v>0</v>
      </c>
      <c r="I115" s="21">
        <f>IFERROR(VLOOKUP(G115,ซื้อสินค้า!H:J,3,FALSE),)</f>
        <v>0</v>
      </c>
      <c r="J115" s="21">
        <f t="shared" si="6"/>
        <v>0</v>
      </c>
      <c r="K115" s="21">
        <f t="shared" si="7"/>
        <v>0</v>
      </c>
      <c r="L115" s="12">
        <f t="shared" si="8"/>
        <v>0</v>
      </c>
      <c r="M115" s="21">
        <f t="shared" si="9"/>
        <v>0</v>
      </c>
      <c r="N115" s="9" t="str">
        <f ca="1">IFERROR(__xludf.DUMMYFUNCTION("IF(G115&lt;&gt;"""",G115, IFERROR(TRANSPOSE(FILTER('ซื้อสินค้า'!H:H,'ซื้อสินค้า'!B:B=B115,'ซื้อสินค้า'!I:I&gt;0)),))"),"")</f>
        <v/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>
      <c r="A116" s="5"/>
      <c r="B116" s="6"/>
      <c r="C116" s="20">
        <f>IFERROR(VLOOKUP(B116,ชื่อสินค้า!A:C,3,FALSE),)</f>
        <v>0</v>
      </c>
      <c r="D116" s="8" t="str">
        <f>IFERROR(VLOOKUP(B116,ชื่อสินค้า!A:D,4,FALSE),"")</f>
        <v/>
      </c>
      <c r="E116" s="9"/>
      <c r="F116" s="21" t="str">
        <f t="shared" si="5"/>
        <v/>
      </c>
      <c r="G116" s="22"/>
      <c r="H116" s="8">
        <f>IFERROR(VLOOKUP(G116,ซื้อสินค้า!H:I,2,FALSE),)</f>
        <v>0</v>
      </c>
      <c r="I116" s="21">
        <f>IFERROR(VLOOKUP(G116,ซื้อสินค้า!H:J,3,FALSE),)</f>
        <v>0</v>
      </c>
      <c r="J116" s="21">
        <f t="shared" si="6"/>
        <v>0</v>
      </c>
      <c r="K116" s="21">
        <f t="shared" si="7"/>
        <v>0</v>
      </c>
      <c r="L116" s="12">
        <f t="shared" si="8"/>
        <v>0</v>
      </c>
      <c r="M116" s="21">
        <f t="shared" si="9"/>
        <v>0</v>
      </c>
      <c r="N116" s="9" t="str">
        <f ca="1">IFERROR(__xludf.DUMMYFUNCTION("IF(G116&lt;&gt;"""",G116, IFERROR(TRANSPOSE(FILTER('ซื้อสินค้า'!H:H,'ซื้อสินค้า'!B:B=B116,'ซื้อสินค้า'!I:I&gt;0)),))"),"")</f>
        <v/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>
      <c r="A117" s="5"/>
      <c r="B117" s="6"/>
      <c r="C117" s="20">
        <f>IFERROR(VLOOKUP(B117,ชื่อสินค้า!A:C,3,FALSE),)</f>
        <v>0</v>
      </c>
      <c r="D117" s="8" t="str">
        <f>IFERROR(VLOOKUP(B117,ชื่อสินค้า!A:D,4,FALSE),"")</f>
        <v/>
      </c>
      <c r="E117" s="9"/>
      <c r="F117" s="21" t="str">
        <f t="shared" si="5"/>
        <v/>
      </c>
      <c r="G117" s="22"/>
      <c r="H117" s="8">
        <f>IFERROR(VLOOKUP(G117,ซื้อสินค้า!H:I,2,FALSE),)</f>
        <v>0</v>
      </c>
      <c r="I117" s="21">
        <f>IFERROR(VLOOKUP(G117,ซื้อสินค้า!H:J,3,FALSE),)</f>
        <v>0</v>
      </c>
      <c r="J117" s="21">
        <f t="shared" si="6"/>
        <v>0</v>
      </c>
      <c r="K117" s="21">
        <f t="shared" si="7"/>
        <v>0</v>
      </c>
      <c r="L117" s="12">
        <f t="shared" si="8"/>
        <v>0</v>
      </c>
      <c r="M117" s="21">
        <f t="shared" si="9"/>
        <v>0</v>
      </c>
      <c r="N117" s="9" t="str">
        <f ca="1">IFERROR(__xludf.DUMMYFUNCTION("IF(G117&lt;&gt;"""",G117, IFERROR(TRANSPOSE(FILTER('ซื้อสินค้า'!H:H,'ซื้อสินค้า'!B:B=B117,'ซื้อสินค้า'!I:I&gt;0)),))"),"")</f>
        <v/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>
      <c r="A118" s="5"/>
      <c r="B118" s="6"/>
      <c r="C118" s="20">
        <f>IFERROR(VLOOKUP(B118,ชื่อสินค้า!A:C,3,FALSE),)</f>
        <v>0</v>
      </c>
      <c r="D118" s="8" t="str">
        <f>IFERROR(VLOOKUP(B118,ชื่อสินค้า!A:D,4,FALSE),"")</f>
        <v/>
      </c>
      <c r="E118" s="9"/>
      <c r="F118" s="21" t="str">
        <f t="shared" si="5"/>
        <v/>
      </c>
      <c r="G118" s="22"/>
      <c r="H118" s="8">
        <f>IFERROR(VLOOKUP(G118,ซื้อสินค้า!H:I,2,FALSE),)</f>
        <v>0</v>
      </c>
      <c r="I118" s="21">
        <f>IFERROR(VLOOKUP(G118,ซื้อสินค้า!H:J,3,FALSE),)</f>
        <v>0</v>
      </c>
      <c r="J118" s="21">
        <f t="shared" si="6"/>
        <v>0</v>
      </c>
      <c r="K118" s="21">
        <f t="shared" si="7"/>
        <v>0</v>
      </c>
      <c r="L118" s="12">
        <f t="shared" si="8"/>
        <v>0</v>
      </c>
      <c r="M118" s="21">
        <f t="shared" si="9"/>
        <v>0</v>
      </c>
      <c r="N118" s="9" t="str">
        <f ca="1">IFERROR(__xludf.DUMMYFUNCTION("IF(G118&lt;&gt;"""",G118, IFERROR(TRANSPOSE(FILTER('ซื้อสินค้า'!H:H,'ซื้อสินค้า'!B:B=B118,'ซื้อสินค้า'!I:I&gt;0)),))"),"")</f>
        <v/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>
      <c r="A119" s="5"/>
      <c r="B119" s="6"/>
      <c r="C119" s="20">
        <f>IFERROR(VLOOKUP(B119,ชื่อสินค้า!A:C,3,FALSE),)</f>
        <v>0</v>
      </c>
      <c r="D119" s="8" t="str">
        <f>IFERROR(VLOOKUP(B119,ชื่อสินค้า!A:D,4,FALSE),"")</f>
        <v/>
      </c>
      <c r="E119" s="9"/>
      <c r="F119" s="21" t="str">
        <f t="shared" si="5"/>
        <v/>
      </c>
      <c r="G119" s="22"/>
      <c r="H119" s="8">
        <f>IFERROR(VLOOKUP(G119,ซื้อสินค้า!H:I,2,FALSE),)</f>
        <v>0</v>
      </c>
      <c r="I119" s="21">
        <f>IFERROR(VLOOKUP(G119,ซื้อสินค้า!H:J,3,FALSE),)</f>
        <v>0</v>
      </c>
      <c r="J119" s="21">
        <f t="shared" si="6"/>
        <v>0</v>
      </c>
      <c r="K119" s="21">
        <f t="shared" si="7"/>
        <v>0</v>
      </c>
      <c r="L119" s="12">
        <f t="shared" si="8"/>
        <v>0</v>
      </c>
      <c r="M119" s="21">
        <f t="shared" si="9"/>
        <v>0</v>
      </c>
      <c r="N119" s="9" t="str">
        <f ca="1">IFERROR(__xludf.DUMMYFUNCTION("IF(G119&lt;&gt;"""",G119, IFERROR(TRANSPOSE(FILTER('ซื้อสินค้า'!H:H,'ซื้อสินค้า'!B:B=B119,'ซื้อสินค้า'!I:I&gt;0)),))"),"")</f>
        <v/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>
      <c r="A120" s="5"/>
      <c r="B120" s="6"/>
      <c r="C120" s="20">
        <f>IFERROR(VLOOKUP(B120,ชื่อสินค้า!A:C,3,FALSE),)</f>
        <v>0</v>
      </c>
      <c r="D120" s="8" t="str">
        <f>IFERROR(VLOOKUP(B120,ชื่อสินค้า!A:D,4,FALSE),"")</f>
        <v/>
      </c>
      <c r="E120" s="9"/>
      <c r="F120" s="21" t="str">
        <f t="shared" si="5"/>
        <v/>
      </c>
      <c r="G120" s="22"/>
      <c r="H120" s="8">
        <f>IFERROR(VLOOKUP(G120,ซื้อสินค้า!H:I,2,FALSE),)</f>
        <v>0</v>
      </c>
      <c r="I120" s="21">
        <f>IFERROR(VLOOKUP(G120,ซื้อสินค้า!H:J,3,FALSE),)</f>
        <v>0</v>
      </c>
      <c r="J120" s="21">
        <f t="shared" si="6"/>
        <v>0</v>
      </c>
      <c r="K120" s="21">
        <f t="shared" si="7"/>
        <v>0</v>
      </c>
      <c r="L120" s="12">
        <f t="shared" si="8"/>
        <v>0</v>
      </c>
      <c r="M120" s="21">
        <f t="shared" si="9"/>
        <v>0</v>
      </c>
      <c r="N120" s="9" t="str">
        <f ca="1">IFERROR(__xludf.DUMMYFUNCTION("IF(G120&lt;&gt;"""",G120, IFERROR(TRANSPOSE(FILTER('ซื้อสินค้า'!H:H,'ซื้อสินค้า'!B:B=B120,'ซื้อสินค้า'!I:I&gt;0)),))"),"")</f>
        <v/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>
      <c r="A121" s="5"/>
      <c r="B121" s="6"/>
      <c r="C121" s="20">
        <f>IFERROR(VLOOKUP(B121,ชื่อสินค้า!A:C,3,FALSE),)</f>
        <v>0</v>
      </c>
      <c r="D121" s="8" t="str">
        <f>IFERROR(VLOOKUP(B121,ชื่อสินค้า!A:D,4,FALSE),"")</f>
        <v/>
      </c>
      <c r="E121" s="9"/>
      <c r="F121" s="21" t="str">
        <f t="shared" si="5"/>
        <v/>
      </c>
      <c r="G121" s="22"/>
      <c r="H121" s="8">
        <f>IFERROR(VLOOKUP(G121,ซื้อสินค้า!H:I,2,FALSE),)</f>
        <v>0</v>
      </c>
      <c r="I121" s="21">
        <f>IFERROR(VLOOKUP(G121,ซื้อสินค้า!H:J,3,FALSE),)</f>
        <v>0</v>
      </c>
      <c r="J121" s="21">
        <f t="shared" si="6"/>
        <v>0</v>
      </c>
      <c r="K121" s="21">
        <f t="shared" si="7"/>
        <v>0</v>
      </c>
      <c r="L121" s="12">
        <f t="shared" si="8"/>
        <v>0</v>
      </c>
      <c r="M121" s="21">
        <f t="shared" si="9"/>
        <v>0</v>
      </c>
      <c r="N121" s="9" t="str">
        <f ca="1">IFERROR(__xludf.DUMMYFUNCTION("IF(G121&lt;&gt;"""",G121, IFERROR(TRANSPOSE(FILTER('ซื้อสินค้า'!H:H,'ซื้อสินค้า'!B:B=B121,'ซื้อสินค้า'!I:I&gt;0)),))"),"")</f>
        <v/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>
      <c r="A122" s="5"/>
      <c r="B122" s="6"/>
      <c r="C122" s="20">
        <f>IFERROR(VLOOKUP(B122,ชื่อสินค้า!A:C,3,FALSE),)</f>
        <v>0</v>
      </c>
      <c r="D122" s="8" t="str">
        <f>IFERROR(VLOOKUP(B122,ชื่อสินค้า!A:D,4,FALSE),"")</f>
        <v/>
      </c>
      <c r="E122" s="9"/>
      <c r="F122" s="21" t="str">
        <f t="shared" si="5"/>
        <v/>
      </c>
      <c r="G122" s="22"/>
      <c r="H122" s="8">
        <f>IFERROR(VLOOKUP(G122,ซื้อสินค้า!H:I,2,FALSE),)</f>
        <v>0</v>
      </c>
      <c r="I122" s="21">
        <f>IFERROR(VLOOKUP(G122,ซื้อสินค้า!H:J,3,FALSE),)</f>
        <v>0</v>
      </c>
      <c r="J122" s="21">
        <f t="shared" si="6"/>
        <v>0</v>
      </c>
      <c r="K122" s="21">
        <f t="shared" si="7"/>
        <v>0</v>
      </c>
      <c r="L122" s="12">
        <f t="shared" si="8"/>
        <v>0</v>
      </c>
      <c r="M122" s="21">
        <f t="shared" si="9"/>
        <v>0</v>
      </c>
      <c r="N122" s="9" t="str">
        <f ca="1">IFERROR(__xludf.DUMMYFUNCTION("IF(G122&lt;&gt;"""",G122, IFERROR(TRANSPOSE(FILTER('ซื้อสินค้า'!H:H,'ซื้อสินค้า'!B:B=B122,'ซื้อสินค้า'!I:I&gt;0)),))"),"")</f>
        <v/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>
      <c r="A123" s="5"/>
      <c r="B123" s="6"/>
      <c r="C123" s="20">
        <f>IFERROR(VLOOKUP(B123,ชื่อสินค้า!A:C,3,FALSE),)</f>
        <v>0</v>
      </c>
      <c r="D123" s="8" t="str">
        <f>IFERROR(VLOOKUP(B123,ชื่อสินค้า!A:D,4,FALSE),"")</f>
        <v/>
      </c>
      <c r="E123" s="9"/>
      <c r="F123" s="21" t="str">
        <f t="shared" si="5"/>
        <v/>
      </c>
      <c r="G123" s="22"/>
      <c r="H123" s="8">
        <f>IFERROR(VLOOKUP(G123,ซื้อสินค้า!H:I,2,FALSE),)</f>
        <v>0</v>
      </c>
      <c r="I123" s="21">
        <f>IFERROR(VLOOKUP(G123,ซื้อสินค้า!H:J,3,FALSE),)</f>
        <v>0</v>
      </c>
      <c r="J123" s="21">
        <f t="shared" si="6"/>
        <v>0</v>
      </c>
      <c r="K123" s="21">
        <f t="shared" si="7"/>
        <v>0</v>
      </c>
      <c r="L123" s="12">
        <f t="shared" si="8"/>
        <v>0</v>
      </c>
      <c r="M123" s="21">
        <f t="shared" si="9"/>
        <v>0</v>
      </c>
      <c r="N123" s="9" t="str">
        <f ca="1">IFERROR(__xludf.DUMMYFUNCTION("IF(G123&lt;&gt;"""",G123, IFERROR(TRANSPOSE(FILTER('ซื้อสินค้า'!H:H,'ซื้อสินค้า'!B:B=B123,'ซื้อสินค้า'!I:I&gt;0)),))"),"")</f>
        <v/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>
      <c r="A124" s="5"/>
      <c r="B124" s="6"/>
      <c r="C124" s="20">
        <f>IFERROR(VLOOKUP(B124,ชื่อสินค้า!A:C,3,FALSE),)</f>
        <v>0</v>
      </c>
      <c r="D124" s="8" t="str">
        <f>IFERROR(VLOOKUP(B124,ชื่อสินค้า!A:D,4,FALSE),"")</f>
        <v/>
      </c>
      <c r="E124" s="9"/>
      <c r="F124" s="21" t="str">
        <f t="shared" si="5"/>
        <v/>
      </c>
      <c r="G124" s="22"/>
      <c r="H124" s="8">
        <f>IFERROR(VLOOKUP(G124,ซื้อสินค้า!H:I,2,FALSE),)</f>
        <v>0</v>
      </c>
      <c r="I124" s="21">
        <f>IFERROR(VLOOKUP(G124,ซื้อสินค้า!H:J,3,FALSE),)</f>
        <v>0</v>
      </c>
      <c r="J124" s="21">
        <f t="shared" si="6"/>
        <v>0</v>
      </c>
      <c r="K124" s="21">
        <f t="shared" si="7"/>
        <v>0</v>
      </c>
      <c r="L124" s="12">
        <f t="shared" si="8"/>
        <v>0</v>
      </c>
      <c r="M124" s="21">
        <f t="shared" si="9"/>
        <v>0</v>
      </c>
      <c r="N124" s="9" t="str">
        <f ca="1">IFERROR(__xludf.DUMMYFUNCTION("IF(G124&lt;&gt;"""",G124, IFERROR(TRANSPOSE(FILTER('ซื้อสินค้า'!H:H,'ซื้อสินค้า'!B:B=B124,'ซื้อสินค้า'!I:I&gt;0)),))"),"")</f>
        <v/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>
      <c r="A125" s="5"/>
      <c r="B125" s="6"/>
      <c r="C125" s="20">
        <f>IFERROR(VLOOKUP(B125,ชื่อสินค้า!A:C,3,FALSE),)</f>
        <v>0</v>
      </c>
      <c r="D125" s="8" t="str">
        <f>IFERROR(VLOOKUP(B125,ชื่อสินค้า!A:D,4,FALSE),"")</f>
        <v/>
      </c>
      <c r="E125" s="9"/>
      <c r="F125" s="21" t="str">
        <f t="shared" si="5"/>
        <v/>
      </c>
      <c r="G125" s="22"/>
      <c r="H125" s="8">
        <f>IFERROR(VLOOKUP(G125,ซื้อสินค้า!H:I,2,FALSE),)</f>
        <v>0</v>
      </c>
      <c r="I125" s="21">
        <f>IFERROR(VLOOKUP(G125,ซื้อสินค้า!H:J,3,FALSE),)</f>
        <v>0</v>
      </c>
      <c r="J125" s="21">
        <f t="shared" si="6"/>
        <v>0</v>
      </c>
      <c r="K125" s="21">
        <f t="shared" si="7"/>
        <v>0</v>
      </c>
      <c r="L125" s="12">
        <f t="shared" si="8"/>
        <v>0</v>
      </c>
      <c r="M125" s="21">
        <f t="shared" si="9"/>
        <v>0</v>
      </c>
      <c r="N125" s="9" t="str">
        <f ca="1">IFERROR(__xludf.DUMMYFUNCTION("IF(G125&lt;&gt;"""",G125, IFERROR(TRANSPOSE(FILTER('ซื้อสินค้า'!H:H,'ซื้อสินค้า'!B:B=B125,'ซื้อสินค้า'!I:I&gt;0)),))"),"")</f>
        <v/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>
      <c r="A126" s="5"/>
      <c r="B126" s="6"/>
      <c r="C126" s="20">
        <f>IFERROR(VLOOKUP(B126,ชื่อสินค้า!A:C,3,FALSE),)</f>
        <v>0</v>
      </c>
      <c r="D126" s="8" t="str">
        <f>IFERROR(VLOOKUP(B126,ชื่อสินค้า!A:D,4,FALSE),"")</f>
        <v/>
      </c>
      <c r="E126" s="9"/>
      <c r="F126" s="21" t="str">
        <f t="shared" si="5"/>
        <v/>
      </c>
      <c r="G126" s="22"/>
      <c r="H126" s="8">
        <f>IFERROR(VLOOKUP(G126,ซื้อสินค้า!H:I,2,FALSE),)</f>
        <v>0</v>
      </c>
      <c r="I126" s="21">
        <f>IFERROR(VLOOKUP(G126,ซื้อสินค้า!H:J,3,FALSE),)</f>
        <v>0</v>
      </c>
      <c r="J126" s="21">
        <f t="shared" si="6"/>
        <v>0</v>
      </c>
      <c r="K126" s="21">
        <f t="shared" si="7"/>
        <v>0</v>
      </c>
      <c r="L126" s="12">
        <f t="shared" si="8"/>
        <v>0</v>
      </c>
      <c r="M126" s="21">
        <f t="shared" si="9"/>
        <v>0</v>
      </c>
      <c r="N126" s="9" t="str">
        <f ca="1">IFERROR(__xludf.DUMMYFUNCTION("IF(G126&lt;&gt;"""",G126, IFERROR(TRANSPOSE(FILTER('ซื้อสินค้า'!H:H,'ซื้อสินค้า'!B:B=B126,'ซื้อสินค้า'!I:I&gt;0)),))"),"")</f>
        <v/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>
      <c r="A127" s="5"/>
      <c r="B127" s="6"/>
      <c r="C127" s="20">
        <f>IFERROR(VLOOKUP(B127,ชื่อสินค้า!A:C,3,FALSE),)</f>
        <v>0</v>
      </c>
      <c r="D127" s="8" t="str">
        <f>IFERROR(VLOOKUP(B127,ชื่อสินค้า!A:D,4,FALSE),"")</f>
        <v/>
      </c>
      <c r="E127" s="9"/>
      <c r="F127" s="21" t="str">
        <f t="shared" si="5"/>
        <v/>
      </c>
      <c r="G127" s="22"/>
      <c r="H127" s="8">
        <f>IFERROR(VLOOKUP(G127,ซื้อสินค้า!H:I,2,FALSE),)</f>
        <v>0</v>
      </c>
      <c r="I127" s="21">
        <f>IFERROR(VLOOKUP(G127,ซื้อสินค้า!H:J,3,FALSE),)</f>
        <v>0</v>
      </c>
      <c r="J127" s="21">
        <f t="shared" si="6"/>
        <v>0</v>
      </c>
      <c r="K127" s="21">
        <f t="shared" si="7"/>
        <v>0</v>
      </c>
      <c r="L127" s="12">
        <f t="shared" si="8"/>
        <v>0</v>
      </c>
      <c r="M127" s="21">
        <f t="shared" si="9"/>
        <v>0</v>
      </c>
      <c r="N127" s="9" t="str">
        <f ca="1">IFERROR(__xludf.DUMMYFUNCTION("IF(G127&lt;&gt;"""",G127, IFERROR(TRANSPOSE(FILTER('ซื้อสินค้า'!H:H,'ซื้อสินค้า'!B:B=B127,'ซื้อสินค้า'!I:I&gt;0)),))"),"")</f>
        <v/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>
      <c r="A128" s="5"/>
      <c r="B128" s="6"/>
      <c r="C128" s="20">
        <f>IFERROR(VLOOKUP(B128,ชื่อสินค้า!A:C,3,FALSE),)</f>
        <v>0</v>
      </c>
      <c r="D128" s="8" t="str">
        <f>IFERROR(VLOOKUP(B128,ชื่อสินค้า!A:D,4,FALSE),"")</f>
        <v/>
      </c>
      <c r="E128" s="9"/>
      <c r="F128" s="21" t="str">
        <f t="shared" si="5"/>
        <v/>
      </c>
      <c r="G128" s="22"/>
      <c r="H128" s="8">
        <f>IFERROR(VLOOKUP(G128,ซื้อสินค้า!H:I,2,FALSE),)</f>
        <v>0</v>
      </c>
      <c r="I128" s="21">
        <f>IFERROR(VLOOKUP(G128,ซื้อสินค้า!H:J,3,FALSE),)</f>
        <v>0</v>
      </c>
      <c r="J128" s="21">
        <f t="shared" si="6"/>
        <v>0</v>
      </c>
      <c r="K128" s="21">
        <f t="shared" si="7"/>
        <v>0</v>
      </c>
      <c r="L128" s="12">
        <f t="shared" si="8"/>
        <v>0</v>
      </c>
      <c r="M128" s="21">
        <f t="shared" si="9"/>
        <v>0</v>
      </c>
      <c r="N128" s="9" t="str">
        <f ca="1">IFERROR(__xludf.DUMMYFUNCTION("IF(G128&lt;&gt;"""",G128, IFERROR(TRANSPOSE(FILTER('ซื้อสินค้า'!H:H,'ซื้อสินค้า'!B:B=B128,'ซื้อสินค้า'!I:I&gt;0)),))"),"")</f>
        <v/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>
      <c r="A129" s="5"/>
      <c r="B129" s="6"/>
      <c r="C129" s="20">
        <f>IFERROR(VLOOKUP(B129,ชื่อสินค้า!A:C,3,FALSE),)</f>
        <v>0</v>
      </c>
      <c r="D129" s="8" t="str">
        <f>IFERROR(VLOOKUP(B129,ชื่อสินค้า!A:D,4,FALSE),"")</f>
        <v/>
      </c>
      <c r="E129" s="9"/>
      <c r="F129" s="21" t="str">
        <f t="shared" si="5"/>
        <v/>
      </c>
      <c r="G129" s="22"/>
      <c r="H129" s="8">
        <f>IFERROR(VLOOKUP(G129,ซื้อสินค้า!H:I,2,FALSE),)</f>
        <v>0</v>
      </c>
      <c r="I129" s="21">
        <f>IFERROR(VLOOKUP(G129,ซื้อสินค้า!H:J,3,FALSE),)</f>
        <v>0</v>
      </c>
      <c r="J129" s="21">
        <f t="shared" si="6"/>
        <v>0</v>
      </c>
      <c r="K129" s="21">
        <f t="shared" si="7"/>
        <v>0</v>
      </c>
      <c r="L129" s="12">
        <f t="shared" si="8"/>
        <v>0</v>
      </c>
      <c r="M129" s="21">
        <f t="shared" si="9"/>
        <v>0</v>
      </c>
      <c r="N129" s="9" t="str">
        <f ca="1">IFERROR(__xludf.DUMMYFUNCTION("IF(G129&lt;&gt;"""",G129, IFERROR(TRANSPOSE(FILTER('ซื้อสินค้า'!H:H,'ซื้อสินค้า'!B:B=B129,'ซื้อสินค้า'!I:I&gt;0)),))"),"")</f>
        <v/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>
      <c r="A130" s="5"/>
      <c r="B130" s="6"/>
      <c r="C130" s="20">
        <f>IFERROR(VLOOKUP(B130,ชื่อสินค้า!A:C,3,FALSE),)</f>
        <v>0</v>
      </c>
      <c r="D130" s="8" t="str">
        <f>IFERROR(VLOOKUP(B130,ชื่อสินค้า!A:D,4,FALSE),"")</f>
        <v/>
      </c>
      <c r="E130" s="9"/>
      <c r="F130" s="21" t="str">
        <f t="shared" si="5"/>
        <v/>
      </c>
      <c r="G130" s="22"/>
      <c r="H130" s="8">
        <f>IFERROR(VLOOKUP(G130,ซื้อสินค้า!H:I,2,FALSE),)</f>
        <v>0</v>
      </c>
      <c r="I130" s="21">
        <f>IFERROR(VLOOKUP(G130,ซื้อสินค้า!H:J,3,FALSE),)</f>
        <v>0</v>
      </c>
      <c r="J130" s="21">
        <f t="shared" si="6"/>
        <v>0</v>
      </c>
      <c r="K130" s="21">
        <f t="shared" si="7"/>
        <v>0</v>
      </c>
      <c r="L130" s="12">
        <f t="shared" si="8"/>
        <v>0</v>
      </c>
      <c r="M130" s="21">
        <f t="shared" si="9"/>
        <v>0</v>
      </c>
      <c r="N130" s="9" t="str">
        <f ca="1">IFERROR(__xludf.DUMMYFUNCTION("IF(G130&lt;&gt;"""",G130, IFERROR(TRANSPOSE(FILTER('ซื้อสินค้า'!H:H,'ซื้อสินค้า'!B:B=B130,'ซื้อสินค้า'!I:I&gt;0)),))"),"")</f>
        <v/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spans="1:32">
      <c r="A131" s="5"/>
      <c r="B131" s="6"/>
      <c r="C131" s="20">
        <f>IFERROR(VLOOKUP(B131,ชื่อสินค้า!A:C,3,FALSE),)</f>
        <v>0</v>
      </c>
      <c r="D131" s="8" t="str">
        <f>IFERROR(VLOOKUP(B131,ชื่อสินค้า!A:D,4,FALSE),"")</f>
        <v/>
      </c>
      <c r="E131" s="9"/>
      <c r="F131" s="21" t="str">
        <f t="shared" si="5"/>
        <v/>
      </c>
      <c r="G131" s="22"/>
      <c r="H131" s="8">
        <f>IFERROR(VLOOKUP(G131,ซื้อสินค้า!H:I,2,FALSE),)</f>
        <v>0</v>
      </c>
      <c r="I131" s="21">
        <f>IFERROR(VLOOKUP(G131,ซื้อสินค้า!H:J,3,FALSE),)</f>
        <v>0</v>
      </c>
      <c r="J131" s="21">
        <f t="shared" si="6"/>
        <v>0</v>
      </c>
      <c r="K131" s="21">
        <f t="shared" si="7"/>
        <v>0</v>
      </c>
      <c r="L131" s="12">
        <f t="shared" si="8"/>
        <v>0</v>
      </c>
      <c r="M131" s="21">
        <f t="shared" si="9"/>
        <v>0</v>
      </c>
      <c r="N131" s="9" t="str">
        <f ca="1">IFERROR(__xludf.DUMMYFUNCTION("IF(G131&lt;&gt;"""",G131, IFERROR(TRANSPOSE(FILTER('ซื้อสินค้า'!H:H,'ซื้อสินค้า'!B:B=B131,'ซื้อสินค้า'!I:I&gt;0)),))"),"")</f>
        <v/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spans="1:32">
      <c r="A132" s="5"/>
      <c r="B132" s="6"/>
      <c r="C132" s="20">
        <f>IFERROR(VLOOKUP(B132,ชื่อสินค้า!A:C,3,FALSE),)</f>
        <v>0</v>
      </c>
      <c r="D132" s="8" t="str">
        <f>IFERROR(VLOOKUP(B132,ชื่อสินค้า!A:D,4,FALSE),"")</f>
        <v/>
      </c>
      <c r="E132" s="9"/>
      <c r="F132" s="21" t="str">
        <f t="shared" si="5"/>
        <v/>
      </c>
      <c r="G132" s="22"/>
      <c r="H132" s="8">
        <f>IFERROR(VLOOKUP(G132,ซื้อสินค้า!H:I,2,FALSE),)</f>
        <v>0</v>
      </c>
      <c r="I132" s="21">
        <f>IFERROR(VLOOKUP(G132,ซื้อสินค้า!H:J,3,FALSE),)</f>
        <v>0</v>
      </c>
      <c r="J132" s="21">
        <f t="shared" si="6"/>
        <v>0</v>
      </c>
      <c r="K132" s="21">
        <f t="shared" si="7"/>
        <v>0</v>
      </c>
      <c r="L132" s="12">
        <f t="shared" si="8"/>
        <v>0</v>
      </c>
      <c r="M132" s="21">
        <f t="shared" si="9"/>
        <v>0</v>
      </c>
      <c r="N132" s="9" t="str">
        <f ca="1">IFERROR(__xludf.DUMMYFUNCTION("IF(G132&lt;&gt;"""",G132, IFERROR(TRANSPOSE(FILTER('ซื้อสินค้า'!H:H,'ซื้อสินค้า'!B:B=B132,'ซื้อสินค้า'!I:I&gt;0)),))"),"")</f>
        <v/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spans="1:32">
      <c r="A133" s="5"/>
      <c r="B133" s="6"/>
      <c r="C133" s="20">
        <f>IFERROR(VLOOKUP(B133,ชื่อสินค้า!A:C,3,FALSE),)</f>
        <v>0</v>
      </c>
      <c r="D133" s="8" t="str">
        <f>IFERROR(VLOOKUP(B133,ชื่อสินค้า!A:D,4,FALSE),"")</f>
        <v/>
      </c>
      <c r="E133" s="9"/>
      <c r="F133" s="21" t="str">
        <f t="shared" si="5"/>
        <v/>
      </c>
      <c r="G133" s="22"/>
      <c r="H133" s="8">
        <f>IFERROR(VLOOKUP(G133,ซื้อสินค้า!H:I,2,FALSE),)</f>
        <v>0</v>
      </c>
      <c r="I133" s="21">
        <f>IFERROR(VLOOKUP(G133,ซื้อสินค้า!H:J,3,FALSE),)</f>
        <v>0</v>
      </c>
      <c r="J133" s="21">
        <f t="shared" si="6"/>
        <v>0</v>
      </c>
      <c r="K133" s="21">
        <f t="shared" si="7"/>
        <v>0</v>
      </c>
      <c r="L133" s="12">
        <f t="shared" si="8"/>
        <v>0</v>
      </c>
      <c r="M133" s="21">
        <f t="shared" si="9"/>
        <v>0</v>
      </c>
      <c r="N133" s="9" t="str">
        <f ca="1">IFERROR(__xludf.DUMMYFUNCTION("IF(G133&lt;&gt;"""",G133, IFERROR(TRANSPOSE(FILTER('ซื้อสินค้า'!H:H,'ซื้อสินค้า'!B:B=B133,'ซื้อสินค้า'!I:I&gt;0)),))"),"")</f>
        <v/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spans="1:32">
      <c r="A134" s="5"/>
      <c r="B134" s="6"/>
      <c r="C134" s="20">
        <f>IFERROR(VLOOKUP(B134,ชื่อสินค้า!A:C,3,FALSE),)</f>
        <v>0</v>
      </c>
      <c r="D134" s="8" t="str">
        <f>IFERROR(VLOOKUP(B134,ชื่อสินค้า!A:D,4,FALSE),"")</f>
        <v/>
      </c>
      <c r="E134" s="9"/>
      <c r="F134" s="21" t="str">
        <f t="shared" si="5"/>
        <v/>
      </c>
      <c r="G134" s="22"/>
      <c r="H134" s="8">
        <f>IFERROR(VLOOKUP(G134,ซื้อสินค้า!H:I,2,FALSE),)</f>
        <v>0</v>
      </c>
      <c r="I134" s="21">
        <f>IFERROR(VLOOKUP(G134,ซื้อสินค้า!H:J,3,FALSE),)</f>
        <v>0</v>
      </c>
      <c r="J134" s="21">
        <f t="shared" si="6"/>
        <v>0</v>
      </c>
      <c r="K134" s="21">
        <f t="shared" si="7"/>
        <v>0</v>
      </c>
      <c r="L134" s="12">
        <f t="shared" si="8"/>
        <v>0</v>
      </c>
      <c r="M134" s="21">
        <f t="shared" si="9"/>
        <v>0</v>
      </c>
      <c r="N134" s="9" t="str">
        <f ca="1">IFERROR(__xludf.DUMMYFUNCTION("IF(G134&lt;&gt;"""",G134, IFERROR(TRANSPOSE(FILTER('ซื้อสินค้า'!H:H,'ซื้อสินค้า'!B:B=B134,'ซื้อสินค้า'!I:I&gt;0)),))"),"")</f>
        <v/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spans="1:32">
      <c r="A135" s="5"/>
      <c r="B135" s="6"/>
      <c r="C135" s="20">
        <f>IFERROR(VLOOKUP(B135,ชื่อสินค้า!A:C,3,FALSE),)</f>
        <v>0</v>
      </c>
      <c r="D135" s="8" t="str">
        <f>IFERROR(VLOOKUP(B135,ชื่อสินค้า!A:D,4,FALSE),"")</f>
        <v/>
      </c>
      <c r="E135" s="9"/>
      <c r="F135" s="21" t="str">
        <f t="shared" si="5"/>
        <v/>
      </c>
      <c r="G135" s="22"/>
      <c r="H135" s="8">
        <f>IFERROR(VLOOKUP(G135,ซื้อสินค้า!H:I,2,FALSE),)</f>
        <v>0</v>
      </c>
      <c r="I135" s="21">
        <f>IFERROR(VLOOKUP(G135,ซื้อสินค้า!H:J,3,FALSE),)</f>
        <v>0</v>
      </c>
      <c r="J135" s="21">
        <f t="shared" si="6"/>
        <v>0</v>
      </c>
      <c r="K135" s="21">
        <f t="shared" si="7"/>
        <v>0</v>
      </c>
      <c r="L135" s="12">
        <f t="shared" si="8"/>
        <v>0</v>
      </c>
      <c r="M135" s="21">
        <f t="shared" si="9"/>
        <v>0</v>
      </c>
      <c r="N135" s="9" t="str">
        <f ca="1">IFERROR(__xludf.DUMMYFUNCTION("IF(G135&lt;&gt;"""",G135, IFERROR(TRANSPOSE(FILTER('ซื้อสินค้า'!H:H,'ซื้อสินค้า'!B:B=B135,'ซื้อสินค้า'!I:I&gt;0)),))"),"")</f>
        <v/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spans="1:32">
      <c r="A136" s="5"/>
      <c r="B136" s="6"/>
      <c r="C136" s="20">
        <f>IFERROR(VLOOKUP(B136,ชื่อสินค้า!A:C,3,FALSE),)</f>
        <v>0</v>
      </c>
      <c r="D136" s="8" t="str">
        <f>IFERROR(VLOOKUP(B136,ชื่อสินค้า!A:D,4,FALSE),"")</f>
        <v/>
      </c>
      <c r="E136" s="9"/>
      <c r="F136" s="21" t="str">
        <f t="shared" si="5"/>
        <v/>
      </c>
      <c r="G136" s="22"/>
      <c r="H136" s="8">
        <f>IFERROR(VLOOKUP(G136,ซื้อสินค้า!H:I,2,FALSE),)</f>
        <v>0</v>
      </c>
      <c r="I136" s="21">
        <f>IFERROR(VLOOKUP(G136,ซื้อสินค้า!H:J,3,FALSE),)</f>
        <v>0</v>
      </c>
      <c r="J136" s="21">
        <f t="shared" si="6"/>
        <v>0</v>
      </c>
      <c r="K136" s="21">
        <f t="shared" si="7"/>
        <v>0</v>
      </c>
      <c r="L136" s="12">
        <f t="shared" si="8"/>
        <v>0</v>
      </c>
      <c r="M136" s="21">
        <f t="shared" si="9"/>
        <v>0</v>
      </c>
      <c r="N136" s="9" t="str">
        <f ca="1">IFERROR(__xludf.DUMMYFUNCTION("IF(G136&lt;&gt;"""",G136, IFERROR(TRANSPOSE(FILTER('ซื้อสินค้า'!H:H,'ซื้อสินค้า'!B:B=B136,'ซื้อสินค้า'!I:I&gt;0)),))"),"")</f>
        <v/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>
      <c r="A137" s="5"/>
      <c r="B137" s="6"/>
      <c r="C137" s="20">
        <f>IFERROR(VLOOKUP(B137,ชื่อสินค้า!A:C,3,FALSE),)</f>
        <v>0</v>
      </c>
      <c r="D137" s="8" t="str">
        <f>IFERROR(VLOOKUP(B137,ชื่อสินค้า!A:D,4,FALSE),"")</f>
        <v/>
      </c>
      <c r="E137" s="9"/>
      <c r="F137" s="21" t="str">
        <f t="shared" si="5"/>
        <v/>
      </c>
      <c r="G137" s="22"/>
      <c r="H137" s="8">
        <f>IFERROR(VLOOKUP(G137,ซื้อสินค้า!H:I,2,FALSE),)</f>
        <v>0</v>
      </c>
      <c r="I137" s="21">
        <f>IFERROR(VLOOKUP(G137,ซื้อสินค้า!H:J,3,FALSE),)</f>
        <v>0</v>
      </c>
      <c r="J137" s="21">
        <f t="shared" si="6"/>
        <v>0</v>
      </c>
      <c r="K137" s="21">
        <f t="shared" si="7"/>
        <v>0</v>
      </c>
      <c r="L137" s="12">
        <f t="shared" si="8"/>
        <v>0</v>
      </c>
      <c r="M137" s="21">
        <f t="shared" si="9"/>
        <v>0</v>
      </c>
      <c r="N137" s="9" t="str">
        <f ca="1">IFERROR(__xludf.DUMMYFUNCTION("IF(G137&lt;&gt;"""",G137, IFERROR(TRANSPOSE(FILTER('ซื้อสินค้า'!H:H,'ซื้อสินค้า'!B:B=B137,'ซื้อสินค้า'!I:I&gt;0)),))"),"")</f>
        <v/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spans="1:32">
      <c r="A138" s="5"/>
      <c r="B138" s="6"/>
      <c r="C138" s="20">
        <f>IFERROR(VLOOKUP(B138,ชื่อสินค้า!A:C,3,FALSE),)</f>
        <v>0</v>
      </c>
      <c r="D138" s="8" t="str">
        <f>IFERROR(VLOOKUP(B138,ชื่อสินค้า!A:D,4,FALSE),"")</f>
        <v/>
      </c>
      <c r="E138" s="9"/>
      <c r="F138" s="21" t="str">
        <f t="shared" si="5"/>
        <v/>
      </c>
      <c r="G138" s="22"/>
      <c r="H138" s="8">
        <f>IFERROR(VLOOKUP(G138,ซื้อสินค้า!H:I,2,FALSE),)</f>
        <v>0</v>
      </c>
      <c r="I138" s="21">
        <f>IFERROR(VLOOKUP(G138,ซื้อสินค้า!H:J,3,FALSE),)</f>
        <v>0</v>
      </c>
      <c r="J138" s="21">
        <f t="shared" si="6"/>
        <v>0</v>
      </c>
      <c r="K138" s="21">
        <f t="shared" si="7"/>
        <v>0</v>
      </c>
      <c r="L138" s="12">
        <f t="shared" si="8"/>
        <v>0</v>
      </c>
      <c r="M138" s="21">
        <f t="shared" si="9"/>
        <v>0</v>
      </c>
      <c r="N138" s="9" t="str">
        <f ca="1">IFERROR(__xludf.DUMMYFUNCTION("IF(G138&lt;&gt;"""",G138, IFERROR(TRANSPOSE(FILTER('ซื้อสินค้า'!H:H,'ซื้อสินค้า'!B:B=B138,'ซื้อสินค้า'!I:I&gt;0)),))"),"")</f>
        <v/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spans="1:32">
      <c r="A139" s="5"/>
      <c r="B139" s="6"/>
      <c r="C139" s="20">
        <f>IFERROR(VLOOKUP(B139,ชื่อสินค้า!A:C,3,FALSE),)</f>
        <v>0</v>
      </c>
      <c r="D139" s="8" t="str">
        <f>IFERROR(VLOOKUP(B139,ชื่อสินค้า!A:D,4,FALSE),"")</f>
        <v/>
      </c>
      <c r="E139" s="9"/>
      <c r="F139" s="21" t="str">
        <f t="shared" si="5"/>
        <v/>
      </c>
      <c r="G139" s="22"/>
      <c r="H139" s="8">
        <f>IFERROR(VLOOKUP(G139,ซื้อสินค้า!H:I,2,FALSE),)</f>
        <v>0</v>
      </c>
      <c r="I139" s="21">
        <f>IFERROR(VLOOKUP(G139,ซื้อสินค้า!H:J,3,FALSE),)</f>
        <v>0</v>
      </c>
      <c r="J139" s="21">
        <f t="shared" si="6"/>
        <v>0</v>
      </c>
      <c r="K139" s="21">
        <f t="shared" si="7"/>
        <v>0</v>
      </c>
      <c r="L139" s="12">
        <f t="shared" si="8"/>
        <v>0</v>
      </c>
      <c r="M139" s="21">
        <f t="shared" si="9"/>
        <v>0</v>
      </c>
      <c r="N139" s="9" t="str">
        <f ca="1">IFERROR(__xludf.DUMMYFUNCTION("IF(G139&lt;&gt;"""",G139, IFERROR(TRANSPOSE(FILTER('ซื้อสินค้า'!H:H,'ซื้อสินค้า'!B:B=B139,'ซื้อสินค้า'!I:I&gt;0)),))"),"")</f>
        <v/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spans="1:32">
      <c r="A140" s="5"/>
      <c r="B140" s="6"/>
      <c r="C140" s="20">
        <f>IFERROR(VLOOKUP(B140,ชื่อสินค้า!A:C,3,FALSE),)</f>
        <v>0</v>
      </c>
      <c r="D140" s="8" t="str">
        <f>IFERROR(VLOOKUP(B140,ชื่อสินค้า!A:D,4,FALSE),"")</f>
        <v/>
      </c>
      <c r="E140" s="9"/>
      <c r="F140" s="21" t="str">
        <f t="shared" si="5"/>
        <v/>
      </c>
      <c r="G140" s="22"/>
      <c r="H140" s="8">
        <f>IFERROR(VLOOKUP(G140,ซื้อสินค้า!H:I,2,FALSE),)</f>
        <v>0</v>
      </c>
      <c r="I140" s="21">
        <f>IFERROR(VLOOKUP(G140,ซื้อสินค้า!H:J,3,FALSE),)</f>
        <v>0</v>
      </c>
      <c r="J140" s="21">
        <f t="shared" si="6"/>
        <v>0</v>
      </c>
      <c r="K140" s="21">
        <f t="shared" si="7"/>
        <v>0</v>
      </c>
      <c r="L140" s="12">
        <f t="shared" si="8"/>
        <v>0</v>
      </c>
      <c r="M140" s="21">
        <f t="shared" si="9"/>
        <v>0</v>
      </c>
      <c r="N140" s="9" t="str">
        <f ca="1">IFERROR(__xludf.DUMMYFUNCTION("IF(G140&lt;&gt;"""",G140, IFERROR(TRANSPOSE(FILTER('ซื้อสินค้า'!H:H,'ซื้อสินค้า'!B:B=B140,'ซื้อสินค้า'!I:I&gt;0)),))"),"")</f>
        <v/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>
      <c r="A141" s="5"/>
      <c r="B141" s="6"/>
      <c r="C141" s="20">
        <f>IFERROR(VLOOKUP(B141,ชื่อสินค้า!A:C,3,FALSE),)</f>
        <v>0</v>
      </c>
      <c r="D141" s="8" t="str">
        <f>IFERROR(VLOOKUP(B141,ชื่อสินค้า!A:D,4,FALSE),"")</f>
        <v/>
      </c>
      <c r="E141" s="9"/>
      <c r="F141" s="21" t="str">
        <f t="shared" si="5"/>
        <v/>
      </c>
      <c r="G141" s="22"/>
      <c r="H141" s="8">
        <f>IFERROR(VLOOKUP(G141,ซื้อสินค้า!H:I,2,FALSE),)</f>
        <v>0</v>
      </c>
      <c r="I141" s="21">
        <f>IFERROR(VLOOKUP(G141,ซื้อสินค้า!H:J,3,FALSE),)</f>
        <v>0</v>
      </c>
      <c r="J141" s="21">
        <f t="shared" si="6"/>
        <v>0</v>
      </c>
      <c r="K141" s="21">
        <f t="shared" si="7"/>
        <v>0</v>
      </c>
      <c r="L141" s="12">
        <f t="shared" si="8"/>
        <v>0</v>
      </c>
      <c r="M141" s="21">
        <f t="shared" si="9"/>
        <v>0</v>
      </c>
      <c r="N141" s="9" t="str">
        <f ca="1">IFERROR(__xludf.DUMMYFUNCTION("IF(G141&lt;&gt;"""",G141, IFERROR(TRANSPOSE(FILTER('ซื้อสินค้า'!H:H,'ซื้อสินค้า'!B:B=B141,'ซื้อสินค้า'!I:I&gt;0)),))"),"")</f>
        <v/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spans="1:32">
      <c r="A142" s="5"/>
      <c r="B142" s="6"/>
      <c r="C142" s="20">
        <f>IFERROR(VLOOKUP(B142,ชื่อสินค้า!A:C,3,FALSE),)</f>
        <v>0</v>
      </c>
      <c r="D142" s="8" t="str">
        <f>IFERROR(VLOOKUP(B142,ชื่อสินค้า!A:D,4,FALSE),"")</f>
        <v/>
      </c>
      <c r="E142" s="9"/>
      <c r="F142" s="21" t="str">
        <f t="shared" si="5"/>
        <v/>
      </c>
      <c r="G142" s="22"/>
      <c r="H142" s="8">
        <f>IFERROR(VLOOKUP(G142,ซื้อสินค้า!H:I,2,FALSE),)</f>
        <v>0</v>
      </c>
      <c r="I142" s="21">
        <f>IFERROR(VLOOKUP(G142,ซื้อสินค้า!H:J,3,FALSE),)</f>
        <v>0</v>
      </c>
      <c r="J142" s="21">
        <f t="shared" si="6"/>
        <v>0</v>
      </c>
      <c r="K142" s="21">
        <f t="shared" si="7"/>
        <v>0</v>
      </c>
      <c r="L142" s="12">
        <f t="shared" si="8"/>
        <v>0</v>
      </c>
      <c r="M142" s="21">
        <f t="shared" si="9"/>
        <v>0</v>
      </c>
      <c r="N142" s="9" t="str">
        <f ca="1">IFERROR(__xludf.DUMMYFUNCTION("IF(G142&lt;&gt;"""",G142, IFERROR(TRANSPOSE(FILTER('ซื้อสินค้า'!H:H,'ซื้อสินค้า'!B:B=B142,'ซื้อสินค้า'!I:I&gt;0)),))"),"")</f>
        <v/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spans="1:32">
      <c r="A143" s="5"/>
      <c r="B143" s="6"/>
      <c r="C143" s="20">
        <f>IFERROR(VLOOKUP(B143,ชื่อสินค้า!A:C,3,FALSE),)</f>
        <v>0</v>
      </c>
      <c r="D143" s="8" t="str">
        <f>IFERROR(VLOOKUP(B143,ชื่อสินค้า!A:D,4,FALSE),"")</f>
        <v/>
      </c>
      <c r="E143" s="9"/>
      <c r="F143" s="21" t="str">
        <f t="shared" si="5"/>
        <v/>
      </c>
      <c r="G143" s="22"/>
      <c r="H143" s="8">
        <f>IFERROR(VLOOKUP(G143,ซื้อสินค้า!H:I,2,FALSE),)</f>
        <v>0</v>
      </c>
      <c r="I143" s="21">
        <f>IFERROR(VLOOKUP(G143,ซื้อสินค้า!H:J,3,FALSE),)</f>
        <v>0</v>
      </c>
      <c r="J143" s="21">
        <f t="shared" si="6"/>
        <v>0</v>
      </c>
      <c r="K143" s="21">
        <f t="shared" si="7"/>
        <v>0</v>
      </c>
      <c r="L143" s="12">
        <f t="shared" si="8"/>
        <v>0</v>
      </c>
      <c r="M143" s="21">
        <f t="shared" si="9"/>
        <v>0</v>
      </c>
      <c r="N143" s="9" t="str">
        <f ca="1">IFERROR(__xludf.DUMMYFUNCTION("IF(G143&lt;&gt;"""",G143, IFERROR(TRANSPOSE(FILTER('ซื้อสินค้า'!H:H,'ซื้อสินค้า'!B:B=B143,'ซื้อสินค้า'!I:I&gt;0)),))"),"")</f>
        <v/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>
      <c r="A144" s="5"/>
      <c r="B144" s="6"/>
      <c r="C144" s="20">
        <f>IFERROR(VLOOKUP(B144,ชื่อสินค้า!A:C,3,FALSE),)</f>
        <v>0</v>
      </c>
      <c r="D144" s="8" t="str">
        <f>IFERROR(VLOOKUP(B144,ชื่อสินค้า!A:D,4,FALSE),"")</f>
        <v/>
      </c>
      <c r="E144" s="9"/>
      <c r="F144" s="21" t="str">
        <f t="shared" si="5"/>
        <v/>
      </c>
      <c r="G144" s="22"/>
      <c r="H144" s="8">
        <f>IFERROR(VLOOKUP(G144,ซื้อสินค้า!H:I,2,FALSE),)</f>
        <v>0</v>
      </c>
      <c r="I144" s="21">
        <f>IFERROR(VLOOKUP(G144,ซื้อสินค้า!H:J,3,FALSE),)</f>
        <v>0</v>
      </c>
      <c r="J144" s="21">
        <f t="shared" si="6"/>
        <v>0</v>
      </c>
      <c r="K144" s="21">
        <f t="shared" si="7"/>
        <v>0</v>
      </c>
      <c r="L144" s="12">
        <f t="shared" si="8"/>
        <v>0</v>
      </c>
      <c r="M144" s="21">
        <f t="shared" si="9"/>
        <v>0</v>
      </c>
      <c r="N144" s="9" t="str">
        <f ca="1">IFERROR(__xludf.DUMMYFUNCTION("IF(G144&lt;&gt;"""",G144, IFERROR(TRANSPOSE(FILTER('ซื้อสินค้า'!H:H,'ซื้อสินค้า'!B:B=B144,'ซื้อสินค้า'!I:I&gt;0)),))"),"")</f>
        <v/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>
      <c r="A145" s="5"/>
      <c r="B145" s="6"/>
      <c r="C145" s="20">
        <f>IFERROR(VLOOKUP(B145,ชื่อสินค้า!A:C,3,FALSE),)</f>
        <v>0</v>
      </c>
      <c r="D145" s="8" t="str">
        <f>IFERROR(VLOOKUP(B145,ชื่อสินค้า!A:D,4,FALSE),"")</f>
        <v/>
      </c>
      <c r="E145" s="9"/>
      <c r="F145" s="21" t="str">
        <f t="shared" si="5"/>
        <v/>
      </c>
      <c r="G145" s="22"/>
      <c r="H145" s="8">
        <f>IFERROR(VLOOKUP(G145,ซื้อสินค้า!H:I,2,FALSE),)</f>
        <v>0</v>
      </c>
      <c r="I145" s="21">
        <f>IFERROR(VLOOKUP(G145,ซื้อสินค้า!H:J,3,FALSE),)</f>
        <v>0</v>
      </c>
      <c r="J145" s="21">
        <f t="shared" si="6"/>
        <v>0</v>
      </c>
      <c r="K145" s="21">
        <f t="shared" si="7"/>
        <v>0</v>
      </c>
      <c r="L145" s="12">
        <f t="shared" si="8"/>
        <v>0</v>
      </c>
      <c r="M145" s="21">
        <f t="shared" si="9"/>
        <v>0</v>
      </c>
      <c r="N145" s="9" t="str">
        <f ca="1">IFERROR(__xludf.DUMMYFUNCTION("IF(G145&lt;&gt;"""",G145, IFERROR(TRANSPOSE(FILTER('ซื้อสินค้า'!H:H,'ซื้อสินค้า'!B:B=B145,'ซื้อสินค้า'!I:I&gt;0)),))"),"")</f>
        <v/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spans="1:32">
      <c r="A146" s="5"/>
      <c r="B146" s="6"/>
      <c r="C146" s="20">
        <f>IFERROR(VLOOKUP(B146,ชื่อสินค้า!A:C,3,FALSE),)</f>
        <v>0</v>
      </c>
      <c r="D146" s="8" t="str">
        <f>IFERROR(VLOOKUP(B146,ชื่อสินค้า!A:D,4,FALSE),"")</f>
        <v/>
      </c>
      <c r="E146" s="9"/>
      <c r="F146" s="21" t="str">
        <f t="shared" si="5"/>
        <v/>
      </c>
      <c r="G146" s="22"/>
      <c r="H146" s="8">
        <f>IFERROR(VLOOKUP(G146,ซื้อสินค้า!H:I,2,FALSE),)</f>
        <v>0</v>
      </c>
      <c r="I146" s="21">
        <f>IFERROR(VLOOKUP(G146,ซื้อสินค้า!H:J,3,FALSE),)</f>
        <v>0</v>
      </c>
      <c r="J146" s="21">
        <f t="shared" si="6"/>
        <v>0</v>
      </c>
      <c r="K146" s="21">
        <f t="shared" si="7"/>
        <v>0</v>
      </c>
      <c r="L146" s="12">
        <f t="shared" si="8"/>
        <v>0</v>
      </c>
      <c r="M146" s="21">
        <f t="shared" si="9"/>
        <v>0</v>
      </c>
      <c r="N146" s="9" t="str">
        <f ca="1">IFERROR(__xludf.DUMMYFUNCTION("IF(G146&lt;&gt;"""",G146, IFERROR(TRANSPOSE(FILTER('ซื้อสินค้า'!H:H,'ซื้อสินค้า'!B:B=B146,'ซื้อสินค้า'!I:I&gt;0)),))"),"")</f>
        <v/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spans="1:32">
      <c r="A147" s="5"/>
      <c r="B147" s="6"/>
      <c r="C147" s="20">
        <f>IFERROR(VLOOKUP(B147,ชื่อสินค้า!A:C,3,FALSE),)</f>
        <v>0</v>
      </c>
      <c r="D147" s="8" t="str">
        <f>IFERROR(VLOOKUP(B147,ชื่อสินค้า!A:D,4,FALSE),"")</f>
        <v/>
      </c>
      <c r="E147" s="9"/>
      <c r="F147" s="21" t="str">
        <f t="shared" si="5"/>
        <v/>
      </c>
      <c r="G147" s="22"/>
      <c r="H147" s="8">
        <f>IFERROR(VLOOKUP(G147,ซื้อสินค้า!H:I,2,FALSE),)</f>
        <v>0</v>
      </c>
      <c r="I147" s="21">
        <f>IFERROR(VLOOKUP(G147,ซื้อสินค้า!H:J,3,FALSE),)</f>
        <v>0</v>
      </c>
      <c r="J147" s="21">
        <f t="shared" si="6"/>
        <v>0</v>
      </c>
      <c r="K147" s="21">
        <f t="shared" si="7"/>
        <v>0</v>
      </c>
      <c r="L147" s="12">
        <f t="shared" si="8"/>
        <v>0</v>
      </c>
      <c r="M147" s="21">
        <f t="shared" si="9"/>
        <v>0</v>
      </c>
      <c r="N147" s="9" t="str">
        <f ca="1">IFERROR(__xludf.DUMMYFUNCTION("IF(G147&lt;&gt;"""",G147, IFERROR(TRANSPOSE(FILTER('ซื้อสินค้า'!H:H,'ซื้อสินค้า'!B:B=B147,'ซื้อสินค้า'!I:I&gt;0)),))"),"")</f>
        <v/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spans="1:32">
      <c r="A148" s="5"/>
      <c r="B148" s="6"/>
      <c r="C148" s="20">
        <f>IFERROR(VLOOKUP(B148,ชื่อสินค้า!A:C,3,FALSE),)</f>
        <v>0</v>
      </c>
      <c r="D148" s="8" t="str">
        <f>IFERROR(VLOOKUP(B148,ชื่อสินค้า!A:D,4,FALSE),"")</f>
        <v/>
      </c>
      <c r="E148" s="9"/>
      <c r="F148" s="21" t="str">
        <f t="shared" si="5"/>
        <v/>
      </c>
      <c r="G148" s="22"/>
      <c r="H148" s="8">
        <f>IFERROR(VLOOKUP(G148,ซื้อสินค้า!H:I,2,FALSE),)</f>
        <v>0</v>
      </c>
      <c r="I148" s="21">
        <f>IFERROR(VLOOKUP(G148,ซื้อสินค้า!H:J,3,FALSE),)</f>
        <v>0</v>
      </c>
      <c r="J148" s="21">
        <f t="shared" si="6"/>
        <v>0</v>
      </c>
      <c r="K148" s="21">
        <f t="shared" si="7"/>
        <v>0</v>
      </c>
      <c r="L148" s="12">
        <f t="shared" si="8"/>
        <v>0</v>
      </c>
      <c r="M148" s="21">
        <f t="shared" si="9"/>
        <v>0</v>
      </c>
      <c r="N148" s="9" t="str">
        <f ca="1">IFERROR(__xludf.DUMMYFUNCTION("IF(G148&lt;&gt;"""",G148, IFERROR(TRANSPOSE(FILTER('ซื้อสินค้า'!H:H,'ซื้อสินค้า'!B:B=B148,'ซื้อสินค้า'!I:I&gt;0)),))"),"")</f>
        <v/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spans="1:32">
      <c r="A149" s="5"/>
      <c r="B149" s="6"/>
      <c r="C149" s="20">
        <f>IFERROR(VLOOKUP(B149,ชื่อสินค้า!A:C,3,FALSE),)</f>
        <v>0</v>
      </c>
      <c r="D149" s="8" t="str">
        <f>IFERROR(VLOOKUP(B149,ชื่อสินค้า!A:D,4,FALSE),"")</f>
        <v/>
      </c>
      <c r="E149" s="9"/>
      <c r="F149" s="21" t="str">
        <f t="shared" si="5"/>
        <v/>
      </c>
      <c r="G149" s="22"/>
      <c r="H149" s="8">
        <f>IFERROR(VLOOKUP(G149,ซื้อสินค้า!H:I,2,FALSE),)</f>
        <v>0</v>
      </c>
      <c r="I149" s="21">
        <f>IFERROR(VLOOKUP(G149,ซื้อสินค้า!H:J,3,FALSE),)</f>
        <v>0</v>
      </c>
      <c r="J149" s="21">
        <f t="shared" si="6"/>
        <v>0</v>
      </c>
      <c r="K149" s="21">
        <f t="shared" si="7"/>
        <v>0</v>
      </c>
      <c r="L149" s="12">
        <f t="shared" si="8"/>
        <v>0</v>
      </c>
      <c r="M149" s="21">
        <f t="shared" si="9"/>
        <v>0</v>
      </c>
      <c r="N149" s="9" t="str">
        <f ca="1">IFERROR(__xludf.DUMMYFUNCTION("IF(G149&lt;&gt;"""",G149, IFERROR(TRANSPOSE(FILTER('ซื้อสินค้า'!H:H,'ซื้อสินค้า'!B:B=B149,'ซื้อสินค้า'!I:I&gt;0)),))"),"")</f>
        <v/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spans="1:32">
      <c r="A150" s="5"/>
      <c r="B150" s="6"/>
      <c r="C150" s="20">
        <f>IFERROR(VLOOKUP(B150,ชื่อสินค้า!A:C,3,FALSE),)</f>
        <v>0</v>
      </c>
      <c r="D150" s="8" t="str">
        <f>IFERROR(VLOOKUP(B150,ชื่อสินค้า!A:D,4,FALSE),"")</f>
        <v/>
      </c>
      <c r="E150" s="9"/>
      <c r="F150" s="21" t="str">
        <f t="shared" si="5"/>
        <v/>
      </c>
      <c r="G150" s="22"/>
      <c r="H150" s="8">
        <f>IFERROR(VLOOKUP(G150,ซื้อสินค้า!H:I,2,FALSE),)</f>
        <v>0</v>
      </c>
      <c r="I150" s="21">
        <f>IFERROR(VLOOKUP(G150,ซื้อสินค้า!H:J,3,FALSE),)</f>
        <v>0</v>
      </c>
      <c r="J150" s="21">
        <f t="shared" si="6"/>
        <v>0</v>
      </c>
      <c r="K150" s="21">
        <f t="shared" si="7"/>
        <v>0</v>
      </c>
      <c r="L150" s="12">
        <f t="shared" si="8"/>
        <v>0</v>
      </c>
      <c r="M150" s="21">
        <f t="shared" si="9"/>
        <v>0</v>
      </c>
      <c r="N150" s="9" t="str">
        <f ca="1">IFERROR(__xludf.DUMMYFUNCTION("IF(G150&lt;&gt;"""",G150, IFERROR(TRANSPOSE(FILTER('ซื้อสินค้า'!H:H,'ซื้อสินค้า'!B:B=B150,'ซื้อสินค้า'!I:I&gt;0)),))"),"")</f>
        <v/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spans="1:32">
      <c r="A151" s="5"/>
      <c r="B151" s="6"/>
      <c r="C151" s="20">
        <f>IFERROR(VLOOKUP(B151,ชื่อสินค้า!A:C,3,FALSE),)</f>
        <v>0</v>
      </c>
      <c r="D151" s="8" t="str">
        <f>IFERROR(VLOOKUP(B151,ชื่อสินค้า!A:D,4,FALSE),"")</f>
        <v/>
      </c>
      <c r="E151" s="9"/>
      <c r="F151" s="21" t="str">
        <f t="shared" si="5"/>
        <v/>
      </c>
      <c r="G151" s="22"/>
      <c r="H151" s="8">
        <f>IFERROR(VLOOKUP(G151,ซื้อสินค้า!H:I,2,FALSE),)</f>
        <v>0</v>
      </c>
      <c r="I151" s="21">
        <f>IFERROR(VLOOKUP(G151,ซื้อสินค้า!H:J,3,FALSE),)</f>
        <v>0</v>
      </c>
      <c r="J151" s="21">
        <f t="shared" si="6"/>
        <v>0</v>
      </c>
      <c r="K151" s="21">
        <f t="shared" si="7"/>
        <v>0</v>
      </c>
      <c r="L151" s="12">
        <f t="shared" si="8"/>
        <v>0</v>
      </c>
      <c r="M151" s="21">
        <f t="shared" si="9"/>
        <v>0</v>
      </c>
      <c r="N151" s="9" t="str">
        <f ca="1">IFERROR(__xludf.DUMMYFUNCTION("IF(G151&lt;&gt;"""",G151, IFERROR(TRANSPOSE(FILTER('ซื้อสินค้า'!H:H,'ซื้อสินค้า'!B:B=B151,'ซื้อสินค้า'!I:I&gt;0)),))"),"")</f>
        <v/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spans="1:32">
      <c r="A152" s="5"/>
      <c r="B152" s="6"/>
      <c r="C152" s="20">
        <f>IFERROR(VLOOKUP(B152,ชื่อสินค้า!A:C,3,FALSE),)</f>
        <v>0</v>
      </c>
      <c r="D152" s="8" t="str">
        <f>IFERROR(VLOOKUP(B152,ชื่อสินค้า!A:D,4,FALSE),"")</f>
        <v/>
      </c>
      <c r="E152" s="9"/>
      <c r="F152" s="21" t="str">
        <f t="shared" si="5"/>
        <v/>
      </c>
      <c r="G152" s="22"/>
      <c r="H152" s="8">
        <f>IFERROR(VLOOKUP(G152,ซื้อสินค้า!H:I,2,FALSE),)</f>
        <v>0</v>
      </c>
      <c r="I152" s="21">
        <f>IFERROR(VLOOKUP(G152,ซื้อสินค้า!H:J,3,FALSE),)</f>
        <v>0</v>
      </c>
      <c r="J152" s="21">
        <f t="shared" si="6"/>
        <v>0</v>
      </c>
      <c r="K152" s="21">
        <f t="shared" si="7"/>
        <v>0</v>
      </c>
      <c r="L152" s="12">
        <f t="shared" si="8"/>
        <v>0</v>
      </c>
      <c r="M152" s="21">
        <f t="shared" si="9"/>
        <v>0</v>
      </c>
      <c r="N152" s="9" t="str">
        <f ca="1">IFERROR(__xludf.DUMMYFUNCTION("IF(G152&lt;&gt;"""",G152, IFERROR(TRANSPOSE(FILTER('ซื้อสินค้า'!H:H,'ซื้อสินค้า'!B:B=B152,'ซื้อสินค้า'!I:I&gt;0)),))"),"")</f>
        <v/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spans="1:32">
      <c r="A153" s="5"/>
      <c r="B153" s="6"/>
      <c r="C153" s="20">
        <f>IFERROR(VLOOKUP(B153,ชื่อสินค้า!A:C,3,FALSE),)</f>
        <v>0</v>
      </c>
      <c r="D153" s="8" t="str">
        <f>IFERROR(VLOOKUP(B153,ชื่อสินค้า!A:D,4,FALSE),"")</f>
        <v/>
      </c>
      <c r="E153" s="9"/>
      <c r="F153" s="21" t="str">
        <f t="shared" si="5"/>
        <v/>
      </c>
      <c r="G153" s="22"/>
      <c r="H153" s="8">
        <f>IFERROR(VLOOKUP(G153,ซื้อสินค้า!H:I,2,FALSE),)</f>
        <v>0</v>
      </c>
      <c r="I153" s="21">
        <f>IFERROR(VLOOKUP(G153,ซื้อสินค้า!H:J,3,FALSE),)</f>
        <v>0</v>
      </c>
      <c r="J153" s="21">
        <f t="shared" si="6"/>
        <v>0</v>
      </c>
      <c r="K153" s="21">
        <f t="shared" si="7"/>
        <v>0</v>
      </c>
      <c r="L153" s="12">
        <f t="shared" si="8"/>
        <v>0</v>
      </c>
      <c r="M153" s="21">
        <f t="shared" si="9"/>
        <v>0</v>
      </c>
      <c r="N153" s="9" t="str">
        <f ca="1">IFERROR(__xludf.DUMMYFUNCTION("IF(G153&lt;&gt;"""",G153, IFERROR(TRANSPOSE(FILTER('ซื้อสินค้า'!H:H,'ซื้อสินค้า'!B:B=B153,'ซื้อสินค้า'!I:I&gt;0)),))"),"")</f>
        <v/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spans="1:32">
      <c r="A154" s="5"/>
      <c r="B154" s="6"/>
      <c r="C154" s="20">
        <f>IFERROR(VLOOKUP(B154,ชื่อสินค้า!A:C,3,FALSE),)</f>
        <v>0</v>
      </c>
      <c r="D154" s="8" t="str">
        <f>IFERROR(VLOOKUP(B154,ชื่อสินค้า!A:D,4,FALSE),"")</f>
        <v/>
      </c>
      <c r="E154" s="9"/>
      <c r="F154" s="21" t="str">
        <f t="shared" si="5"/>
        <v/>
      </c>
      <c r="G154" s="22"/>
      <c r="H154" s="8">
        <f>IFERROR(VLOOKUP(G154,ซื้อสินค้า!H:I,2,FALSE),)</f>
        <v>0</v>
      </c>
      <c r="I154" s="21">
        <f>IFERROR(VLOOKUP(G154,ซื้อสินค้า!H:J,3,FALSE),)</f>
        <v>0</v>
      </c>
      <c r="J154" s="21">
        <f t="shared" si="6"/>
        <v>0</v>
      </c>
      <c r="K154" s="21">
        <f t="shared" si="7"/>
        <v>0</v>
      </c>
      <c r="L154" s="12">
        <f t="shared" si="8"/>
        <v>0</v>
      </c>
      <c r="M154" s="21">
        <f t="shared" si="9"/>
        <v>0</v>
      </c>
      <c r="N154" s="9" t="str">
        <f ca="1">IFERROR(__xludf.DUMMYFUNCTION("IF(G154&lt;&gt;"""",G154, IFERROR(TRANSPOSE(FILTER('ซื้อสินค้า'!H:H,'ซื้อสินค้า'!B:B=B154,'ซื้อสินค้า'!I:I&gt;0)),))"),"")</f>
        <v/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spans="1:32">
      <c r="A155" s="5"/>
      <c r="B155" s="6"/>
      <c r="C155" s="20">
        <f>IFERROR(VLOOKUP(B155,ชื่อสินค้า!A:C,3,FALSE),)</f>
        <v>0</v>
      </c>
      <c r="D155" s="8" t="str">
        <f>IFERROR(VLOOKUP(B155,ชื่อสินค้า!A:D,4,FALSE),"")</f>
        <v/>
      </c>
      <c r="E155" s="9"/>
      <c r="F155" s="21" t="str">
        <f t="shared" si="5"/>
        <v/>
      </c>
      <c r="G155" s="22"/>
      <c r="H155" s="8">
        <f>IFERROR(VLOOKUP(G155,ซื้อสินค้า!H:I,2,FALSE),)</f>
        <v>0</v>
      </c>
      <c r="I155" s="21">
        <f>IFERROR(VLOOKUP(G155,ซื้อสินค้า!H:J,3,FALSE),)</f>
        <v>0</v>
      </c>
      <c r="J155" s="21">
        <f t="shared" si="6"/>
        <v>0</v>
      </c>
      <c r="K155" s="21">
        <f t="shared" si="7"/>
        <v>0</v>
      </c>
      <c r="L155" s="12">
        <f t="shared" si="8"/>
        <v>0</v>
      </c>
      <c r="M155" s="21">
        <f t="shared" si="9"/>
        <v>0</v>
      </c>
      <c r="N155" s="9" t="str">
        <f ca="1">IFERROR(__xludf.DUMMYFUNCTION("IF(G155&lt;&gt;"""",G155, IFERROR(TRANSPOSE(FILTER('ซื้อสินค้า'!H:H,'ซื้อสินค้า'!B:B=B155,'ซื้อสินค้า'!I:I&gt;0)),))"),"")</f>
        <v/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spans="1:32">
      <c r="A156" s="5"/>
      <c r="B156" s="6"/>
      <c r="C156" s="20">
        <f>IFERROR(VLOOKUP(B156,ชื่อสินค้า!A:C,3,FALSE),)</f>
        <v>0</v>
      </c>
      <c r="D156" s="8" t="str">
        <f>IFERROR(VLOOKUP(B156,ชื่อสินค้า!A:D,4,FALSE),"")</f>
        <v/>
      </c>
      <c r="E156" s="9"/>
      <c r="F156" s="21" t="str">
        <f t="shared" si="5"/>
        <v/>
      </c>
      <c r="G156" s="22"/>
      <c r="H156" s="8">
        <f>IFERROR(VLOOKUP(G156,ซื้อสินค้า!H:I,2,FALSE),)</f>
        <v>0</v>
      </c>
      <c r="I156" s="21">
        <f>IFERROR(VLOOKUP(G156,ซื้อสินค้า!H:J,3,FALSE),)</f>
        <v>0</v>
      </c>
      <c r="J156" s="21">
        <f t="shared" si="6"/>
        <v>0</v>
      </c>
      <c r="K156" s="21">
        <f t="shared" si="7"/>
        <v>0</v>
      </c>
      <c r="L156" s="12">
        <f t="shared" si="8"/>
        <v>0</v>
      </c>
      <c r="M156" s="21">
        <f t="shared" si="9"/>
        <v>0</v>
      </c>
      <c r="N156" s="9" t="str">
        <f ca="1">IFERROR(__xludf.DUMMYFUNCTION("IF(G156&lt;&gt;"""",G156, IFERROR(TRANSPOSE(FILTER('ซื้อสินค้า'!H:H,'ซื้อสินค้า'!B:B=B156,'ซื้อสินค้า'!I:I&gt;0)),))"),"")</f>
        <v/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spans="1:32">
      <c r="A157" s="5"/>
      <c r="B157" s="6"/>
      <c r="C157" s="20">
        <f>IFERROR(VLOOKUP(B157,ชื่อสินค้า!A:C,3,FALSE),)</f>
        <v>0</v>
      </c>
      <c r="D157" s="8" t="str">
        <f>IFERROR(VLOOKUP(B157,ชื่อสินค้า!A:D,4,FALSE),"")</f>
        <v/>
      </c>
      <c r="E157" s="9"/>
      <c r="F157" s="21" t="str">
        <f t="shared" si="5"/>
        <v/>
      </c>
      <c r="G157" s="22"/>
      <c r="H157" s="8">
        <f>IFERROR(VLOOKUP(G157,ซื้อสินค้า!H:I,2,FALSE),)</f>
        <v>0</v>
      </c>
      <c r="I157" s="21">
        <f>IFERROR(VLOOKUP(G157,ซื้อสินค้า!H:J,3,FALSE),)</f>
        <v>0</v>
      </c>
      <c r="J157" s="21">
        <f t="shared" si="6"/>
        <v>0</v>
      </c>
      <c r="K157" s="21">
        <f t="shared" si="7"/>
        <v>0</v>
      </c>
      <c r="L157" s="12">
        <f t="shared" si="8"/>
        <v>0</v>
      </c>
      <c r="M157" s="21">
        <f t="shared" si="9"/>
        <v>0</v>
      </c>
      <c r="N157" s="9" t="str">
        <f ca="1">IFERROR(__xludf.DUMMYFUNCTION("IF(G157&lt;&gt;"""",G157, IFERROR(TRANSPOSE(FILTER('ซื้อสินค้า'!H:H,'ซื้อสินค้า'!B:B=B157,'ซื้อสินค้า'!I:I&gt;0)),))"),"")</f>
        <v/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spans="1:32">
      <c r="A158" s="5"/>
      <c r="B158" s="6"/>
      <c r="C158" s="20">
        <f>IFERROR(VLOOKUP(B158,ชื่อสินค้า!A:C,3,FALSE),)</f>
        <v>0</v>
      </c>
      <c r="D158" s="8" t="str">
        <f>IFERROR(VLOOKUP(B158,ชื่อสินค้า!A:D,4,FALSE),"")</f>
        <v/>
      </c>
      <c r="E158" s="9"/>
      <c r="F158" s="21" t="str">
        <f t="shared" si="5"/>
        <v/>
      </c>
      <c r="G158" s="22"/>
      <c r="H158" s="8">
        <f>IFERROR(VLOOKUP(G158,ซื้อสินค้า!H:I,2,FALSE),)</f>
        <v>0</v>
      </c>
      <c r="I158" s="21">
        <f>IFERROR(VLOOKUP(G158,ซื้อสินค้า!H:J,3,FALSE),)</f>
        <v>0</v>
      </c>
      <c r="J158" s="21">
        <f t="shared" si="6"/>
        <v>0</v>
      </c>
      <c r="K158" s="21">
        <f t="shared" si="7"/>
        <v>0</v>
      </c>
      <c r="L158" s="12">
        <f t="shared" si="8"/>
        <v>0</v>
      </c>
      <c r="M158" s="21">
        <f t="shared" si="9"/>
        <v>0</v>
      </c>
      <c r="N158" s="9" t="str">
        <f ca="1">IFERROR(__xludf.DUMMYFUNCTION("IF(G158&lt;&gt;"""",G158, IFERROR(TRANSPOSE(FILTER('ซื้อสินค้า'!H:H,'ซื้อสินค้า'!B:B=B158,'ซื้อสินค้า'!I:I&gt;0)),))"),"")</f>
        <v/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spans="1:32">
      <c r="A159" s="5"/>
      <c r="B159" s="6"/>
      <c r="C159" s="20">
        <f>IFERROR(VLOOKUP(B159,ชื่อสินค้า!A:C,3,FALSE),)</f>
        <v>0</v>
      </c>
      <c r="D159" s="8" t="str">
        <f>IFERROR(VLOOKUP(B159,ชื่อสินค้า!A:D,4,FALSE),"")</f>
        <v/>
      </c>
      <c r="E159" s="9"/>
      <c r="F159" s="21" t="str">
        <f t="shared" si="5"/>
        <v/>
      </c>
      <c r="G159" s="22"/>
      <c r="H159" s="8">
        <f>IFERROR(VLOOKUP(G159,ซื้อสินค้า!H:I,2,FALSE),)</f>
        <v>0</v>
      </c>
      <c r="I159" s="21">
        <f>IFERROR(VLOOKUP(G159,ซื้อสินค้า!H:J,3,FALSE),)</f>
        <v>0</v>
      </c>
      <c r="J159" s="21">
        <f t="shared" si="6"/>
        <v>0</v>
      </c>
      <c r="K159" s="21">
        <f t="shared" si="7"/>
        <v>0</v>
      </c>
      <c r="L159" s="12">
        <f t="shared" si="8"/>
        <v>0</v>
      </c>
      <c r="M159" s="21">
        <f t="shared" si="9"/>
        <v>0</v>
      </c>
      <c r="N159" s="9" t="str">
        <f ca="1">IFERROR(__xludf.DUMMYFUNCTION("IF(G159&lt;&gt;"""",G159, IFERROR(TRANSPOSE(FILTER('ซื้อสินค้า'!H:H,'ซื้อสินค้า'!B:B=B159,'ซื้อสินค้า'!I:I&gt;0)),))"),"")</f>
        <v/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spans="1:32">
      <c r="A160" s="5"/>
      <c r="B160" s="6"/>
      <c r="C160" s="20">
        <f>IFERROR(VLOOKUP(B160,ชื่อสินค้า!A:C,3,FALSE),)</f>
        <v>0</v>
      </c>
      <c r="D160" s="8" t="str">
        <f>IFERROR(VLOOKUP(B160,ชื่อสินค้า!A:D,4,FALSE),"")</f>
        <v/>
      </c>
      <c r="E160" s="9"/>
      <c r="F160" s="21" t="str">
        <f t="shared" si="5"/>
        <v/>
      </c>
      <c r="G160" s="22"/>
      <c r="H160" s="8">
        <f>IFERROR(VLOOKUP(G160,ซื้อสินค้า!H:I,2,FALSE),)</f>
        <v>0</v>
      </c>
      <c r="I160" s="21">
        <f>IFERROR(VLOOKUP(G160,ซื้อสินค้า!H:J,3,FALSE),)</f>
        <v>0</v>
      </c>
      <c r="J160" s="21">
        <f t="shared" si="6"/>
        <v>0</v>
      </c>
      <c r="K160" s="21">
        <f t="shared" si="7"/>
        <v>0</v>
      </c>
      <c r="L160" s="12">
        <f t="shared" si="8"/>
        <v>0</v>
      </c>
      <c r="M160" s="21">
        <f t="shared" si="9"/>
        <v>0</v>
      </c>
      <c r="N160" s="9" t="str">
        <f ca="1">IFERROR(__xludf.DUMMYFUNCTION("IF(G160&lt;&gt;"""",G160, IFERROR(TRANSPOSE(FILTER('ซื้อสินค้า'!H:H,'ซื้อสินค้า'!B:B=B160,'ซื้อสินค้า'!I:I&gt;0)),))"),"")</f>
        <v/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spans="1:32">
      <c r="A161" s="5"/>
      <c r="B161" s="6"/>
      <c r="C161" s="20">
        <f>IFERROR(VLOOKUP(B161,ชื่อสินค้า!A:C,3,FALSE),)</f>
        <v>0</v>
      </c>
      <c r="D161" s="8" t="str">
        <f>IFERROR(VLOOKUP(B161,ชื่อสินค้า!A:D,4,FALSE),"")</f>
        <v/>
      </c>
      <c r="E161" s="9"/>
      <c r="F161" s="21" t="str">
        <f t="shared" si="5"/>
        <v/>
      </c>
      <c r="G161" s="22"/>
      <c r="H161" s="8">
        <f>IFERROR(VLOOKUP(G161,ซื้อสินค้า!H:I,2,FALSE),)</f>
        <v>0</v>
      </c>
      <c r="I161" s="21">
        <f>IFERROR(VLOOKUP(G161,ซื้อสินค้า!H:J,3,FALSE),)</f>
        <v>0</v>
      </c>
      <c r="J161" s="21">
        <f t="shared" si="6"/>
        <v>0</v>
      </c>
      <c r="K161" s="21">
        <f t="shared" si="7"/>
        <v>0</v>
      </c>
      <c r="L161" s="12">
        <f t="shared" si="8"/>
        <v>0</v>
      </c>
      <c r="M161" s="21">
        <f t="shared" si="9"/>
        <v>0</v>
      </c>
      <c r="N161" s="9" t="str">
        <f ca="1">IFERROR(__xludf.DUMMYFUNCTION("IF(G161&lt;&gt;"""",G161, IFERROR(TRANSPOSE(FILTER('ซื้อสินค้า'!H:H,'ซื้อสินค้า'!B:B=B161,'ซื้อสินค้า'!I:I&gt;0)),))"),"")</f>
        <v/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spans="1:32">
      <c r="A162" s="5"/>
      <c r="B162" s="6"/>
      <c r="C162" s="20">
        <f>IFERROR(VLOOKUP(B162,ชื่อสินค้า!A:C,3,FALSE),)</f>
        <v>0</v>
      </c>
      <c r="D162" s="8" t="str">
        <f>IFERROR(VLOOKUP(B162,ชื่อสินค้า!A:D,4,FALSE),"")</f>
        <v/>
      </c>
      <c r="E162" s="9"/>
      <c r="F162" s="21" t="str">
        <f t="shared" si="5"/>
        <v/>
      </c>
      <c r="G162" s="22"/>
      <c r="H162" s="8">
        <f>IFERROR(VLOOKUP(G162,ซื้อสินค้า!H:I,2,FALSE),)</f>
        <v>0</v>
      </c>
      <c r="I162" s="21">
        <f>IFERROR(VLOOKUP(G162,ซื้อสินค้า!H:J,3,FALSE),)</f>
        <v>0</v>
      </c>
      <c r="J162" s="21">
        <f t="shared" si="6"/>
        <v>0</v>
      </c>
      <c r="K162" s="21">
        <f t="shared" si="7"/>
        <v>0</v>
      </c>
      <c r="L162" s="12">
        <f t="shared" si="8"/>
        <v>0</v>
      </c>
      <c r="M162" s="21">
        <f t="shared" si="9"/>
        <v>0</v>
      </c>
      <c r="N162" s="9" t="str">
        <f ca="1">IFERROR(__xludf.DUMMYFUNCTION("IF(G162&lt;&gt;"""",G162, IFERROR(TRANSPOSE(FILTER('ซื้อสินค้า'!H:H,'ซื้อสินค้า'!B:B=B162,'ซื้อสินค้า'!I:I&gt;0)),))"),"")</f>
        <v/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spans="1:32">
      <c r="A163" s="5"/>
      <c r="B163" s="6"/>
      <c r="C163" s="20">
        <f>IFERROR(VLOOKUP(B163,ชื่อสินค้า!A:C,3,FALSE),)</f>
        <v>0</v>
      </c>
      <c r="D163" s="8" t="str">
        <f>IFERROR(VLOOKUP(B163,ชื่อสินค้า!A:D,4,FALSE),"")</f>
        <v/>
      </c>
      <c r="E163" s="9"/>
      <c r="F163" s="21" t="str">
        <f t="shared" si="5"/>
        <v/>
      </c>
      <c r="G163" s="22"/>
      <c r="H163" s="8">
        <f>IFERROR(VLOOKUP(G163,ซื้อสินค้า!H:I,2,FALSE),)</f>
        <v>0</v>
      </c>
      <c r="I163" s="21">
        <f>IFERROR(VLOOKUP(G163,ซื้อสินค้า!H:J,3,FALSE),)</f>
        <v>0</v>
      </c>
      <c r="J163" s="21">
        <f t="shared" si="6"/>
        <v>0</v>
      </c>
      <c r="K163" s="21">
        <f t="shared" si="7"/>
        <v>0</v>
      </c>
      <c r="L163" s="12">
        <f t="shared" si="8"/>
        <v>0</v>
      </c>
      <c r="M163" s="21">
        <f t="shared" si="9"/>
        <v>0</v>
      </c>
      <c r="N163" s="9" t="str">
        <f ca="1">IFERROR(__xludf.DUMMYFUNCTION("IF(G163&lt;&gt;"""",G163, IFERROR(TRANSPOSE(FILTER('ซื้อสินค้า'!H:H,'ซื้อสินค้า'!B:B=B163,'ซื้อสินค้า'!I:I&gt;0)),))"),"")</f>
        <v/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spans="1:32">
      <c r="A164" s="5"/>
      <c r="B164" s="6"/>
      <c r="C164" s="20">
        <f>IFERROR(VLOOKUP(B164,ชื่อสินค้า!A:C,3,FALSE),)</f>
        <v>0</v>
      </c>
      <c r="D164" s="8" t="str">
        <f>IFERROR(VLOOKUP(B164,ชื่อสินค้า!A:D,4,FALSE),"")</f>
        <v/>
      </c>
      <c r="E164" s="9"/>
      <c r="F164" s="21" t="str">
        <f t="shared" si="5"/>
        <v/>
      </c>
      <c r="G164" s="22"/>
      <c r="H164" s="8">
        <f>IFERROR(VLOOKUP(G164,ซื้อสินค้า!H:I,2,FALSE),)</f>
        <v>0</v>
      </c>
      <c r="I164" s="21">
        <f>IFERROR(VLOOKUP(G164,ซื้อสินค้า!H:J,3,FALSE),)</f>
        <v>0</v>
      </c>
      <c r="J164" s="21">
        <f t="shared" si="6"/>
        <v>0</v>
      </c>
      <c r="K164" s="21">
        <f t="shared" si="7"/>
        <v>0</v>
      </c>
      <c r="L164" s="12">
        <f t="shared" si="8"/>
        <v>0</v>
      </c>
      <c r="M164" s="21">
        <f t="shared" si="9"/>
        <v>0</v>
      </c>
      <c r="N164" s="9" t="str">
        <f ca="1">IFERROR(__xludf.DUMMYFUNCTION("IF(G164&lt;&gt;"""",G164, IFERROR(TRANSPOSE(FILTER('ซื้อสินค้า'!H:H,'ซื้อสินค้า'!B:B=B164,'ซื้อสินค้า'!I:I&gt;0)),))"),"")</f>
        <v/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spans="1:32">
      <c r="A165" s="5"/>
      <c r="B165" s="6"/>
      <c r="C165" s="20">
        <f>IFERROR(VLOOKUP(B165,ชื่อสินค้า!A:C,3,FALSE),)</f>
        <v>0</v>
      </c>
      <c r="D165" s="8" t="str">
        <f>IFERROR(VLOOKUP(B165,ชื่อสินค้า!A:D,4,FALSE),"")</f>
        <v/>
      </c>
      <c r="E165" s="9"/>
      <c r="F165" s="21" t="str">
        <f t="shared" si="5"/>
        <v/>
      </c>
      <c r="G165" s="22"/>
      <c r="H165" s="8">
        <f>IFERROR(VLOOKUP(G165,ซื้อสินค้า!H:I,2,FALSE),)</f>
        <v>0</v>
      </c>
      <c r="I165" s="21">
        <f>IFERROR(VLOOKUP(G165,ซื้อสินค้า!H:J,3,FALSE),)</f>
        <v>0</v>
      </c>
      <c r="J165" s="21">
        <f t="shared" si="6"/>
        <v>0</v>
      </c>
      <c r="K165" s="21">
        <f t="shared" si="7"/>
        <v>0</v>
      </c>
      <c r="L165" s="12">
        <f t="shared" si="8"/>
        <v>0</v>
      </c>
      <c r="M165" s="21">
        <f t="shared" si="9"/>
        <v>0</v>
      </c>
      <c r="N165" s="9" t="str">
        <f ca="1">IFERROR(__xludf.DUMMYFUNCTION("IF(G165&lt;&gt;"""",G165, IFERROR(TRANSPOSE(FILTER('ซื้อสินค้า'!H:H,'ซื้อสินค้า'!B:B=B165,'ซื้อสินค้า'!I:I&gt;0)),))"),"")</f>
        <v/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spans="1:32">
      <c r="A166" s="5"/>
      <c r="B166" s="6"/>
      <c r="C166" s="20">
        <f>IFERROR(VLOOKUP(B166,ชื่อสินค้า!A:C,3,FALSE),)</f>
        <v>0</v>
      </c>
      <c r="D166" s="8" t="str">
        <f>IFERROR(VLOOKUP(B166,ชื่อสินค้า!A:D,4,FALSE),"")</f>
        <v/>
      </c>
      <c r="E166" s="9"/>
      <c r="F166" s="21" t="str">
        <f t="shared" si="5"/>
        <v/>
      </c>
      <c r="G166" s="22"/>
      <c r="H166" s="8">
        <f>IFERROR(VLOOKUP(G166,ซื้อสินค้า!H:I,2,FALSE),)</f>
        <v>0</v>
      </c>
      <c r="I166" s="21">
        <f>IFERROR(VLOOKUP(G166,ซื้อสินค้า!H:J,3,FALSE),)</f>
        <v>0</v>
      </c>
      <c r="J166" s="21">
        <f t="shared" si="6"/>
        <v>0</v>
      </c>
      <c r="K166" s="21">
        <f t="shared" si="7"/>
        <v>0</v>
      </c>
      <c r="L166" s="12">
        <f t="shared" si="8"/>
        <v>0</v>
      </c>
      <c r="M166" s="21">
        <f t="shared" si="9"/>
        <v>0</v>
      </c>
      <c r="N166" s="9" t="str">
        <f ca="1">IFERROR(__xludf.DUMMYFUNCTION("IF(G166&lt;&gt;"""",G166, IFERROR(TRANSPOSE(FILTER('ซื้อสินค้า'!H:H,'ซื้อสินค้า'!B:B=B166,'ซื้อสินค้า'!I:I&gt;0)),))"),"")</f>
        <v/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spans="1:32">
      <c r="A167" s="5"/>
      <c r="B167" s="6"/>
      <c r="C167" s="20">
        <f>IFERROR(VLOOKUP(B167,ชื่อสินค้า!A:C,3,FALSE),)</f>
        <v>0</v>
      </c>
      <c r="D167" s="8" t="str">
        <f>IFERROR(VLOOKUP(B167,ชื่อสินค้า!A:D,4,FALSE),"")</f>
        <v/>
      </c>
      <c r="E167" s="9"/>
      <c r="F167" s="21" t="str">
        <f t="shared" si="5"/>
        <v/>
      </c>
      <c r="G167" s="22"/>
      <c r="H167" s="8">
        <f>IFERROR(VLOOKUP(G167,ซื้อสินค้า!H:I,2,FALSE),)</f>
        <v>0</v>
      </c>
      <c r="I167" s="21">
        <f>IFERROR(VLOOKUP(G167,ซื้อสินค้า!H:J,3,FALSE),)</f>
        <v>0</v>
      </c>
      <c r="J167" s="21">
        <f t="shared" si="6"/>
        <v>0</v>
      </c>
      <c r="K167" s="21">
        <f t="shared" si="7"/>
        <v>0</v>
      </c>
      <c r="L167" s="12">
        <f t="shared" si="8"/>
        <v>0</v>
      </c>
      <c r="M167" s="21">
        <f t="shared" si="9"/>
        <v>0</v>
      </c>
      <c r="N167" s="9" t="str">
        <f ca="1">IFERROR(__xludf.DUMMYFUNCTION("IF(G167&lt;&gt;"""",G167, IFERROR(TRANSPOSE(FILTER('ซื้อสินค้า'!H:H,'ซื้อสินค้า'!B:B=B167,'ซื้อสินค้า'!I:I&gt;0)),))"),"")</f>
        <v/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spans="1:32">
      <c r="A168" s="5"/>
      <c r="B168" s="6"/>
      <c r="C168" s="20">
        <f>IFERROR(VLOOKUP(B168,ชื่อสินค้า!A:C,3,FALSE),)</f>
        <v>0</v>
      </c>
      <c r="D168" s="8" t="str">
        <f>IFERROR(VLOOKUP(B168,ชื่อสินค้า!A:D,4,FALSE),"")</f>
        <v/>
      </c>
      <c r="E168" s="9"/>
      <c r="F168" s="21" t="str">
        <f t="shared" si="5"/>
        <v/>
      </c>
      <c r="G168" s="22"/>
      <c r="H168" s="8">
        <f>IFERROR(VLOOKUP(G168,ซื้อสินค้า!H:I,2,FALSE),)</f>
        <v>0</v>
      </c>
      <c r="I168" s="21">
        <f>IFERROR(VLOOKUP(G168,ซื้อสินค้า!H:J,3,FALSE),)</f>
        <v>0</v>
      </c>
      <c r="J168" s="21">
        <f t="shared" si="6"/>
        <v>0</v>
      </c>
      <c r="K168" s="21">
        <f t="shared" si="7"/>
        <v>0</v>
      </c>
      <c r="L168" s="12">
        <f t="shared" si="8"/>
        <v>0</v>
      </c>
      <c r="M168" s="21">
        <f t="shared" si="9"/>
        <v>0</v>
      </c>
      <c r="N168" s="9" t="str">
        <f ca="1">IFERROR(__xludf.DUMMYFUNCTION("IF(G168&lt;&gt;"""",G168, IFERROR(TRANSPOSE(FILTER('ซื้อสินค้า'!H:H,'ซื้อสินค้า'!B:B=B168,'ซื้อสินค้า'!I:I&gt;0)),))"),"")</f>
        <v/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spans="1:32">
      <c r="A169" s="5"/>
      <c r="B169" s="6"/>
      <c r="C169" s="20">
        <f>IFERROR(VLOOKUP(B169,ชื่อสินค้า!A:C,3,FALSE),)</f>
        <v>0</v>
      </c>
      <c r="D169" s="8" t="str">
        <f>IFERROR(VLOOKUP(B169,ชื่อสินค้า!A:D,4,FALSE),"")</f>
        <v/>
      </c>
      <c r="E169" s="9"/>
      <c r="F169" s="21" t="str">
        <f t="shared" si="5"/>
        <v/>
      </c>
      <c r="G169" s="22"/>
      <c r="H169" s="8">
        <f>IFERROR(VLOOKUP(G169,ซื้อสินค้า!H:I,2,FALSE),)</f>
        <v>0</v>
      </c>
      <c r="I169" s="21">
        <f>IFERROR(VLOOKUP(G169,ซื้อสินค้า!H:J,3,FALSE),)</f>
        <v>0</v>
      </c>
      <c r="J169" s="21">
        <f t="shared" si="6"/>
        <v>0</v>
      </c>
      <c r="K169" s="21">
        <f t="shared" si="7"/>
        <v>0</v>
      </c>
      <c r="L169" s="12">
        <f t="shared" si="8"/>
        <v>0</v>
      </c>
      <c r="M169" s="21">
        <f t="shared" si="9"/>
        <v>0</v>
      </c>
      <c r="N169" s="9" t="str">
        <f ca="1">IFERROR(__xludf.DUMMYFUNCTION("IF(G169&lt;&gt;"""",G169, IFERROR(TRANSPOSE(FILTER('ซื้อสินค้า'!H:H,'ซื้อสินค้า'!B:B=B169,'ซื้อสินค้า'!I:I&gt;0)),))"),"")</f>
        <v/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spans="1:32">
      <c r="A170" s="5"/>
      <c r="B170" s="6"/>
      <c r="C170" s="20">
        <f>IFERROR(VLOOKUP(B170,ชื่อสินค้า!A:C,3,FALSE),)</f>
        <v>0</v>
      </c>
      <c r="D170" s="8" t="str">
        <f>IFERROR(VLOOKUP(B170,ชื่อสินค้า!A:D,4,FALSE),"")</f>
        <v/>
      </c>
      <c r="E170" s="9"/>
      <c r="F170" s="21" t="str">
        <f t="shared" si="5"/>
        <v/>
      </c>
      <c r="G170" s="22"/>
      <c r="H170" s="8">
        <f>IFERROR(VLOOKUP(G170,ซื้อสินค้า!H:I,2,FALSE),)</f>
        <v>0</v>
      </c>
      <c r="I170" s="21">
        <f>IFERROR(VLOOKUP(G170,ซื้อสินค้า!H:J,3,FALSE),)</f>
        <v>0</v>
      </c>
      <c r="J170" s="21">
        <f t="shared" si="6"/>
        <v>0</v>
      </c>
      <c r="K170" s="21">
        <f t="shared" si="7"/>
        <v>0</v>
      </c>
      <c r="L170" s="12">
        <f t="shared" si="8"/>
        <v>0</v>
      </c>
      <c r="M170" s="21">
        <f t="shared" si="9"/>
        <v>0</v>
      </c>
      <c r="N170" s="9" t="str">
        <f ca="1">IFERROR(__xludf.DUMMYFUNCTION("IF(G170&lt;&gt;"""",G170, IFERROR(TRANSPOSE(FILTER('ซื้อสินค้า'!H:H,'ซื้อสินค้า'!B:B=B170,'ซื้อสินค้า'!I:I&gt;0)),))"),"")</f>
        <v/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spans="1:32">
      <c r="A171" s="5"/>
      <c r="B171" s="6"/>
      <c r="C171" s="20">
        <f>IFERROR(VLOOKUP(B171,ชื่อสินค้า!A:C,3,FALSE),)</f>
        <v>0</v>
      </c>
      <c r="D171" s="8" t="str">
        <f>IFERROR(VLOOKUP(B171,ชื่อสินค้า!A:D,4,FALSE),"")</f>
        <v/>
      </c>
      <c r="E171" s="9"/>
      <c r="F171" s="21" t="str">
        <f t="shared" si="5"/>
        <v/>
      </c>
      <c r="G171" s="22"/>
      <c r="H171" s="8">
        <f>IFERROR(VLOOKUP(G171,ซื้อสินค้า!H:I,2,FALSE),)</f>
        <v>0</v>
      </c>
      <c r="I171" s="21">
        <f>IFERROR(VLOOKUP(G171,ซื้อสินค้า!H:J,3,FALSE),)</f>
        <v>0</v>
      </c>
      <c r="J171" s="21">
        <f t="shared" si="6"/>
        <v>0</v>
      </c>
      <c r="K171" s="21">
        <f t="shared" si="7"/>
        <v>0</v>
      </c>
      <c r="L171" s="12">
        <f t="shared" si="8"/>
        <v>0</v>
      </c>
      <c r="M171" s="21">
        <f t="shared" si="9"/>
        <v>0</v>
      </c>
      <c r="N171" s="9" t="str">
        <f ca="1">IFERROR(__xludf.DUMMYFUNCTION("IF(G171&lt;&gt;"""",G171, IFERROR(TRANSPOSE(FILTER('ซื้อสินค้า'!H:H,'ซื้อสินค้า'!B:B=B171,'ซื้อสินค้า'!I:I&gt;0)),))"),"")</f>
        <v/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spans="1:32">
      <c r="A172" s="5"/>
      <c r="B172" s="6"/>
      <c r="C172" s="20">
        <f>IFERROR(VLOOKUP(B172,ชื่อสินค้า!A:C,3,FALSE),)</f>
        <v>0</v>
      </c>
      <c r="D172" s="8" t="str">
        <f>IFERROR(VLOOKUP(B172,ชื่อสินค้า!A:D,4,FALSE),"")</f>
        <v/>
      </c>
      <c r="E172" s="9"/>
      <c r="F172" s="21" t="str">
        <f t="shared" si="5"/>
        <v/>
      </c>
      <c r="G172" s="22"/>
      <c r="H172" s="8">
        <f>IFERROR(VLOOKUP(G172,ซื้อสินค้า!H:I,2,FALSE),)</f>
        <v>0</v>
      </c>
      <c r="I172" s="21">
        <f>IFERROR(VLOOKUP(G172,ซื้อสินค้า!H:J,3,FALSE),)</f>
        <v>0</v>
      </c>
      <c r="J172" s="21">
        <f t="shared" si="6"/>
        <v>0</v>
      </c>
      <c r="K172" s="21">
        <f t="shared" si="7"/>
        <v>0</v>
      </c>
      <c r="L172" s="12">
        <f t="shared" si="8"/>
        <v>0</v>
      </c>
      <c r="M172" s="21">
        <f t="shared" si="9"/>
        <v>0</v>
      </c>
      <c r="N172" s="9" t="str">
        <f ca="1">IFERROR(__xludf.DUMMYFUNCTION("IF(G172&lt;&gt;"""",G172, IFERROR(TRANSPOSE(FILTER('ซื้อสินค้า'!H:H,'ซื้อสินค้า'!B:B=B172,'ซื้อสินค้า'!I:I&gt;0)),))"),"")</f>
        <v/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spans="1:32">
      <c r="A173" s="5"/>
      <c r="B173" s="6"/>
      <c r="C173" s="20">
        <f>IFERROR(VLOOKUP(B173,ชื่อสินค้า!A:C,3,FALSE),)</f>
        <v>0</v>
      </c>
      <c r="D173" s="8" t="str">
        <f>IFERROR(VLOOKUP(B173,ชื่อสินค้า!A:D,4,FALSE),"")</f>
        <v/>
      </c>
      <c r="E173" s="9"/>
      <c r="F173" s="21" t="str">
        <f t="shared" si="5"/>
        <v/>
      </c>
      <c r="G173" s="22"/>
      <c r="H173" s="8">
        <f>IFERROR(VLOOKUP(G173,ซื้อสินค้า!H:I,2,FALSE),)</f>
        <v>0</v>
      </c>
      <c r="I173" s="21">
        <f>IFERROR(VLOOKUP(G173,ซื้อสินค้า!H:J,3,FALSE),)</f>
        <v>0</v>
      </c>
      <c r="J173" s="21">
        <f t="shared" si="6"/>
        <v>0</v>
      </c>
      <c r="K173" s="21">
        <f t="shared" si="7"/>
        <v>0</v>
      </c>
      <c r="L173" s="12">
        <f t="shared" si="8"/>
        <v>0</v>
      </c>
      <c r="M173" s="21">
        <f t="shared" si="9"/>
        <v>0</v>
      </c>
      <c r="N173" s="9" t="str">
        <f ca="1">IFERROR(__xludf.DUMMYFUNCTION("IF(G173&lt;&gt;"""",G173, IFERROR(TRANSPOSE(FILTER('ซื้อสินค้า'!H:H,'ซื้อสินค้า'!B:B=B173,'ซื้อสินค้า'!I:I&gt;0)),))"),"")</f>
        <v/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spans="1:32">
      <c r="A174" s="5"/>
      <c r="B174" s="6"/>
      <c r="C174" s="20">
        <f>IFERROR(VLOOKUP(B174,ชื่อสินค้า!A:C,3,FALSE),)</f>
        <v>0</v>
      </c>
      <c r="D174" s="8" t="str">
        <f>IFERROR(VLOOKUP(B174,ชื่อสินค้า!A:D,4,FALSE),"")</f>
        <v/>
      </c>
      <c r="E174" s="9"/>
      <c r="F174" s="21" t="str">
        <f t="shared" si="5"/>
        <v/>
      </c>
      <c r="G174" s="22"/>
      <c r="H174" s="8">
        <f>IFERROR(VLOOKUP(G174,ซื้อสินค้า!H:I,2,FALSE),)</f>
        <v>0</v>
      </c>
      <c r="I174" s="21">
        <f>IFERROR(VLOOKUP(G174,ซื้อสินค้า!H:J,3,FALSE),)</f>
        <v>0</v>
      </c>
      <c r="J174" s="21">
        <f t="shared" si="6"/>
        <v>0</v>
      </c>
      <c r="K174" s="21">
        <f t="shared" si="7"/>
        <v>0</v>
      </c>
      <c r="L174" s="12">
        <f t="shared" si="8"/>
        <v>0</v>
      </c>
      <c r="M174" s="21">
        <f t="shared" si="9"/>
        <v>0</v>
      </c>
      <c r="N174" s="9" t="str">
        <f ca="1">IFERROR(__xludf.DUMMYFUNCTION("IF(G174&lt;&gt;"""",G174, IFERROR(TRANSPOSE(FILTER('ซื้อสินค้า'!H:H,'ซื้อสินค้า'!B:B=B174,'ซื้อสินค้า'!I:I&gt;0)),))"),"")</f>
        <v/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spans="1:32">
      <c r="A175" s="5"/>
      <c r="B175" s="6"/>
      <c r="C175" s="20">
        <f>IFERROR(VLOOKUP(B175,ชื่อสินค้า!A:C,3,FALSE),)</f>
        <v>0</v>
      </c>
      <c r="D175" s="8" t="str">
        <f>IFERROR(VLOOKUP(B175,ชื่อสินค้า!A:D,4,FALSE),"")</f>
        <v/>
      </c>
      <c r="E175" s="9"/>
      <c r="F175" s="21" t="str">
        <f t="shared" si="5"/>
        <v/>
      </c>
      <c r="G175" s="22"/>
      <c r="H175" s="8">
        <f>IFERROR(VLOOKUP(G175,ซื้อสินค้า!H:I,2,FALSE),)</f>
        <v>0</v>
      </c>
      <c r="I175" s="21">
        <f>IFERROR(VLOOKUP(G175,ซื้อสินค้า!H:J,3,FALSE),)</f>
        <v>0</v>
      </c>
      <c r="J175" s="21">
        <f t="shared" si="6"/>
        <v>0</v>
      </c>
      <c r="K175" s="21">
        <f t="shared" si="7"/>
        <v>0</v>
      </c>
      <c r="L175" s="12">
        <f t="shared" si="8"/>
        <v>0</v>
      </c>
      <c r="M175" s="21">
        <f t="shared" si="9"/>
        <v>0</v>
      </c>
      <c r="N175" s="9" t="str">
        <f ca="1">IFERROR(__xludf.DUMMYFUNCTION("IF(G175&lt;&gt;"""",G175, IFERROR(TRANSPOSE(FILTER('ซื้อสินค้า'!H:H,'ซื้อสินค้า'!B:B=B175,'ซื้อสินค้า'!I:I&gt;0)),))"),"")</f>
        <v/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spans="1:32">
      <c r="A176" s="5"/>
      <c r="B176" s="6"/>
      <c r="C176" s="20">
        <f>IFERROR(VLOOKUP(B176,ชื่อสินค้า!A:C,3,FALSE),)</f>
        <v>0</v>
      </c>
      <c r="D176" s="8" t="str">
        <f>IFERROR(VLOOKUP(B176,ชื่อสินค้า!A:D,4,FALSE),"")</f>
        <v/>
      </c>
      <c r="E176" s="9"/>
      <c r="F176" s="21" t="str">
        <f t="shared" si="5"/>
        <v/>
      </c>
      <c r="G176" s="22"/>
      <c r="H176" s="8">
        <f>IFERROR(VLOOKUP(G176,ซื้อสินค้า!H:I,2,FALSE),)</f>
        <v>0</v>
      </c>
      <c r="I176" s="21">
        <f>IFERROR(VLOOKUP(G176,ซื้อสินค้า!H:J,3,FALSE),)</f>
        <v>0</v>
      </c>
      <c r="J176" s="21">
        <f t="shared" si="6"/>
        <v>0</v>
      </c>
      <c r="K176" s="21">
        <f t="shared" si="7"/>
        <v>0</v>
      </c>
      <c r="L176" s="12">
        <f t="shared" si="8"/>
        <v>0</v>
      </c>
      <c r="M176" s="21">
        <f t="shared" si="9"/>
        <v>0</v>
      </c>
      <c r="N176" s="9" t="str">
        <f ca="1">IFERROR(__xludf.DUMMYFUNCTION("IF(G176&lt;&gt;"""",G176, IFERROR(TRANSPOSE(FILTER('ซื้อสินค้า'!H:H,'ซื้อสินค้า'!B:B=B176,'ซื้อสินค้า'!I:I&gt;0)),))"),"")</f>
        <v/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spans="1:32">
      <c r="A177" s="5"/>
      <c r="B177" s="6"/>
      <c r="C177" s="20">
        <f>IFERROR(VLOOKUP(B177,ชื่อสินค้า!A:C,3,FALSE),)</f>
        <v>0</v>
      </c>
      <c r="D177" s="8" t="str">
        <f>IFERROR(VLOOKUP(B177,ชื่อสินค้า!A:D,4,FALSE),"")</f>
        <v/>
      </c>
      <c r="E177" s="9"/>
      <c r="F177" s="21" t="str">
        <f t="shared" si="5"/>
        <v/>
      </c>
      <c r="G177" s="22"/>
      <c r="H177" s="8">
        <f>IFERROR(VLOOKUP(G177,ซื้อสินค้า!H:I,2,FALSE),)</f>
        <v>0</v>
      </c>
      <c r="I177" s="21">
        <f>IFERROR(VLOOKUP(G177,ซื้อสินค้า!H:J,3,FALSE),)</f>
        <v>0</v>
      </c>
      <c r="J177" s="21">
        <f t="shared" si="6"/>
        <v>0</v>
      </c>
      <c r="K177" s="21">
        <f t="shared" si="7"/>
        <v>0</v>
      </c>
      <c r="L177" s="12">
        <f t="shared" si="8"/>
        <v>0</v>
      </c>
      <c r="M177" s="21">
        <f t="shared" si="9"/>
        <v>0</v>
      </c>
      <c r="N177" s="9" t="str">
        <f ca="1">IFERROR(__xludf.DUMMYFUNCTION("IF(G177&lt;&gt;"""",G177, IFERROR(TRANSPOSE(FILTER('ซื้อสินค้า'!H:H,'ซื้อสินค้า'!B:B=B177,'ซื้อสินค้า'!I:I&gt;0)),))"),"")</f>
        <v/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spans="1:32">
      <c r="A178" s="5"/>
      <c r="B178" s="6"/>
      <c r="C178" s="20">
        <f>IFERROR(VLOOKUP(B178,ชื่อสินค้า!A:C,3,FALSE),)</f>
        <v>0</v>
      </c>
      <c r="D178" s="8" t="str">
        <f>IFERROR(VLOOKUP(B178,ชื่อสินค้า!A:D,4,FALSE),"")</f>
        <v/>
      </c>
      <c r="E178" s="9"/>
      <c r="F178" s="21" t="str">
        <f t="shared" si="5"/>
        <v/>
      </c>
      <c r="G178" s="22"/>
      <c r="H178" s="8">
        <f>IFERROR(VLOOKUP(G178,ซื้อสินค้า!H:I,2,FALSE),)</f>
        <v>0</v>
      </c>
      <c r="I178" s="21">
        <f>IFERROR(VLOOKUP(G178,ซื้อสินค้า!H:J,3,FALSE),)</f>
        <v>0</v>
      </c>
      <c r="J178" s="21">
        <f t="shared" si="6"/>
        <v>0</v>
      </c>
      <c r="K178" s="21">
        <f t="shared" si="7"/>
        <v>0</v>
      </c>
      <c r="L178" s="12">
        <f t="shared" si="8"/>
        <v>0</v>
      </c>
      <c r="M178" s="21">
        <f t="shared" si="9"/>
        <v>0</v>
      </c>
      <c r="N178" s="9" t="str">
        <f ca="1">IFERROR(__xludf.DUMMYFUNCTION("IF(G178&lt;&gt;"""",G178, IFERROR(TRANSPOSE(FILTER('ซื้อสินค้า'!H:H,'ซื้อสินค้า'!B:B=B178,'ซื้อสินค้า'!I:I&gt;0)),))"),"")</f>
        <v/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spans="1:32">
      <c r="A179" s="5"/>
      <c r="B179" s="6"/>
      <c r="C179" s="20">
        <f>IFERROR(VLOOKUP(B179,ชื่อสินค้า!A:C,3,FALSE),)</f>
        <v>0</v>
      </c>
      <c r="D179" s="8" t="str">
        <f>IFERROR(VLOOKUP(B179,ชื่อสินค้า!A:D,4,FALSE),"")</f>
        <v/>
      </c>
      <c r="E179" s="9"/>
      <c r="F179" s="21" t="str">
        <f t="shared" si="5"/>
        <v/>
      </c>
      <c r="G179" s="22"/>
      <c r="H179" s="8">
        <f>IFERROR(VLOOKUP(G179,ซื้อสินค้า!H:I,2,FALSE),)</f>
        <v>0</v>
      </c>
      <c r="I179" s="21">
        <f>IFERROR(VLOOKUP(G179,ซื้อสินค้า!H:J,3,FALSE),)</f>
        <v>0</v>
      </c>
      <c r="J179" s="21">
        <f t="shared" si="6"/>
        <v>0</v>
      </c>
      <c r="K179" s="21">
        <f t="shared" si="7"/>
        <v>0</v>
      </c>
      <c r="L179" s="12">
        <f t="shared" si="8"/>
        <v>0</v>
      </c>
      <c r="M179" s="21">
        <f t="shared" si="9"/>
        <v>0</v>
      </c>
      <c r="N179" s="9" t="str">
        <f ca="1">IFERROR(__xludf.DUMMYFUNCTION("IF(G179&lt;&gt;"""",G179, IFERROR(TRANSPOSE(FILTER('ซื้อสินค้า'!H:H,'ซื้อสินค้า'!B:B=B179,'ซื้อสินค้า'!I:I&gt;0)),))"),"")</f>
        <v/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spans="1:32">
      <c r="A180" s="5"/>
      <c r="B180" s="6"/>
      <c r="C180" s="20">
        <f>IFERROR(VLOOKUP(B180,ชื่อสินค้า!A:C,3,FALSE),)</f>
        <v>0</v>
      </c>
      <c r="D180" s="8" t="str">
        <f>IFERROR(VLOOKUP(B180,ชื่อสินค้า!A:D,4,FALSE),"")</f>
        <v/>
      </c>
      <c r="E180" s="9"/>
      <c r="F180" s="21" t="str">
        <f t="shared" si="5"/>
        <v/>
      </c>
      <c r="G180" s="22"/>
      <c r="H180" s="8">
        <f>IFERROR(VLOOKUP(G180,ซื้อสินค้า!H:I,2,FALSE),)</f>
        <v>0</v>
      </c>
      <c r="I180" s="21">
        <f>IFERROR(VLOOKUP(G180,ซื้อสินค้า!H:J,3,FALSE),)</f>
        <v>0</v>
      </c>
      <c r="J180" s="21">
        <f t="shared" si="6"/>
        <v>0</v>
      </c>
      <c r="K180" s="21">
        <f t="shared" si="7"/>
        <v>0</v>
      </c>
      <c r="L180" s="12">
        <f t="shared" si="8"/>
        <v>0</v>
      </c>
      <c r="M180" s="21">
        <f t="shared" si="9"/>
        <v>0</v>
      </c>
      <c r="N180" s="9" t="str">
        <f ca="1">IFERROR(__xludf.DUMMYFUNCTION("IF(G180&lt;&gt;"""",G180, IFERROR(TRANSPOSE(FILTER('ซื้อสินค้า'!H:H,'ซื้อสินค้า'!B:B=B180,'ซื้อสินค้า'!I:I&gt;0)),))"),"")</f>
        <v/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spans="1:32">
      <c r="A181" s="5"/>
      <c r="B181" s="6"/>
      <c r="C181" s="20">
        <f>IFERROR(VLOOKUP(B181,ชื่อสินค้า!A:C,3,FALSE),)</f>
        <v>0</v>
      </c>
      <c r="D181" s="8" t="str">
        <f>IFERROR(VLOOKUP(B181,ชื่อสินค้า!A:D,4,FALSE),"")</f>
        <v/>
      </c>
      <c r="E181" s="9"/>
      <c r="F181" s="21" t="str">
        <f t="shared" si="5"/>
        <v/>
      </c>
      <c r="G181" s="22"/>
      <c r="H181" s="8">
        <f>IFERROR(VLOOKUP(G181,ซื้อสินค้า!H:I,2,FALSE),)</f>
        <v>0</v>
      </c>
      <c r="I181" s="21">
        <f>IFERROR(VLOOKUP(G181,ซื้อสินค้า!H:J,3,FALSE),)</f>
        <v>0</v>
      </c>
      <c r="J181" s="21">
        <f t="shared" si="6"/>
        <v>0</v>
      </c>
      <c r="K181" s="21">
        <f t="shared" si="7"/>
        <v>0</v>
      </c>
      <c r="L181" s="12">
        <f t="shared" si="8"/>
        <v>0</v>
      </c>
      <c r="M181" s="21">
        <f t="shared" si="9"/>
        <v>0</v>
      </c>
      <c r="N181" s="9" t="str">
        <f ca="1">IFERROR(__xludf.DUMMYFUNCTION("IF(G181&lt;&gt;"""",G181, IFERROR(TRANSPOSE(FILTER('ซื้อสินค้า'!H:H,'ซื้อสินค้า'!B:B=B181,'ซื้อสินค้า'!I:I&gt;0)),))"),"")</f>
        <v/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spans="1:32">
      <c r="A182" s="5"/>
      <c r="B182" s="6"/>
      <c r="C182" s="20">
        <f>IFERROR(VLOOKUP(B182,ชื่อสินค้า!A:C,3,FALSE),)</f>
        <v>0</v>
      </c>
      <c r="D182" s="8" t="str">
        <f>IFERROR(VLOOKUP(B182,ชื่อสินค้า!A:D,4,FALSE),"")</f>
        <v/>
      </c>
      <c r="E182" s="9"/>
      <c r="F182" s="21" t="str">
        <f t="shared" si="5"/>
        <v/>
      </c>
      <c r="G182" s="22"/>
      <c r="H182" s="8">
        <f>IFERROR(VLOOKUP(G182,ซื้อสินค้า!H:I,2,FALSE),)</f>
        <v>0</v>
      </c>
      <c r="I182" s="21">
        <f>IFERROR(VLOOKUP(G182,ซื้อสินค้า!H:J,3,FALSE),)</f>
        <v>0</v>
      </c>
      <c r="J182" s="21">
        <f t="shared" si="6"/>
        <v>0</v>
      </c>
      <c r="K182" s="21">
        <f t="shared" si="7"/>
        <v>0</v>
      </c>
      <c r="L182" s="12">
        <f t="shared" si="8"/>
        <v>0</v>
      </c>
      <c r="M182" s="21">
        <f t="shared" si="9"/>
        <v>0</v>
      </c>
      <c r="N182" s="9" t="str">
        <f ca="1">IFERROR(__xludf.DUMMYFUNCTION("IF(G182&lt;&gt;"""",G182, IFERROR(TRANSPOSE(FILTER('ซื้อสินค้า'!H:H,'ซื้อสินค้า'!B:B=B182,'ซื้อสินค้า'!I:I&gt;0)),))"),"")</f>
        <v/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spans="1:32">
      <c r="A183" s="5"/>
      <c r="B183" s="6"/>
      <c r="C183" s="20">
        <f>IFERROR(VLOOKUP(B183,ชื่อสินค้า!A:C,3,FALSE),)</f>
        <v>0</v>
      </c>
      <c r="D183" s="8" t="str">
        <f>IFERROR(VLOOKUP(B183,ชื่อสินค้า!A:D,4,FALSE),"")</f>
        <v/>
      </c>
      <c r="E183" s="9"/>
      <c r="F183" s="21" t="str">
        <f t="shared" si="5"/>
        <v/>
      </c>
      <c r="G183" s="22"/>
      <c r="H183" s="8">
        <f>IFERROR(VLOOKUP(G183,ซื้อสินค้า!H:I,2,FALSE),)</f>
        <v>0</v>
      </c>
      <c r="I183" s="21">
        <f>IFERROR(VLOOKUP(G183,ซื้อสินค้า!H:J,3,FALSE),)</f>
        <v>0</v>
      </c>
      <c r="J183" s="21">
        <f t="shared" si="6"/>
        <v>0</v>
      </c>
      <c r="K183" s="21">
        <f t="shared" si="7"/>
        <v>0</v>
      </c>
      <c r="L183" s="12">
        <f t="shared" si="8"/>
        <v>0</v>
      </c>
      <c r="M183" s="21">
        <f t="shared" si="9"/>
        <v>0</v>
      </c>
      <c r="N183" s="9" t="str">
        <f ca="1">IFERROR(__xludf.DUMMYFUNCTION("IF(G183&lt;&gt;"""",G183, IFERROR(TRANSPOSE(FILTER('ซื้อสินค้า'!H:H,'ซื้อสินค้า'!B:B=B183,'ซื้อสินค้า'!I:I&gt;0)),))"),"")</f>
        <v/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>
      <c r="A184" s="5"/>
      <c r="B184" s="6"/>
      <c r="C184" s="20">
        <f>IFERROR(VLOOKUP(B184,ชื่อสินค้า!A:C,3,FALSE),)</f>
        <v>0</v>
      </c>
      <c r="D184" s="8" t="str">
        <f>IFERROR(VLOOKUP(B184,ชื่อสินค้า!A:D,4,FALSE),"")</f>
        <v/>
      </c>
      <c r="E184" s="9"/>
      <c r="F184" s="21" t="str">
        <f t="shared" si="5"/>
        <v/>
      </c>
      <c r="G184" s="22"/>
      <c r="H184" s="8">
        <f>IFERROR(VLOOKUP(G184,ซื้อสินค้า!H:I,2,FALSE),)</f>
        <v>0</v>
      </c>
      <c r="I184" s="21">
        <f>IFERROR(VLOOKUP(G184,ซื้อสินค้า!H:J,3,FALSE),)</f>
        <v>0</v>
      </c>
      <c r="J184" s="21">
        <f t="shared" si="6"/>
        <v>0</v>
      </c>
      <c r="K184" s="21">
        <f t="shared" si="7"/>
        <v>0</v>
      </c>
      <c r="L184" s="12">
        <f t="shared" si="8"/>
        <v>0</v>
      </c>
      <c r="M184" s="21">
        <f t="shared" si="9"/>
        <v>0</v>
      </c>
      <c r="N184" s="9" t="str">
        <f ca="1">IFERROR(__xludf.DUMMYFUNCTION("IF(G184&lt;&gt;"""",G184, IFERROR(TRANSPOSE(FILTER('ซื้อสินค้า'!H:H,'ซื้อสินค้า'!B:B=B184,'ซื้อสินค้า'!I:I&gt;0)),))"),"")</f>
        <v/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>
      <c r="A185" s="5"/>
      <c r="B185" s="6"/>
      <c r="C185" s="20">
        <f>IFERROR(VLOOKUP(B185,ชื่อสินค้า!A:C,3,FALSE),)</f>
        <v>0</v>
      </c>
      <c r="D185" s="8" t="str">
        <f>IFERROR(VLOOKUP(B185,ชื่อสินค้า!A:D,4,FALSE),"")</f>
        <v/>
      </c>
      <c r="E185" s="9"/>
      <c r="F185" s="21" t="str">
        <f t="shared" si="5"/>
        <v/>
      </c>
      <c r="G185" s="22"/>
      <c r="H185" s="8">
        <f>IFERROR(VLOOKUP(G185,ซื้อสินค้า!H:I,2,FALSE),)</f>
        <v>0</v>
      </c>
      <c r="I185" s="21">
        <f>IFERROR(VLOOKUP(G185,ซื้อสินค้า!H:J,3,FALSE),)</f>
        <v>0</v>
      </c>
      <c r="J185" s="21">
        <f t="shared" si="6"/>
        <v>0</v>
      </c>
      <c r="K185" s="21">
        <f t="shared" si="7"/>
        <v>0</v>
      </c>
      <c r="L185" s="12">
        <f t="shared" si="8"/>
        <v>0</v>
      </c>
      <c r="M185" s="21">
        <f t="shared" si="9"/>
        <v>0</v>
      </c>
      <c r="N185" s="9" t="str">
        <f ca="1">IFERROR(__xludf.DUMMYFUNCTION("IF(G185&lt;&gt;"""",G185, IFERROR(TRANSPOSE(FILTER('ซื้อสินค้า'!H:H,'ซื้อสินค้า'!B:B=B185,'ซื้อสินค้า'!I:I&gt;0)),))"),"")</f>
        <v/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>
      <c r="A186" s="5"/>
      <c r="B186" s="6"/>
      <c r="C186" s="20">
        <f>IFERROR(VLOOKUP(B186,ชื่อสินค้า!A:C,3,FALSE),)</f>
        <v>0</v>
      </c>
      <c r="D186" s="8" t="str">
        <f>IFERROR(VLOOKUP(B186,ชื่อสินค้า!A:D,4,FALSE),"")</f>
        <v/>
      </c>
      <c r="E186" s="9"/>
      <c r="F186" s="21" t="str">
        <f t="shared" si="5"/>
        <v/>
      </c>
      <c r="G186" s="22"/>
      <c r="H186" s="8">
        <f>IFERROR(VLOOKUP(G186,ซื้อสินค้า!H:I,2,FALSE),)</f>
        <v>0</v>
      </c>
      <c r="I186" s="21">
        <f>IFERROR(VLOOKUP(G186,ซื้อสินค้า!H:J,3,FALSE),)</f>
        <v>0</v>
      </c>
      <c r="J186" s="21">
        <f t="shared" si="6"/>
        <v>0</v>
      </c>
      <c r="K186" s="21">
        <f t="shared" si="7"/>
        <v>0</v>
      </c>
      <c r="L186" s="12">
        <f t="shared" si="8"/>
        <v>0</v>
      </c>
      <c r="M186" s="21">
        <f t="shared" si="9"/>
        <v>0</v>
      </c>
      <c r="N186" s="9" t="str">
        <f ca="1">IFERROR(__xludf.DUMMYFUNCTION("IF(G186&lt;&gt;"""",G186, IFERROR(TRANSPOSE(FILTER('ซื้อสินค้า'!H:H,'ซื้อสินค้า'!B:B=B186,'ซื้อสินค้า'!I:I&gt;0)),))"),"")</f>
        <v/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>
      <c r="A187" s="5"/>
      <c r="B187" s="6"/>
      <c r="C187" s="20">
        <f>IFERROR(VLOOKUP(B187,ชื่อสินค้า!A:C,3,FALSE),)</f>
        <v>0</v>
      </c>
      <c r="D187" s="8" t="str">
        <f>IFERROR(VLOOKUP(B187,ชื่อสินค้า!A:D,4,FALSE),"")</f>
        <v/>
      </c>
      <c r="E187" s="9"/>
      <c r="F187" s="21" t="str">
        <f t="shared" si="5"/>
        <v/>
      </c>
      <c r="G187" s="22"/>
      <c r="H187" s="8">
        <f>IFERROR(VLOOKUP(G187,ซื้อสินค้า!H:I,2,FALSE),)</f>
        <v>0</v>
      </c>
      <c r="I187" s="21">
        <f>IFERROR(VLOOKUP(G187,ซื้อสินค้า!H:J,3,FALSE),)</f>
        <v>0</v>
      </c>
      <c r="J187" s="21">
        <f t="shared" si="6"/>
        <v>0</v>
      </c>
      <c r="K187" s="21">
        <f t="shared" si="7"/>
        <v>0</v>
      </c>
      <c r="L187" s="12">
        <f t="shared" si="8"/>
        <v>0</v>
      </c>
      <c r="M187" s="21">
        <f t="shared" si="9"/>
        <v>0</v>
      </c>
      <c r="N187" s="9" t="str">
        <f ca="1">IFERROR(__xludf.DUMMYFUNCTION("IF(G187&lt;&gt;"""",G187, IFERROR(TRANSPOSE(FILTER('ซื้อสินค้า'!H:H,'ซื้อสินค้า'!B:B=B187,'ซื้อสินค้า'!I:I&gt;0)),))"),"")</f>
        <v/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>
      <c r="A188" s="5"/>
      <c r="B188" s="6"/>
      <c r="C188" s="20">
        <f>IFERROR(VLOOKUP(B188,ชื่อสินค้า!A:C,3,FALSE),)</f>
        <v>0</v>
      </c>
      <c r="D188" s="8" t="str">
        <f>IFERROR(VLOOKUP(B188,ชื่อสินค้า!A:D,4,FALSE),"")</f>
        <v/>
      </c>
      <c r="E188" s="9"/>
      <c r="F188" s="21" t="str">
        <f t="shared" si="5"/>
        <v/>
      </c>
      <c r="G188" s="22"/>
      <c r="H188" s="8">
        <f>IFERROR(VLOOKUP(G188,ซื้อสินค้า!H:I,2,FALSE),)</f>
        <v>0</v>
      </c>
      <c r="I188" s="21">
        <f>IFERROR(VLOOKUP(G188,ซื้อสินค้า!H:J,3,FALSE),)</f>
        <v>0</v>
      </c>
      <c r="J188" s="21">
        <f t="shared" si="6"/>
        <v>0</v>
      </c>
      <c r="K188" s="21">
        <f t="shared" si="7"/>
        <v>0</v>
      </c>
      <c r="L188" s="12">
        <f t="shared" si="8"/>
        <v>0</v>
      </c>
      <c r="M188" s="21">
        <f t="shared" si="9"/>
        <v>0</v>
      </c>
      <c r="N188" s="9" t="str">
        <f ca="1">IFERROR(__xludf.DUMMYFUNCTION("IF(G188&lt;&gt;"""",G188, IFERROR(TRANSPOSE(FILTER('ซื้อสินค้า'!H:H,'ซื้อสินค้า'!B:B=B188,'ซื้อสินค้า'!I:I&gt;0)),))"),"")</f>
        <v/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>
      <c r="A189" s="5"/>
      <c r="B189" s="6"/>
      <c r="C189" s="20">
        <f>IFERROR(VLOOKUP(B189,ชื่อสินค้า!A:C,3,FALSE),)</f>
        <v>0</v>
      </c>
      <c r="D189" s="8" t="str">
        <f>IFERROR(VLOOKUP(B189,ชื่อสินค้า!A:D,4,FALSE),"")</f>
        <v/>
      </c>
      <c r="E189" s="9"/>
      <c r="F189" s="21" t="str">
        <f t="shared" si="5"/>
        <v/>
      </c>
      <c r="G189" s="22"/>
      <c r="H189" s="8">
        <f>IFERROR(VLOOKUP(G189,ซื้อสินค้า!H:I,2,FALSE),)</f>
        <v>0</v>
      </c>
      <c r="I189" s="21">
        <f>IFERROR(VLOOKUP(G189,ซื้อสินค้า!H:J,3,FALSE),)</f>
        <v>0</v>
      </c>
      <c r="J189" s="21">
        <f t="shared" si="6"/>
        <v>0</v>
      </c>
      <c r="K189" s="21">
        <f t="shared" si="7"/>
        <v>0</v>
      </c>
      <c r="L189" s="12">
        <f t="shared" si="8"/>
        <v>0</v>
      </c>
      <c r="M189" s="21">
        <f t="shared" si="9"/>
        <v>0</v>
      </c>
      <c r="N189" s="9" t="str">
        <f ca="1">IFERROR(__xludf.DUMMYFUNCTION("IF(G189&lt;&gt;"""",G189, IFERROR(TRANSPOSE(FILTER('ซื้อสินค้า'!H:H,'ซื้อสินค้า'!B:B=B189,'ซื้อสินค้า'!I:I&gt;0)),))"),"")</f>
        <v/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>
      <c r="A190" s="5"/>
      <c r="B190" s="6"/>
      <c r="C190" s="20">
        <f>IFERROR(VLOOKUP(B190,ชื่อสินค้า!A:C,3,FALSE),)</f>
        <v>0</v>
      </c>
      <c r="D190" s="8" t="str">
        <f>IFERROR(VLOOKUP(B190,ชื่อสินค้า!A:D,4,FALSE),"")</f>
        <v/>
      </c>
      <c r="E190" s="9"/>
      <c r="F190" s="21" t="str">
        <f t="shared" si="5"/>
        <v/>
      </c>
      <c r="G190" s="22"/>
      <c r="H190" s="8">
        <f>IFERROR(VLOOKUP(G190,ซื้อสินค้า!H:I,2,FALSE),)</f>
        <v>0</v>
      </c>
      <c r="I190" s="21">
        <f>IFERROR(VLOOKUP(G190,ซื้อสินค้า!H:J,3,FALSE),)</f>
        <v>0</v>
      </c>
      <c r="J190" s="21">
        <f t="shared" si="6"/>
        <v>0</v>
      </c>
      <c r="K190" s="21">
        <f t="shared" si="7"/>
        <v>0</v>
      </c>
      <c r="L190" s="12">
        <f t="shared" si="8"/>
        <v>0</v>
      </c>
      <c r="M190" s="21">
        <f t="shared" si="9"/>
        <v>0</v>
      </c>
      <c r="N190" s="9" t="str">
        <f ca="1">IFERROR(__xludf.DUMMYFUNCTION("IF(G190&lt;&gt;"""",G190, IFERROR(TRANSPOSE(FILTER('ซื้อสินค้า'!H:H,'ซื้อสินค้า'!B:B=B190,'ซื้อสินค้า'!I:I&gt;0)),))"),"")</f>
        <v/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>
      <c r="A191" s="5"/>
      <c r="B191" s="6"/>
      <c r="C191" s="20">
        <f>IFERROR(VLOOKUP(B191,ชื่อสินค้า!A:C,3,FALSE),)</f>
        <v>0</v>
      </c>
      <c r="D191" s="8" t="str">
        <f>IFERROR(VLOOKUP(B191,ชื่อสินค้า!A:D,4,FALSE),"")</f>
        <v/>
      </c>
      <c r="E191" s="9"/>
      <c r="F191" s="21" t="str">
        <f t="shared" si="5"/>
        <v/>
      </c>
      <c r="G191" s="22"/>
      <c r="H191" s="8">
        <f>IFERROR(VLOOKUP(G191,ซื้อสินค้า!H:I,2,FALSE),)</f>
        <v>0</v>
      </c>
      <c r="I191" s="21">
        <f>IFERROR(VLOOKUP(G191,ซื้อสินค้า!H:J,3,FALSE),)</f>
        <v>0</v>
      </c>
      <c r="J191" s="21">
        <f t="shared" si="6"/>
        <v>0</v>
      </c>
      <c r="K191" s="21">
        <f t="shared" si="7"/>
        <v>0</v>
      </c>
      <c r="L191" s="12">
        <f t="shared" si="8"/>
        <v>0</v>
      </c>
      <c r="M191" s="21">
        <f t="shared" si="9"/>
        <v>0</v>
      </c>
      <c r="N191" s="9" t="str">
        <f ca="1">IFERROR(__xludf.DUMMYFUNCTION("IF(G191&lt;&gt;"""",G191, IFERROR(TRANSPOSE(FILTER('ซื้อสินค้า'!H:H,'ซื้อสินค้า'!B:B=B191,'ซื้อสินค้า'!I:I&gt;0)),))"),"")</f>
        <v/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>
      <c r="A192" s="5"/>
      <c r="B192" s="6"/>
      <c r="C192" s="20">
        <f>IFERROR(VLOOKUP(B192,ชื่อสินค้า!A:C,3,FALSE),)</f>
        <v>0</v>
      </c>
      <c r="D192" s="8" t="str">
        <f>IFERROR(VLOOKUP(B192,ชื่อสินค้า!A:D,4,FALSE),"")</f>
        <v/>
      </c>
      <c r="E192" s="9"/>
      <c r="F192" s="21" t="str">
        <f t="shared" si="5"/>
        <v/>
      </c>
      <c r="G192" s="22"/>
      <c r="H192" s="8">
        <f>IFERROR(VLOOKUP(G192,ซื้อสินค้า!H:I,2,FALSE),)</f>
        <v>0</v>
      </c>
      <c r="I192" s="21">
        <f>IFERROR(VLOOKUP(G192,ซื้อสินค้า!H:J,3,FALSE),)</f>
        <v>0</v>
      </c>
      <c r="J192" s="21">
        <f t="shared" si="6"/>
        <v>0</v>
      </c>
      <c r="K192" s="21">
        <f t="shared" si="7"/>
        <v>0</v>
      </c>
      <c r="L192" s="12">
        <f t="shared" si="8"/>
        <v>0</v>
      </c>
      <c r="M192" s="21">
        <f t="shared" si="9"/>
        <v>0</v>
      </c>
      <c r="N192" s="9" t="str">
        <f ca="1">IFERROR(__xludf.DUMMYFUNCTION("IF(G192&lt;&gt;"""",G192, IFERROR(TRANSPOSE(FILTER('ซื้อสินค้า'!H:H,'ซื้อสินค้า'!B:B=B192,'ซื้อสินค้า'!I:I&gt;0)),))"),"")</f>
        <v/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>
      <c r="A193" s="5"/>
      <c r="B193" s="6"/>
      <c r="C193" s="20">
        <f>IFERROR(VLOOKUP(B193,ชื่อสินค้า!A:C,3,FALSE),)</f>
        <v>0</v>
      </c>
      <c r="D193" s="8" t="str">
        <f>IFERROR(VLOOKUP(B193,ชื่อสินค้า!A:D,4,FALSE),"")</f>
        <v/>
      </c>
      <c r="E193" s="9"/>
      <c r="F193" s="21" t="str">
        <f t="shared" si="5"/>
        <v/>
      </c>
      <c r="G193" s="22"/>
      <c r="H193" s="8">
        <f>IFERROR(VLOOKUP(G193,ซื้อสินค้า!H:I,2,FALSE),)</f>
        <v>0</v>
      </c>
      <c r="I193" s="21">
        <f>IFERROR(VLOOKUP(G193,ซื้อสินค้า!H:J,3,FALSE),)</f>
        <v>0</v>
      </c>
      <c r="J193" s="21">
        <f t="shared" si="6"/>
        <v>0</v>
      </c>
      <c r="K193" s="21">
        <f t="shared" si="7"/>
        <v>0</v>
      </c>
      <c r="L193" s="12">
        <f t="shared" si="8"/>
        <v>0</v>
      </c>
      <c r="M193" s="21">
        <f t="shared" si="9"/>
        <v>0</v>
      </c>
      <c r="N193" s="9" t="str">
        <f ca="1">IFERROR(__xludf.DUMMYFUNCTION("IF(G193&lt;&gt;"""",G193, IFERROR(TRANSPOSE(FILTER('ซื้อสินค้า'!H:H,'ซื้อสินค้า'!B:B=B193,'ซื้อสินค้า'!I:I&gt;0)),))"),"")</f>
        <v/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>
      <c r="A194" s="5"/>
      <c r="B194" s="6"/>
      <c r="C194" s="20">
        <f>IFERROR(VLOOKUP(B194,ชื่อสินค้า!A:C,3,FALSE),)</f>
        <v>0</v>
      </c>
      <c r="D194" s="8" t="str">
        <f>IFERROR(VLOOKUP(B194,ชื่อสินค้า!A:D,4,FALSE),"")</f>
        <v/>
      </c>
      <c r="E194" s="9"/>
      <c r="F194" s="21" t="str">
        <f t="shared" si="5"/>
        <v/>
      </c>
      <c r="G194" s="22"/>
      <c r="H194" s="8">
        <f>IFERROR(VLOOKUP(G194,ซื้อสินค้า!H:I,2,FALSE),)</f>
        <v>0</v>
      </c>
      <c r="I194" s="21">
        <f>IFERROR(VLOOKUP(G194,ซื้อสินค้า!H:J,3,FALSE),)</f>
        <v>0</v>
      </c>
      <c r="J194" s="21">
        <f t="shared" si="6"/>
        <v>0</v>
      </c>
      <c r="K194" s="21">
        <f t="shared" si="7"/>
        <v>0</v>
      </c>
      <c r="L194" s="12">
        <f t="shared" si="8"/>
        <v>0</v>
      </c>
      <c r="M194" s="21">
        <f t="shared" si="9"/>
        <v>0</v>
      </c>
      <c r="N194" s="9" t="str">
        <f ca="1">IFERROR(__xludf.DUMMYFUNCTION("IF(G194&lt;&gt;"""",G194, IFERROR(TRANSPOSE(FILTER('ซื้อสินค้า'!H:H,'ซื้อสินค้า'!B:B=B194,'ซื้อสินค้า'!I:I&gt;0)),))"),"")</f>
        <v/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>
      <c r="A195" s="5"/>
      <c r="B195" s="6"/>
      <c r="C195" s="20">
        <f>IFERROR(VLOOKUP(B195,ชื่อสินค้า!A:C,3,FALSE),)</f>
        <v>0</v>
      </c>
      <c r="D195" s="8" t="str">
        <f>IFERROR(VLOOKUP(B195,ชื่อสินค้า!A:D,4,FALSE),"")</f>
        <v/>
      </c>
      <c r="E195" s="9"/>
      <c r="F195" s="21" t="str">
        <f t="shared" si="5"/>
        <v/>
      </c>
      <c r="G195" s="22"/>
      <c r="H195" s="8">
        <f>IFERROR(VLOOKUP(G195,ซื้อสินค้า!H:I,2,FALSE),)</f>
        <v>0</v>
      </c>
      <c r="I195" s="21">
        <f>IFERROR(VLOOKUP(G195,ซื้อสินค้า!H:J,3,FALSE),)</f>
        <v>0</v>
      </c>
      <c r="J195" s="21">
        <f t="shared" si="6"/>
        <v>0</v>
      </c>
      <c r="K195" s="21">
        <f t="shared" si="7"/>
        <v>0</v>
      </c>
      <c r="L195" s="12">
        <f t="shared" si="8"/>
        <v>0</v>
      </c>
      <c r="M195" s="21">
        <f t="shared" si="9"/>
        <v>0</v>
      </c>
      <c r="N195" s="9" t="str">
        <f ca="1">IFERROR(__xludf.DUMMYFUNCTION("IF(G195&lt;&gt;"""",G195, IFERROR(TRANSPOSE(FILTER('ซื้อสินค้า'!H:H,'ซื้อสินค้า'!B:B=B195,'ซื้อสินค้า'!I:I&gt;0)),))"),"")</f>
        <v/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>
      <c r="A196" s="5"/>
      <c r="B196" s="6"/>
      <c r="C196" s="20">
        <f>IFERROR(VLOOKUP(B196,ชื่อสินค้า!A:C,3,FALSE),)</f>
        <v>0</v>
      </c>
      <c r="D196" s="8" t="str">
        <f>IFERROR(VLOOKUP(B196,ชื่อสินค้า!A:D,4,FALSE),"")</f>
        <v/>
      </c>
      <c r="E196" s="9"/>
      <c r="F196" s="21" t="str">
        <f t="shared" si="5"/>
        <v/>
      </c>
      <c r="G196" s="22"/>
      <c r="H196" s="8">
        <f>IFERROR(VLOOKUP(G196,ซื้อสินค้า!H:I,2,FALSE),)</f>
        <v>0</v>
      </c>
      <c r="I196" s="21">
        <f>IFERROR(VLOOKUP(G196,ซื้อสินค้า!H:J,3,FALSE),)</f>
        <v>0</v>
      </c>
      <c r="J196" s="21">
        <f t="shared" si="6"/>
        <v>0</v>
      </c>
      <c r="K196" s="21">
        <f t="shared" si="7"/>
        <v>0</v>
      </c>
      <c r="L196" s="12">
        <f t="shared" si="8"/>
        <v>0</v>
      </c>
      <c r="M196" s="21">
        <f t="shared" si="9"/>
        <v>0</v>
      </c>
      <c r="N196" s="9" t="str">
        <f ca="1">IFERROR(__xludf.DUMMYFUNCTION("IF(G196&lt;&gt;"""",G196, IFERROR(TRANSPOSE(FILTER('ซื้อสินค้า'!H:H,'ซื้อสินค้า'!B:B=B196,'ซื้อสินค้า'!I:I&gt;0)),))"),"")</f>
        <v/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>
      <c r="A197" s="5"/>
      <c r="B197" s="6"/>
      <c r="C197" s="20">
        <f>IFERROR(VLOOKUP(B197,ชื่อสินค้า!A:C,3,FALSE),)</f>
        <v>0</v>
      </c>
      <c r="D197" s="8" t="str">
        <f>IFERROR(VLOOKUP(B197,ชื่อสินค้า!A:D,4,FALSE),"")</f>
        <v/>
      </c>
      <c r="E197" s="9"/>
      <c r="F197" s="21" t="str">
        <f t="shared" si="5"/>
        <v/>
      </c>
      <c r="G197" s="22"/>
      <c r="H197" s="8">
        <f>IFERROR(VLOOKUP(G197,ซื้อสินค้า!H:I,2,FALSE),)</f>
        <v>0</v>
      </c>
      <c r="I197" s="21">
        <f>IFERROR(VLOOKUP(G197,ซื้อสินค้า!H:J,3,FALSE),)</f>
        <v>0</v>
      </c>
      <c r="J197" s="21">
        <f t="shared" si="6"/>
        <v>0</v>
      </c>
      <c r="K197" s="21">
        <f t="shared" si="7"/>
        <v>0</v>
      </c>
      <c r="L197" s="12">
        <f t="shared" si="8"/>
        <v>0</v>
      </c>
      <c r="M197" s="21">
        <f t="shared" si="9"/>
        <v>0</v>
      </c>
      <c r="N197" s="9" t="str">
        <f ca="1">IFERROR(__xludf.DUMMYFUNCTION("IF(G197&lt;&gt;"""",G197, IFERROR(TRANSPOSE(FILTER('ซื้อสินค้า'!H:H,'ซื้อสินค้า'!B:B=B197,'ซื้อสินค้า'!I:I&gt;0)),))"),"")</f>
        <v/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>
      <c r="A198" s="5"/>
      <c r="B198" s="6"/>
      <c r="C198" s="20">
        <f>IFERROR(VLOOKUP(B198,ชื่อสินค้า!A:C,3,FALSE),)</f>
        <v>0</v>
      </c>
      <c r="D198" s="8" t="str">
        <f>IFERROR(VLOOKUP(B198,ชื่อสินค้า!A:D,4,FALSE),"")</f>
        <v/>
      </c>
      <c r="E198" s="9"/>
      <c r="F198" s="21" t="str">
        <f t="shared" si="5"/>
        <v/>
      </c>
      <c r="G198" s="22"/>
      <c r="H198" s="8">
        <f>IFERROR(VLOOKUP(G198,ซื้อสินค้า!H:I,2,FALSE),)</f>
        <v>0</v>
      </c>
      <c r="I198" s="21">
        <f>IFERROR(VLOOKUP(G198,ซื้อสินค้า!H:J,3,FALSE),)</f>
        <v>0</v>
      </c>
      <c r="J198" s="21">
        <f t="shared" si="6"/>
        <v>0</v>
      </c>
      <c r="K198" s="21">
        <f t="shared" si="7"/>
        <v>0</v>
      </c>
      <c r="L198" s="12">
        <f t="shared" si="8"/>
        <v>0</v>
      </c>
      <c r="M198" s="21">
        <f t="shared" si="9"/>
        <v>0</v>
      </c>
      <c r="N198" s="9" t="str">
        <f ca="1">IFERROR(__xludf.DUMMYFUNCTION("IF(G198&lt;&gt;"""",G198, IFERROR(TRANSPOSE(FILTER('ซื้อสินค้า'!H:H,'ซื้อสินค้า'!B:B=B198,'ซื้อสินค้า'!I:I&gt;0)),))"),"")</f>
        <v/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>
      <c r="A199" s="5"/>
      <c r="B199" s="6"/>
      <c r="C199" s="20">
        <f>IFERROR(VLOOKUP(B199,ชื่อสินค้า!A:C,3,FALSE),)</f>
        <v>0</v>
      </c>
      <c r="D199" s="8" t="str">
        <f>IFERROR(VLOOKUP(B199,ชื่อสินค้า!A:D,4,FALSE),"")</f>
        <v/>
      </c>
      <c r="E199" s="9"/>
      <c r="F199" s="21" t="str">
        <f t="shared" si="5"/>
        <v/>
      </c>
      <c r="G199" s="22"/>
      <c r="H199" s="8">
        <f>IFERROR(VLOOKUP(G199,ซื้อสินค้า!H:I,2,FALSE),)</f>
        <v>0</v>
      </c>
      <c r="I199" s="21">
        <f>IFERROR(VLOOKUP(G199,ซื้อสินค้า!H:J,3,FALSE),)</f>
        <v>0</v>
      </c>
      <c r="J199" s="21">
        <f t="shared" si="6"/>
        <v>0</v>
      </c>
      <c r="K199" s="21">
        <f t="shared" si="7"/>
        <v>0</v>
      </c>
      <c r="L199" s="12">
        <f t="shared" si="8"/>
        <v>0</v>
      </c>
      <c r="M199" s="21">
        <f t="shared" si="9"/>
        <v>0</v>
      </c>
      <c r="N199" s="9" t="str">
        <f ca="1">IFERROR(__xludf.DUMMYFUNCTION("IF(G199&lt;&gt;"""",G199, IFERROR(TRANSPOSE(FILTER('ซื้อสินค้า'!H:H,'ซื้อสินค้า'!B:B=B199,'ซื้อสินค้า'!I:I&gt;0)),))"),"")</f>
        <v/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>
      <c r="A200" s="5"/>
      <c r="B200" s="6"/>
      <c r="C200" s="20">
        <f>IFERROR(VLOOKUP(B200,ชื่อสินค้า!A:C,3,FALSE),)</f>
        <v>0</v>
      </c>
      <c r="D200" s="8" t="str">
        <f>IFERROR(VLOOKUP(B200,ชื่อสินค้า!A:D,4,FALSE),"")</f>
        <v/>
      </c>
      <c r="E200" s="9"/>
      <c r="F200" s="21" t="str">
        <f t="shared" si="5"/>
        <v/>
      </c>
      <c r="G200" s="22"/>
      <c r="H200" s="8">
        <f>IFERROR(VLOOKUP(G200,ซื้อสินค้า!H:I,2,FALSE),)</f>
        <v>0</v>
      </c>
      <c r="I200" s="21">
        <f>IFERROR(VLOOKUP(G200,ซื้อสินค้า!H:J,3,FALSE),)</f>
        <v>0</v>
      </c>
      <c r="J200" s="21">
        <f t="shared" si="6"/>
        <v>0</v>
      </c>
      <c r="K200" s="21">
        <f t="shared" si="7"/>
        <v>0</v>
      </c>
      <c r="L200" s="12">
        <f t="shared" si="8"/>
        <v>0</v>
      </c>
      <c r="M200" s="21">
        <f t="shared" si="9"/>
        <v>0</v>
      </c>
      <c r="N200" s="9" t="str">
        <f ca="1">IFERROR(__xludf.DUMMYFUNCTION("IF(G200&lt;&gt;"""",G200, IFERROR(TRANSPOSE(FILTER('ซื้อสินค้า'!H:H,'ซื้อสินค้า'!B:B=B200,'ซื้อสินค้า'!I:I&gt;0)),))"),"")</f>
        <v/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>
      <c r="A201" s="5"/>
      <c r="B201" s="6"/>
      <c r="C201" s="20">
        <f>IFERROR(VLOOKUP(B201,ชื่อสินค้า!A:C,3,FALSE),)</f>
        <v>0</v>
      </c>
      <c r="D201" s="8" t="str">
        <f>IFERROR(VLOOKUP(B201,ชื่อสินค้า!A:D,4,FALSE),"")</f>
        <v/>
      </c>
      <c r="E201" s="9"/>
      <c r="F201" s="21" t="str">
        <f t="shared" si="5"/>
        <v/>
      </c>
      <c r="G201" s="22"/>
      <c r="H201" s="8">
        <f>IFERROR(VLOOKUP(G201,ซื้อสินค้า!H:I,2,FALSE),)</f>
        <v>0</v>
      </c>
      <c r="I201" s="21">
        <f>IFERROR(VLOOKUP(G201,ซื้อสินค้า!H:J,3,FALSE),)</f>
        <v>0</v>
      </c>
      <c r="J201" s="21">
        <f t="shared" si="6"/>
        <v>0</v>
      </c>
      <c r="K201" s="21">
        <f t="shared" si="7"/>
        <v>0</v>
      </c>
      <c r="L201" s="12">
        <f t="shared" si="8"/>
        <v>0</v>
      </c>
      <c r="M201" s="21">
        <f t="shared" si="9"/>
        <v>0</v>
      </c>
      <c r="N201" s="9" t="str">
        <f ca="1">IFERROR(__xludf.DUMMYFUNCTION("IF(G201&lt;&gt;"""",G201, IFERROR(TRANSPOSE(FILTER('ซื้อสินค้า'!H:H,'ซื้อสินค้า'!B:B=B201,'ซื้อสินค้า'!I:I&gt;0)),))"),"")</f>
        <v/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>
      <c r="A202" s="5"/>
      <c r="B202" s="6"/>
      <c r="C202" s="20">
        <f>IFERROR(VLOOKUP(B202,ชื่อสินค้า!A:C,3,FALSE),)</f>
        <v>0</v>
      </c>
      <c r="D202" s="8" t="str">
        <f>IFERROR(VLOOKUP(B202,ชื่อสินค้า!A:D,4,FALSE),"")</f>
        <v/>
      </c>
      <c r="E202" s="9"/>
      <c r="F202" s="21" t="str">
        <f t="shared" si="5"/>
        <v/>
      </c>
      <c r="G202" s="22"/>
      <c r="H202" s="8">
        <f>IFERROR(VLOOKUP(G202,ซื้อสินค้า!H:I,2,FALSE),)</f>
        <v>0</v>
      </c>
      <c r="I202" s="21">
        <f>IFERROR(VLOOKUP(G202,ซื้อสินค้า!H:J,3,FALSE),)</f>
        <v>0</v>
      </c>
      <c r="J202" s="21">
        <f t="shared" si="6"/>
        <v>0</v>
      </c>
      <c r="K202" s="21">
        <f t="shared" si="7"/>
        <v>0</v>
      </c>
      <c r="L202" s="12">
        <f t="shared" si="8"/>
        <v>0</v>
      </c>
      <c r="M202" s="21">
        <f t="shared" si="9"/>
        <v>0</v>
      </c>
      <c r="N202" s="9" t="str">
        <f ca="1">IFERROR(__xludf.DUMMYFUNCTION("IF(G202&lt;&gt;"""",G202, IFERROR(TRANSPOSE(FILTER('ซื้อสินค้า'!H:H,'ซื้อสินค้า'!B:B=B202,'ซื้อสินค้า'!I:I&gt;0)),))"),"")</f>
        <v/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>
      <c r="A203" s="5"/>
      <c r="B203" s="6"/>
      <c r="C203" s="20">
        <f>IFERROR(VLOOKUP(B203,ชื่อสินค้า!A:C,3,FALSE),)</f>
        <v>0</v>
      </c>
      <c r="D203" s="8" t="str">
        <f>IFERROR(VLOOKUP(B203,ชื่อสินค้า!A:D,4,FALSE),"")</f>
        <v/>
      </c>
      <c r="E203" s="9"/>
      <c r="F203" s="21" t="str">
        <f t="shared" si="5"/>
        <v/>
      </c>
      <c r="G203" s="22"/>
      <c r="H203" s="8">
        <f>IFERROR(VLOOKUP(G203,ซื้อสินค้า!H:I,2,FALSE),)</f>
        <v>0</v>
      </c>
      <c r="I203" s="21">
        <f>IFERROR(VLOOKUP(G203,ซื้อสินค้า!H:J,3,FALSE),)</f>
        <v>0</v>
      </c>
      <c r="J203" s="21">
        <f t="shared" si="6"/>
        <v>0</v>
      </c>
      <c r="K203" s="21">
        <f t="shared" si="7"/>
        <v>0</v>
      </c>
      <c r="L203" s="12">
        <f t="shared" si="8"/>
        <v>0</v>
      </c>
      <c r="M203" s="21">
        <f t="shared" si="9"/>
        <v>0</v>
      </c>
      <c r="N203" s="9" t="str">
        <f ca="1">IFERROR(__xludf.DUMMYFUNCTION("IF(G203&lt;&gt;"""",G203, IFERROR(TRANSPOSE(FILTER('ซื้อสินค้า'!H:H,'ซื้อสินค้า'!B:B=B203,'ซื้อสินค้า'!I:I&gt;0)),))"),"")</f>
        <v/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>
      <c r="A204" s="5"/>
      <c r="B204" s="6"/>
      <c r="C204" s="20">
        <f>IFERROR(VLOOKUP(B204,ชื่อสินค้า!A:C,3,FALSE),)</f>
        <v>0</v>
      </c>
      <c r="D204" s="8" t="str">
        <f>IFERROR(VLOOKUP(B204,ชื่อสินค้า!A:D,4,FALSE),"")</f>
        <v/>
      </c>
      <c r="E204" s="9"/>
      <c r="F204" s="21" t="str">
        <f t="shared" si="5"/>
        <v/>
      </c>
      <c r="G204" s="22"/>
      <c r="H204" s="8">
        <f>IFERROR(VLOOKUP(G204,ซื้อสินค้า!H:I,2,FALSE),)</f>
        <v>0</v>
      </c>
      <c r="I204" s="21">
        <f>IFERROR(VLOOKUP(G204,ซื้อสินค้า!H:J,3,FALSE),)</f>
        <v>0</v>
      </c>
      <c r="J204" s="21">
        <f t="shared" si="6"/>
        <v>0</v>
      </c>
      <c r="K204" s="21">
        <f t="shared" si="7"/>
        <v>0</v>
      </c>
      <c r="L204" s="12">
        <f t="shared" si="8"/>
        <v>0</v>
      </c>
      <c r="M204" s="21">
        <f t="shared" si="9"/>
        <v>0</v>
      </c>
      <c r="N204" s="9" t="str">
        <f ca="1">IFERROR(__xludf.DUMMYFUNCTION("IF(G204&lt;&gt;"""",G204, IFERROR(TRANSPOSE(FILTER('ซื้อสินค้า'!H:H,'ซื้อสินค้า'!B:B=B204,'ซื้อสินค้า'!I:I&gt;0)),))"),"")</f>
        <v/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>
      <c r="A205" s="5"/>
      <c r="B205" s="6"/>
      <c r="C205" s="20">
        <f>IFERROR(VLOOKUP(B205,ชื่อสินค้า!A:C,3,FALSE),)</f>
        <v>0</v>
      </c>
      <c r="D205" s="8" t="str">
        <f>IFERROR(VLOOKUP(B205,ชื่อสินค้า!A:D,4,FALSE),"")</f>
        <v/>
      </c>
      <c r="E205" s="9"/>
      <c r="F205" s="21" t="str">
        <f t="shared" si="5"/>
        <v/>
      </c>
      <c r="G205" s="22"/>
      <c r="H205" s="8">
        <f>IFERROR(VLOOKUP(G205,ซื้อสินค้า!H:I,2,FALSE),)</f>
        <v>0</v>
      </c>
      <c r="I205" s="21">
        <f>IFERROR(VLOOKUP(G205,ซื้อสินค้า!H:J,3,FALSE),)</f>
        <v>0</v>
      </c>
      <c r="J205" s="21">
        <f t="shared" si="6"/>
        <v>0</v>
      </c>
      <c r="K205" s="21">
        <f t="shared" si="7"/>
        <v>0</v>
      </c>
      <c r="L205" s="12">
        <f t="shared" si="8"/>
        <v>0</v>
      </c>
      <c r="M205" s="21">
        <f t="shared" si="9"/>
        <v>0</v>
      </c>
      <c r="N205" s="9" t="str">
        <f ca="1">IFERROR(__xludf.DUMMYFUNCTION("IF(G205&lt;&gt;"""",G205, IFERROR(TRANSPOSE(FILTER('ซื้อสินค้า'!H:H,'ซื้อสินค้า'!B:B=B205,'ซื้อสินค้า'!I:I&gt;0)),))"),"")</f>
        <v/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>
      <c r="A206" s="5"/>
      <c r="B206" s="6"/>
      <c r="C206" s="20">
        <f>IFERROR(VLOOKUP(B206,ชื่อสินค้า!A:C,3,FALSE),)</f>
        <v>0</v>
      </c>
      <c r="D206" s="8" t="str">
        <f>IFERROR(VLOOKUP(B206,ชื่อสินค้า!A:D,4,FALSE),"")</f>
        <v/>
      </c>
      <c r="E206" s="9"/>
      <c r="F206" s="21" t="str">
        <f t="shared" si="5"/>
        <v/>
      </c>
      <c r="G206" s="22"/>
      <c r="H206" s="8">
        <f>IFERROR(VLOOKUP(G206,ซื้อสินค้า!H:I,2,FALSE),)</f>
        <v>0</v>
      </c>
      <c r="I206" s="21">
        <f>IFERROR(VLOOKUP(G206,ซื้อสินค้า!H:J,3,FALSE),)</f>
        <v>0</v>
      </c>
      <c r="J206" s="21">
        <f t="shared" si="6"/>
        <v>0</v>
      </c>
      <c r="K206" s="21">
        <f t="shared" si="7"/>
        <v>0</v>
      </c>
      <c r="L206" s="12">
        <f t="shared" si="8"/>
        <v>0</v>
      </c>
      <c r="M206" s="21">
        <f t="shared" si="9"/>
        <v>0</v>
      </c>
      <c r="N206" s="9" t="str">
        <f ca="1">IFERROR(__xludf.DUMMYFUNCTION("IF(G206&lt;&gt;"""",G206, IFERROR(TRANSPOSE(FILTER('ซื้อสินค้า'!H:H,'ซื้อสินค้า'!B:B=B206,'ซื้อสินค้า'!I:I&gt;0)),))"),"")</f>
        <v/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>
      <c r="A207" s="5"/>
      <c r="B207" s="6"/>
      <c r="C207" s="20">
        <f>IFERROR(VLOOKUP(B207,ชื่อสินค้า!A:C,3,FALSE),)</f>
        <v>0</v>
      </c>
      <c r="D207" s="8" t="str">
        <f>IFERROR(VLOOKUP(B207,ชื่อสินค้า!A:D,4,FALSE),"")</f>
        <v/>
      </c>
      <c r="E207" s="9"/>
      <c r="F207" s="21" t="str">
        <f t="shared" si="5"/>
        <v/>
      </c>
      <c r="G207" s="22"/>
      <c r="H207" s="8">
        <f>IFERROR(VLOOKUP(G207,ซื้อสินค้า!H:I,2,FALSE),)</f>
        <v>0</v>
      </c>
      <c r="I207" s="21">
        <f>IFERROR(VLOOKUP(G207,ซื้อสินค้า!H:J,3,FALSE),)</f>
        <v>0</v>
      </c>
      <c r="J207" s="21">
        <f t="shared" si="6"/>
        <v>0</v>
      </c>
      <c r="K207" s="21">
        <f t="shared" si="7"/>
        <v>0</v>
      </c>
      <c r="L207" s="12">
        <f t="shared" si="8"/>
        <v>0</v>
      </c>
      <c r="M207" s="21">
        <f t="shared" si="9"/>
        <v>0</v>
      </c>
      <c r="N207" s="9" t="str">
        <f ca="1">IFERROR(__xludf.DUMMYFUNCTION("IF(G207&lt;&gt;"""",G207, IFERROR(TRANSPOSE(FILTER('ซื้อสินค้า'!H:H,'ซื้อสินค้า'!B:B=B207,'ซื้อสินค้า'!I:I&gt;0)),))"),"")</f>
        <v/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>
      <c r="A208" s="5"/>
      <c r="B208" s="6"/>
      <c r="C208" s="20">
        <f>IFERROR(VLOOKUP(B208,ชื่อสินค้า!A:C,3,FALSE),)</f>
        <v>0</v>
      </c>
      <c r="D208" s="8" t="str">
        <f>IFERROR(VLOOKUP(B208,ชื่อสินค้า!A:D,4,FALSE),"")</f>
        <v/>
      </c>
      <c r="E208" s="9"/>
      <c r="F208" s="21" t="str">
        <f t="shared" si="5"/>
        <v/>
      </c>
      <c r="G208" s="22"/>
      <c r="H208" s="8">
        <f>IFERROR(VLOOKUP(G208,ซื้อสินค้า!H:I,2,FALSE),)</f>
        <v>0</v>
      </c>
      <c r="I208" s="21">
        <f>IFERROR(VLOOKUP(G208,ซื้อสินค้า!H:J,3,FALSE),)</f>
        <v>0</v>
      </c>
      <c r="J208" s="21">
        <f t="shared" si="6"/>
        <v>0</v>
      </c>
      <c r="K208" s="21">
        <f t="shared" si="7"/>
        <v>0</v>
      </c>
      <c r="L208" s="12">
        <f t="shared" si="8"/>
        <v>0</v>
      </c>
      <c r="M208" s="21">
        <f t="shared" si="9"/>
        <v>0</v>
      </c>
      <c r="N208" s="9" t="str">
        <f ca="1">IFERROR(__xludf.DUMMYFUNCTION("IF(G208&lt;&gt;"""",G208, IFERROR(TRANSPOSE(FILTER('ซื้อสินค้า'!H:H,'ซื้อสินค้า'!B:B=B208,'ซื้อสินค้า'!I:I&gt;0)),))"),"")</f>
        <v/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>
      <c r="A209" s="5"/>
      <c r="B209" s="6"/>
      <c r="C209" s="20">
        <f>IFERROR(VLOOKUP(B209,ชื่อสินค้า!A:C,3,FALSE),)</f>
        <v>0</v>
      </c>
      <c r="D209" s="8" t="str">
        <f>IFERROR(VLOOKUP(B209,ชื่อสินค้า!A:D,4,FALSE),"")</f>
        <v/>
      </c>
      <c r="E209" s="9"/>
      <c r="F209" s="21" t="str">
        <f t="shared" si="5"/>
        <v/>
      </c>
      <c r="G209" s="22"/>
      <c r="H209" s="8">
        <f>IFERROR(VLOOKUP(G209,ซื้อสินค้า!H:I,2,FALSE),)</f>
        <v>0</v>
      </c>
      <c r="I209" s="21">
        <f>IFERROR(VLOOKUP(G209,ซื้อสินค้า!H:J,3,FALSE),)</f>
        <v>0</v>
      </c>
      <c r="J209" s="21">
        <f t="shared" si="6"/>
        <v>0</v>
      </c>
      <c r="K209" s="21">
        <f t="shared" si="7"/>
        <v>0</v>
      </c>
      <c r="L209" s="12">
        <f t="shared" si="8"/>
        <v>0</v>
      </c>
      <c r="M209" s="21">
        <f t="shared" si="9"/>
        <v>0</v>
      </c>
      <c r="N209" s="9" t="str">
        <f ca="1">IFERROR(__xludf.DUMMYFUNCTION("IF(G209&lt;&gt;"""",G209, IFERROR(TRANSPOSE(FILTER('ซื้อสินค้า'!H:H,'ซื้อสินค้า'!B:B=B209,'ซื้อสินค้า'!I:I&gt;0)),))"),"")</f>
        <v/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>
      <c r="A210" s="5"/>
      <c r="B210" s="6"/>
      <c r="C210" s="20">
        <f>IFERROR(VLOOKUP(B210,ชื่อสินค้า!A:C,3,FALSE),)</f>
        <v>0</v>
      </c>
      <c r="D210" s="8" t="str">
        <f>IFERROR(VLOOKUP(B210,ชื่อสินค้า!A:D,4,FALSE),"")</f>
        <v/>
      </c>
      <c r="E210" s="9"/>
      <c r="F210" s="21" t="str">
        <f t="shared" si="5"/>
        <v/>
      </c>
      <c r="G210" s="22"/>
      <c r="H210" s="8">
        <f>IFERROR(VLOOKUP(G210,ซื้อสินค้า!H:I,2,FALSE),)</f>
        <v>0</v>
      </c>
      <c r="I210" s="21">
        <f>IFERROR(VLOOKUP(G210,ซื้อสินค้า!H:J,3,FALSE),)</f>
        <v>0</v>
      </c>
      <c r="J210" s="21">
        <f t="shared" si="6"/>
        <v>0</v>
      </c>
      <c r="K210" s="21">
        <f t="shared" si="7"/>
        <v>0</v>
      </c>
      <c r="L210" s="12">
        <f t="shared" si="8"/>
        <v>0</v>
      </c>
      <c r="M210" s="21">
        <f t="shared" si="9"/>
        <v>0</v>
      </c>
      <c r="N210" s="9" t="str">
        <f ca="1">IFERROR(__xludf.DUMMYFUNCTION("IF(G210&lt;&gt;"""",G210, IFERROR(TRANSPOSE(FILTER('ซื้อสินค้า'!H:H,'ซื้อสินค้า'!B:B=B210,'ซื้อสินค้า'!I:I&gt;0)),))"),"")</f>
        <v/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>
      <c r="A211" s="5"/>
      <c r="B211" s="6"/>
      <c r="C211" s="20">
        <f>IFERROR(VLOOKUP(B211,ชื่อสินค้า!A:C,3,FALSE),)</f>
        <v>0</v>
      </c>
      <c r="D211" s="8" t="str">
        <f>IFERROR(VLOOKUP(B211,ชื่อสินค้า!A:D,4,FALSE),"")</f>
        <v/>
      </c>
      <c r="E211" s="9"/>
      <c r="F211" s="21" t="str">
        <f t="shared" si="5"/>
        <v/>
      </c>
      <c r="G211" s="22"/>
      <c r="H211" s="8">
        <f>IFERROR(VLOOKUP(G211,ซื้อสินค้า!H:I,2,FALSE),)</f>
        <v>0</v>
      </c>
      <c r="I211" s="21">
        <f>IFERROR(VLOOKUP(G211,ซื้อสินค้า!H:J,3,FALSE),)</f>
        <v>0</v>
      </c>
      <c r="J211" s="21">
        <f t="shared" si="6"/>
        <v>0</v>
      </c>
      <c r="K211" s="21">
        <f t="shared" si="7"/>
        <v>0</v>
      </c>
      <c r="L211" s="12">
        <f t="shared" si="8"/>
        <v>0</v>
      </c>
      <c r="M211" s="21">
        <f t="shared" si="9"/>
        <v>0</v>
      </c>
      <c r="N211" s="9" t="str">
        <f ca="1">IFERROR(__xludf.DUMMYFUNCTION("IF(G211&lt;&gt;"""",G211, IFERROR(TRANSPOSE(FILTER('ซื้อสินค้า'!H:H,'ซื้อสินค้า'!B:B=B211,'ซื้อสินค้า'!I:I&gt;0)),))"),"")</f>
        <v/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>
      <c r="A212" s="5"/>
      <c r="B212" s="6"/>
      <c r="C212" s="20">
        <f>IFERROR(VLOOKUP(B212,ชื่อสินค้า!A:C,3,FALSE),)</f>
        <v>0</v>
      </c>
      <c r="D212" s="8" t="str">
        <f>IFERROR(VLOOKUP(B212,ชื่อสินค้า!A:D,4,FALSE),"")</f>
        <v/>
      </c>
      <c r="E212" s="9"/>
      <c r="F212" s="21" t="str">
        <f t="shared" si="5"/>
        <v/>
      </c>
      <c r="G212" s="22"/>
      <c r="H212" s="8">
        <f>IFERROR(VLOOKUP(G212,ซื้อสินค้า!H:I,2,FALSE),)</f>
        <v>0</v>
      </c>
      <c r="I212" s="21">
        <f>IFERROR(VLOOKUP(G212,ซื้อสินค้า!H:J,3,FALSE),)</f>
        <v>0</v>
      </c>
      <c r="J212" s="21">
        <f t="shared" si="6"/>
        <v>0</v>
      </c>
      <c r="K212" s="21">
        <f t="shared" si="7"/>
        <v>0</v>
      </c>
      <c r="L212" s="12">
        <f t="shared" si="8"/>
        <v>0</v>
      </c>
      <c r="M212" s="21">
        <f t="shared" si="9"/>
        <v>0</v>
      </c>
      <c r="N212" s="9" t="str">
        <f ca="1">IFERROR(__xludf.DUMMYFUNCTION("IF(G212&lt;&gt;"""",G212, IFERROR(TRANSPOSE(FILTER('ซื้อสินค้า'!H:H,'ซื้อสินค้า'!B:B=B212,'ซื้อสินค้า'!I:I&gt;0)),))"),"")</f>
        <v/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>
      <c r="A213" s="5"/>
      <c r="B213" s="6"/>
      <c r="C213" s="20">
        <f>IFERROR(VLOOKUP(B213,ชื่อสินค้า!A:C,3,FALSE),)</f>
        <v>0</v>
      </c>
      <c r="D213" s="8" t="str">
        <f>IFERROR(VLOOKUP(B213,ชื่อสินค้า!A:D,4,FALSE),"")</f>
        <v/>
      </c>
      <c r="E213" s="9"/>
      <c r="F213" s="21" t="str">
        <f t="shared" si="5"/>
        <v/>
      </c>
      <c r="G213" s="22"/>
      <c r="H213" s="8">
        <f>IFERROR(VLOOKUP(G213,ซื้อสินค้า!H:I,2,FALSE),)</f>
        <v>0</v>
      </c>
      <c r="I213" s="21">
        <f>IFERROR(VLOOKUP(G213,ซื้อสินค้า!H:J,3,FALSE),)</f>
        <v>0</v>
      </c>
      <c r="J213" s="21">
        <f t="shared" si="6"/>
        <v>0</v>
      </c>
      <c r="K213" s="21">
        <f t="shared" si="7"/>
        <v>0</v>
      </c>
      <c r="L213" s="12">
        <f t="shared" si="8"/>
        <v>0</v>
      </c>
      <c r="M213" s="21">
        <f t="shared" si="9"/>
        <v>0</v>
      </c>
      <c r="N213" s="9" t="str">
        <f ca="1">IFERROR(__xludf.DUMMYFUNCTION("IF(G213&lt;&gt;"""",G213, IFERROR(TRANSPOSE(FILTER('ซื้อสินค้า'!H:H,'ซื้อสินค้า'!B:B=B213,'ซื้อสินค้า'!I:I&gt;0)),))"),"")</f>
        <v/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>
      <c r="A214" s="5"/>
      <c r="B214" s="6"/>
      <c r="C214" s="20">
        <f>IFERROR(VLOOKUP(B214,ชื่อสินค้า!A:C,3,FALSE),)</f>
        <v>0</v>
      </c>
      <c r="D214" s="8" t="str">
        <f>IFERROR(VLOOKUP(B214,ชื่อสินค้า!A:D,4,FALSE),"")</f>
        <v/>
      </c>
      <c r="E214" s="9"/>
      <c r="F214" s="21" t="str">
        <f t="shared" si="5"/>
        <v/>
      </c>
      <c r="G214" s="22"/>
      <c r="H214" s="8">
        <f>IFERROR(VLOOKUP(G214,ซื้อสินค้า!H:I,2,FALSE),)</f>
        <v>0</v>
      </c>
      <c r="I214" s="21">
        <f>IFERROR(VLOOKUP(G214,ซื้อสินค้า!H:J,3,FALSE),)</f>
        <v>0</v>
      </c>
      <c r="J214" s="21">
        <f t="shared" si="6"/>
        <v>0</v>
      </c>
      <c r="K214" s="21">
        <f t="shared" si="7"/>
        <v>0</v>
      </c>
      <c r="L214" s="12">
        <f t="shared" si="8"/>
        <v>0</v>
      </c>
      <c r="M214" s="21">
        <f t="shared" si="9"/>
        <v>0</v>
      </c>
      <c r="N214" s="9" t="str">
        <f ca="1">IFERROR(__xludf.DUMMYFUNCTION("IF(G214&lt;&gt;"""",G214, IFERROR(TRANSPOSE(FILTER('ซื้อสินค้า'!H:H,'ซื้อสินค้า'!B:B=B214,'ซื้อสินค้า'!I:I&gt;0)),))"),"")</f>
        <v/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>
      <c r="A215" s="5"/>
      <c r="B215" s="6"/>
      <c r="C215" s="20">
        <f>IFERROR(VLOOKUP(B215,ชื่อสินค้า!A:C,3,FALSE),)</f>
        <v>0</v>
      </c>
      <c r="D215" s="8" t="str">
        <f>IFERROR(VLOOKUP(B215,ชื่อสินค้า!A:D,4,FALSE),"")</f>
        <v/>
      </c>
      <c r="E215" s="9"/>
      <c r="F215" s="21" t="str">
        <f t="shared" si="5"/>
        <v/>
      </c>
      <c r="G215" s="22"/>
      <c r="H215" s="8">
        <f>IFERROR(VLOOKUP(G215,ซื้อสินค้า!H:I,2,FALSE),)</f>
        <v>0</v>
      </c>
      <c r="I215" s="21">
        <f>IFERROR(VLOOKUP(G215,ซื้อสินค้า!H:J,3,FALSE),)</f>
        <v>0</v>
      </c>
      <c r="J215" s="21">
        <f t="shared" si="6"/>
        <v>0</v>
      </c>
      <c r="K215" s="21">
        <f t="shared" si="7"/>
        <v>0</v>
      </c>
      <c r="L215" s="12">
        <f t="shared" si="8"/>
        <v>0</v>
      </c>
      <c r="M215" s="21">
        <f t="shared" si="9"/>
        <v>0</v>
      </c>
      <c r="N215" s="9" t="str">
        <f ca="1">IFERROR(__xludf.DUMMYFUNCTION("IF(G215&lt;&gt;"""",G215, IFERROR(TRANSPOSE(FILTER('ซื้อสินค้า'!H:H,'ซื้อสินค้า'!B:B=B215,'ซื้อสินค้า'!I:I&gt;0)),))"),"")</f>
        <v/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>
      <c r="A216" s="5"/>
      <c r="B216" s="6"/>
      <c r="C216" s="20">
        <f>IFERROR(VLOOKUP(B216,ชื่อสินค้า!A:C,3,FALSE),)</f>
        <v>0</v>
      </c>
      <c r="D216" s="8" t="str">
        <f>IFERROR(VLOOKUP(B216,ชื่อสินค้า!A:D,4,FALSE),"")</f>
        <v/>
      </c>
      <c r="E216" s="9"/>
      <c r="F216" s="21" t="str">
        <f t="shared" si="5"/>
        <v/>
      </c>
      <c r="G216" s="22"/>
      <c r="H216" s="8">
        <f>IFERROR(VLOOKUP(G216,ซื้อสินค้า!H:I,2,FALSE),)</f>
        <v>0</v>
      </c>
      <c r="I216" s="21">
        <f>IFERROR(VLOOKUP(G216,ซื้อสินค้า!H:J,3,FALSE),)</f>
        <v>0</v>
      </c>
      <c r="J216" s="21">
        <f t="shared" si="6"/>
        <v>0</v>
      </c>
      <c r="K216" s="21">
        <f t="shared" si="7"/>
        <v>0</v>
      </c>
      <c r="L216" s="12">
        <f t="shared" si="8"/>
        <v>0</v>
      </c>
      <c r="M216" s="21">
        <f t="shared" si="9"/>
        <v>0</v>
      </c>
      <c r="N216" s="9" t="str">
        <f ca="1">IFERROR(__xludf.DUMMYFUNCTION("IF(G216&lt;&gt;"""",G216, IFERROR(TRANSPOSE(FILTER('ซื้อสินค้า'!H:H,'ซื้อสินค้า'!B:B=B216,'ซื้อสินค้า'!I:I&gt;0)),))"),"")</f>
        <v/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>
      <c r="A217" s="5"/>
      <c r="B217" s="6"/>
      <c r="C217" s="20">
        <f>IFERROR(VLOOKUP(B217,ชื่อสินค้า!A:C,3,FALSE),)</f>
        <v>0</v>
      </c>
      <c r="D217" s="8" t="str">
        <f>IFERROR(VLOOKUP(B217,ชื่อสินค้า!A:D,4,FALSE),"")</f>
        <v/>
      </c>
      <c r="E217" s="9"/>
      <c r="F217" s="21" t="str">
        <f t="shared" si="5"/>
        <v/>
      </c>
      <c r="G217" s="22"/>
      <c r="H217" s="8">
        <f>IFERROR(VLOOKUP(G217,ซื้อสินค้า!H:I,2,FALSE),)</f>
        <v>0</v>
      </c>
      <c r="I217" s="21">
        <f>IFERROR(VLOOKUP(G217,ซื้อสินค้า!H:J,3,FALSE),)</f>
        <v>0</v>
      </c>
      <c r="J217" s="21">
        <f t="shared" si="6"/>
        <v>0</v>
      </c>
      <c r="K217" s="21">
        <f t="shared" si="7"/>
        <v>0</v>
      </c>
      <c r="L217" s="12">
        <f t="shared" si="8"/>
        <v>0</v>
      </c>
      <c r="M217" s="21">
        <f t="shared" si="9"/>
        <v>0</v>
      </c>
      <c r="N217" s="9" t="str">
        <f ca="1">IFERROR(__xludf.DUMMYFUNCTION("IF(G217&lt;&gt;"""",G217, IFERROR(TRANSPOSE(FILTER('ซื้อสินค้า'!H:H,'ซื้อสินค้า'!B:B=B217,'ซื้อสินค้า'!I:I&gt;0)),))"),"")</f>
        <v/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>
      <c r="A218" s="5"/>
      <c r="B218" s="6"/>
      <c r="C218" s="20">
        <f>IFERROR(VLOOKUP(B218,ชื่อสินค้า!A:C,3,FALSE),)</f>
        <v>0</v>
      </c>
      <c r="D218" s="8" t="str">
        <f>IFERROR(VLOOKUP(B218,ชื่อสินค้า!A:D,4,FALSE),"")</f>
        <v/>
      </c>
      <c r="E218" s="9"/>
      <c r="F218" s="21" t="str">
        <f t="shared" si="5"/>
        <v/>
      </c>
      <c r="G218" s="22"/>
      <c r="H218" s="8">
        <f>IFERROR(VLOOKUP(G218,ซื้อสินค้า!H:I,2,FALSE),)</f>
        <v>0</v>
      </c>
      <c r="I218" s="21">
        <f>IFERROR(VLOOKUP(G218,ซื้อสินค้า!H:J,3,FALSE),)</f>
        <v>0</v>
      </c>
      <c r="J218" s="21">
        <f t="shared" si="6"/>
        <v>0</v>
      </c>
      <c r="K218" s="21">
        <f t="shared" si="7"/>
        <v>0</v>
      </c>
      <c r="L218" s="12">
        <f t="shared" si="8"/>
        <v>0</v>
      </c>
      <c r="M218" s="21">
        <f t="shared" si="9"/>
        <v>0</v>
      </c>
      <c r="N218" s="9" t="str">
        <f ca="1">IFERROR(__xludf.DUMMYFUNCTION("IF(G218&lt;&gt;"""",G218, IFERROR(TRANSPOSE(FILTER('ซื้อสินค้า'!H:H,'ซื้อสินค้า'!B:B=B218,'ซื้อสินค้า'!I:I&gt;0)),))"),"")</f>
        <v/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>
      <c r="A219" s="5"/>
      <c r="B219" s="6"/>
      <c r="C219" s="20">
        <f>IFERROR(VLOOKUP(B219,ชื่อสินค้า!A:C,3,FALSE),)</f>
        <v>0</v>
      </c>
      <c r="D219" s="8" t="str">
        <f>IFERROR(VLOOKUP(B219,ชื่อสินค้า!A:D,4,FALSE),"")</f>
        <v/>
      </c>
      <c r="E219" s="9"/>
      <c r="F219" s="21" t="str">
        <f t="shared" si="5"/>
        <v/>
      </c>
      <c r="G219" s="22"/>
      <c r="H219" s="8">
        <f>IFERROR(VLOOKUP(G219,ซื้อสินค้า!H:I,2,FALSE),)</f>
        <v>0</v>
      </c>
      <c r="I219" s="21">
        <f>IFERROR(VLOOKUP(G219,ซื้อสินค้า!H:J,3,FALSE),)</f>
        <v>0</v>
      </c>
      <c r="J219" s="21">
        <f t="shared" si="6"/>
        <v>0</v>
      </c>
      <c r="K219" s="21">
        <f t="shared" si="7"/>
        <v>0</v>
      </c>
      <c r="L219" s="12">
        <f t="shared" si="8"/>
        <v>0</v>
      </c>
      <c r="M219" s="21">
        <f t="shared" si="9"/>
        <v>0</v>
      </c>
      <c r="N219" s="9" t="str">
        <f ca="1">IFERROR(__xludf.DUMMYFUNCTION("IF(G219&lt;&gt;"""",G219, IFERROR(TRANSPOSE(FILTER('ซื้อสินค้า'!H:H,'ซื้อสินค้า'!B:B=B219,'ซื้อสินค้า'!I:I&gt;0)),))"),"")</f>
        <v/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>
      <c r="A220" s="5"/>
      <c r="B220" s="6"/>
      <c r="C220" s="20">
        <f>IFERROR(VLOOKUP(B220,ชื่อสินค้า!A:C,3,FALSE),)</f>
        <v>0</v>
      </c>
      <c r="D220" s="8" t="str">
        <f>IFERROR(VLOOKUP(B220,ชื่อสินค้า!A:D,4,FALSE),"")</f>
        <v/>
      </c>
      <c r="E220" s="9"/>
      <c r="F220" s="21" t="str">
        <f t="shared" si="5"/>
        <v/>
      </c>
      <c r="G220" s="22"/>
      <c r="H220" s="8">
        <f>IFERROR(VLOOKUP(G220,ซื้อสินค้า!H:I,2,FALSE),)</f>
        <v>0</v>
      </c>
      <c r="I220" s="21">
        <f>IFERROR(VLOOKUP(G220,ซื้อสินค้า!H:J,3,FALSE),)</f>
        <v>0</v>
      </c>
      <c r="J220" s="21">
        <f t="shared" si="6"/>
        <v>0</v>
      </c>
      <c r="K220" s="21">
        <f t="shared" si="7"/>
        <v>0</v>
      </c>
      <c r="L220" s="12">
        <f t="shared" si="8"/>
        <v>0</v>
      </c>
      <c r="M220" s="21">
        <f t="shared" si="9"/>
        <v>0</v>
      </c>
      <c r="N220" s="9" t="str">
        <f ca="1">IFERROR(__xludf.DUMMYFUNCTION("IF(G220&lt;&gt;"""",G220, IFERROR(TRANSPOSE(FILTER('ซื้อสินค้า'!H:H,'ซื้อสินค้า'!B:B=B220,'ซื้อสินค้า'!I:I&gt;0)),))"),"")</f>
        <v/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>
      <c r="A221" s="5"/>
      <c r="B221" s="6"/>
      <c r="C221" s="20">
        <f>IFERROR(VLOOKUP(B221,ชื่อสินค้า!A:C,3,FALSE),)</f>
        <v>0</v>
      </c>
      <c r="D221" s="8" t="str">
        <f>IFERROR(VLOOKUP(B221,ชื่อสินค้า!A:D,4,FALSE),"")</f>
        <v/>
      </c>
      <c r="E221" s="9"/>
      <c r="F221" s="21" t="str">
        <f t="shared" si="5"/>
        <v/>
      </c>
      <c r="G221" s="22"/>
      <c r="H221" s="8">
        <f>IFERROR(VLOOKUP(G221,ซื้อสินค้า!H:I,2,FALSE),)</f>
        <v>0</v>
      </c>
      <c r="I221" s="21">
        <f>IFERROR(VLOOKUP(G221,ซื้อสินค้า!H:J,3,FALSE),)</f>
        <v>0</v>
      </c>
      <c r="J221" s="21">
        <f t="shared" si="6"/>
        <v>0</v>
      </c>
      <c r="K221" s="21">
        <f t="shared" si="7"/>
        <v>0</v>
      </c>
      <c r="L221" s="12">
        <f t="shared" si="8"/>
        <v>0</v>
      </c>
      <c r="M221" s="21">
        <f t="shared" si="9"/>
        <v>0</v>
      </c>
      <c r="N221" s="9" t="str">
        <f ca="1">IFERROR(__xludf.DUMMYFUNCTION("IF(G221&lt;&gt;"""",G221, IFERROR(TRANSPOSE(FILTER('ซื้อสินค้า'!H:H,'ซื้อสินค้า'!B:B=B221,'ซื้อสินค้า'!I:I&gt;0)),))"),"")</f>
        <v/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>
      <c r="A222" s="5"/>
      <c r="B222" s="6"/>
      <c r="C222" s="20">
        <f>IFERROR(VLOOKUP(B222,ชื่อสินค้า!A:C,3,FALSE),)</f>
        <v>0</v>
      </c>
      <c r="D222" s="8" t="str">
        <f>IFERROR(VLOOKUP(B222,ชื่อสินค้า!A:D,4,FALSE),"")</f>
        <v/>
      </c>
      <c r="E222" s="9"/>
      <c r="F222" s="21" t="str">
        <f t="shared" si="5"/>
        <v/>
      </c>
      <c r="G222" s="22"/>
      <c r="H222" s="8">
        <f>IFERROR(VLOOKUP(G222,ซื้อสินค้า!H:I,2,FALSE),)</f>
        <v>0</v>
      </c>
      <c r="I222" s="21">
        <f>IFERROR(VLOOKUP(G222,ซื้อสินค้า!H:J,3,FALSE),)</f>
        <v>0</v>
      </c>
      <c r="J222" s="21">
        <f t="shared" si="6"/>
        <v>0</v>
      </c>
      <c r="K222" s="21">
        <f t="shared" si="7"/>
        <v>0</v>
      </c>
      <c r="L222" s="12">
        <f t="shared" si="8"/>
        <v>0</v>
      </c>
      <c r="M222" s="21">
        <f t="shared" si="9"/>
        <v>0</v>
      </c>
      <c r="N222" s="9" t="str">
        <f ca="1">IFERROR(__xludf.DUMMYFUNCTION("IF(G222&lt;&gt;"""",G222, IFERROR(TRANSPOSE(FILTER('ซื้อสินค้า'!H:H,'ซื้อสินค้า'!B:B=B222,'ซื้อสินค้า'!I:I&gt;0)),))"),"")</f>
        <v/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>
      <c r="A223" s="5"/>
      <c r="B223" s="6"/>
      <c r="C223" s="20">
        <f>IFERROR(VLOOKUP(B223,ชื่อสินค้า!A:C,3,FALSE),)</f>
        <v>0</v>
      </c>
      <c r="D223" s="8" t="str">
        <f>IFERROR(VLOOKUP(B223,ชื่อสินค้า!A:D,4,FALSE),"")</f>
        <v/>
      </c>
      <c r="E223" s="9"/>
      <c r="F223" s="21" t="str">
        <f t="shared" si="5"/>
        <v/>
      </c>
      <c r="G223" s="22"/>
      <c r="H223" s="8">
        <f>IFERROR(VLOOKUP(G223,ซื้อสินค้า!H:I,2,FALSE),)</f>
        <v>0</v>
      </c>
      <c r="I223" s="21">
        <f>IFERROR(VLOOKUP(G223,ซื้อสินค้า!H:J,3,FALSE),)</f>
        <v>0</v>
      </c>
      <c r="J223" s="21">
        <f t="shared" si="6"/>
        <v>0</v>
      </c>
      <c r="K223" s="21">
        <f t="shared" si="7"/>
        <v>0</v>
      </c>
      <c r="L223" s="12">
        <f t="shared" si="8"/>
        <v>0</v>
      </c>
      <c r="M223" s="21">
        <f t="shared" si="9"/>
        <v>0</v>
      </c>
      <c r="N223" s="9" t="str">
        <f ca="1">IFERROR(__xludf.DUMMYFUNCTION("IF(G223&lt;&gt;"""",G223, IFERROR(TRANSPOSE(FILTER('ซื้อสินค้า'!H:H,'ซื้อสินค้า'!B:B=B223,'ซื้อสินค้า'!I:I&gt;0)),))"),"")</f>
        <v/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>
      <c r="A224" s="5"/>
      <c r="B224" s="6"/>
      <c r="C224" s="20">
        <f>IFERROR(VLOOKUP(B224,ชื่อสินค้า!A:C,3,FALSE),)</f>
        <v>0</v>
      </c>
      <c r="D224" s="8" t="str">
        <f>IFERROR(VLOOKUP(B224,ชื่อสินค้า!A:D,4,FALSE),"")</f>
        <v/>
      </c>
      <c r="E224" s="9"/>
      <c r="F224" s="21" t="str">
        <f t="shared" si="5"/>
        <v/>
      </c>
      <c r="G224" s="22"/>
      <c r="H224" s="8">
        <f>IFERROR(VLOOKUP(G224,ซื้อสินค้า!H:I,2,FALSE),)</f>
        <v>0</v>
      </c>
      <c r="I224" s="21">
        <f>IFERROR(VLOOKUP(G224,ซื้อสินค้า!H:J,3,FALSE),)</f>
        <v>0</v>
      </c>
      <c r="J224" s="21">
        <f t="shared" si="6"/>
        <v>0</v>
      </c>
      <c r="K224" s="21">
        <f t="shared" si="7"/>
        <v>0</v>
      </c>
      <c r="L224" s="12">
        <f t="shared" si="8"/>
        <v>0</v>
      </c>
      <c r="M224" s="21">
        <f t="shared" si="9"/>
        <v>0</v>
      </c>
      <c r="N224" s="9" t="str">
        <f ca="1">IFERROR(__xludf.DUMMYFUNCTION("IF(G224&lt;&gt;"""",G224, IFERROR(TRANSPOSE(FILTER('ซื้อสินค้า'!H:H,'ซื้อสินค้า'!B:B=B224,'ซื้อสินค้า'!I:I&gt;0)),))"),"")</f>
        <v/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>
      <c r="A225" s="5"/>
      <c r="B225" s="6"/>
      <c r="C225" s="20">
        <f>IFERROR(VLOOKUP(B225,ชื่อสินค้า!A:C,3,FALSE),)</f>
        <v>0</v>
      </c>
      <c r="D225" s="8" t="str">
        <f>IFERROR(VLOOKUP(B225,ชื่อสินค้า!A:D,4,FALSE),"")</f>
        <v/>
      </c>
      <c r="E225" s="9"/>
      <c r="F225" s="21" t="str">
        <f t="shared" si="5"/>
        <v/>
      </c>
      <c r="G225" s="22"/>
      <c r="H225" s="8">
        <f>IFERROR(VLOOKUP(G225,ซื้อสินค้า!H:I,2,FALSE),)</f>
        <v>0</v>
      </c>
      <c r="I225" s="21">
        <f>IFERROR(VLOOKUP(G225,ซื้อสินค้า!H:J,3,FALSE),)</f>
        <v>0</v>
      </c>
      <c r="J225" s="21">
        <f t="shared" si="6"/>
        <v>0</v>
      </c>
      <c r="K225" s="21">
        <f t="shared" si="7"/>
        <v>0</v>
      </c>
      <c r="L225" s="12">
        <f t="shared" si="8"/>
        <v>0</v>
      </c>
      <c r="M225" s="21">
        <f t="shared" si="9"/>
        <v>0</v>
      </c>
      <c r="N225" s="9" t="str">
        <f ca="1">IFERROR(__xludf.DUMMYFUNCTION("IF(G225&lt;&gt;"""",G225, IFERROR(TRANSPOSE(FILTER('ซื้อสินค้า'!H:H,'ซื้อสินค้า'!B:B=B225,'ซื้อสินค้า'!I:I&gt;0)),))"),"")</f>
        <v/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>
      <c r="A226" s="5"/>
      <c r="B226" s="6"/>
      <c r="C226" s="20">
        <f>IFERROR(VLOOKUP(B226,ชื่อสินค้า!A:C,3,FALSE),)</f>
        <v>0</v>
      </c>
      <c r="D226" s="8" t="str">
        <f>IFERROR(VLOOKUP(B226,ชื่อสินค้า!A:D,4,FALSE),"")</f>
        <v/>
      </c>
      <c r="E226" s="9"/>
      <c r="F226" s="21" t="str">
        <f t="shared" si="5"/>
        <v/>
      </c>
      <c r="G226" s="22"/>
      <c r="H226" s="8">
        <f>IFERROR(VLOOKUP(G226,ซื้อสินค้า!H:I,2,FALSE),)</f>
        <v>0</v>
      </c>
      <c r="I226" s="21">
        <f>IFERROR(VLOOKUP(G226,ซื้อสินค้า!H:J,3,FALSE),)</f>
        <v>0</v>
      </c>
      <c r="J226" s="21">
        <f t="shared" si="6"/>
        <v>0</v>
      </c>
      <c r="K226" s="21">
        <f t="shared" si="7"/>
        <v>0</v>
      </c>
      <c r="L226" s="12">
        <f t="shared" si="8"/>
        <v>0</v>
      </c>
      <c r="M226" s="21">
        <f t="shared" si="9"/>
        <v>0</v>
      </c>
      <c r="N226" s="9" t="str">
        <f ca="1">IFERROR(__xludf.DUMMYFUNCTION("IF(G226&lt;&gt;"""",G226, IFERROR(TRANSPOSE(FILTER('ซื้อสินค้า'!H:H,'ซื้อสินค้า'!B:B=B226,'ซื้อสินค้า'!I:I&gt;0)),))"),"")</f>
        <v/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>
      <c r="A227" s="5"/>
      <c r="B227" s="6"/>
      <c r="C227" s="20">
        <f>IFERROR(VLOOKUP(B227,ชื่อสินค้า!A:C,3,FALSE),)</f>
        <v>0</v>
      </c>
      <c r="D227" s="8" t="str">
        <f>IFERROR(VLOOKUP(B227,ชื่อสินค้า!A:D,4,FALSE),"")</f>
        <v/>
      </c>
      <c r="E227" s="9"/>
      <c r="F227" s="21" t="str">
        <f t="shared" si="5"/>
        <v/>
      </c>
      <c r="G227" s="22"/>
      <c r="H227" s="8">
        <f>IFERROR(VLOOKUP(G227,ซื้อสินค้า!H:I,2,FALSE),)</f>
        <v>0</v>
      </c>
      <c r="I227" s="21">
        <f>IFERROR(VLOOKUP(G227,ซื้อสินค้า!H:J,3,FALSE),)</f>
        <v>0</v>
      </c>
      <c r="J227" s="21">
        <f t="shared" si="6"/>
        <v>0</v>
      </c>
      <c r="K227" s="21">
        <f t="shared" si="7"/>
        <v>0</v>
      </c>
      <c r="L227" s="12">
        <f t="shared" si="8"/>
        <v>0</v>
      </c>
      <c r="M227" s="21">
        <f t="shared" si="9"/>
        <v>0</v>
      </c>
      <c r="N227" s="9" t="str">
        <f ca="1">IFERROR(__xludf.DUMMYFUNCTION("IF(G227&lt;&gt;"""",G227, IFERROR(TRANSPOSE(FILTER('ซื้อสินค้า'!H:H,'ซื้อสินค้า'!B:B=B227,'ซื้อสินค้า'!I:I&gt;0)),))"),"")</f>
        <v/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>
      <c r="A228" s="5"/>
      <c r="B228" s="6"/>
      <c r="C228" s="20">
        <f>IFERROR(VLOOKUP(B228,ชื่อสินค้า!A:C,3,FALSE),)</f>
        <v>0</v>
      </c>
      <c r="D228" s="8" t="str">
        <f>IFERROR(VLOOKUP(B228,ชื่อสินค้า!A:D,4,FALSE),"")</f>
        <v/>
      </c>
      <c r="E228" s="9"/>
      <c r="F228" s="21" t="str">
        <f t="shared" si="5"/>
        <v/>
      </c>
      <c r="G228" s="22"/>
      <c r="H228" s="8">
        <f>IFERROR(VLOOKUP(G228,ซื้อสินค้า!H:I,2,FALSE),)</f>
        <v>0</v>
      </c>
      <c r="I228" s="21">
        <f>IFERROR(VLOOKUP(G228,ซื้อสินค้า!H:J,3,FALSE),)</f>
        <v>0</v>
      </c>
      <c r="J228" s="21">
        <f t="shared" si="6"/>
        <v>0</v>
      </c>
      <c r="K228" s="21">
        <f t="shared" si="7"/>
        <v>0</v>
      </c>
      <c r="L228" s="12">
        <f t="shared" si="8"/>
        <v>0</v>
      </c>
      <c r="M228" s="21">
        <f t="shared" si="9"/>
        <v>0</v>
      </c>
      <c r="N228" s="9" t="str">
        <f ca="1">IFERROR(__xludf.DUMMYFUNCTION("IF(G228&lt;&gt;"""",G228, IFERROR(TRANSPOSE(FILTER('ซื้อสินค้า'!H:H,'ซื้อสินค้า'!B:B=B228,'ซื้อสินค้า'!I:I&gt;0)),))"),"")</f>
        <v/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>
      <c r="A229" s="5"/>
      <c r="B229" s="6"/>
      <c r="C229" s="20">
        <f>IFERROR(VLOOKUP(B229,ชื่อสินค้า!A:C,3,FALSE),)</f>
        <v>0</v>
      </c>
      <c r="D229" s="8" t="str">
        <f>IFERROR(VLOOKUP(B229,ชื่อสินค้า!A:D,4,FALSE),"")</f>
        <v/>
      </c>
      <c r="E229" s="9"/>
      <c r="F229" s="21" t="str">
        <f t="shared" si="5"/>
        <v/>
      </c>
      <c r="G229" s="22"/>
      <c r="H229" s="8">
        <f>IFERROR(VLOOKUP(G229,ซื้อสินค้า!H:I,2,FALSE),)</f>
        <v>0</v>
      </c>
      <c r="I229" s="21">
        <f>IFERROR(VLOOKUP(G229,ซื้อสินค้า!H:J,3,FALSE),)</f>
        <v>0</v>
      </c>
      <c r="J229" s="21">
        <f t="shared" si="6"/>
        <v>0</v>
      </c>
      <c r="K229" s="21">
        <f t="shared" si="7"/>
        <v>0</v>
      </c>
      <c r="L229" s="12">
        <f t="shared" si="8"/>
        <v>0</v>
      </c>
      <c r="M229" s="21">
        <f t="shared" si="9"/>
        <v>0</v>
      </c>
      <c r="N229" s="9" t="str">
        <f ca="1">IFERROR(__xludf.DUMMYFUNCTION("IF(G229&lt;&gt;"""",G229, IFERROR(TRANSPOSE(FILTER('ซื้อสินค้า'!H:H,'ซื้อสินค้า'!B:B=B229,'ซื้อสินค้า'!I:I&gt;0)),))"),"")</f>
        <v/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>
      <c r="A230" s="5"/>
      <c r="B230" s="6"/>
      <c r="C230" s="20">
        <f>IFERROR(VLOOKUP(B230,ชื่อสินค้า!A:C,3,FALSE),)</f>
        <v>0</v>
      </c>
      <c r="D230" s="8" t="str">
        <f>IFERROR(VLOOKUP(B230,ชื่อสินค้า!A:D,4,FALSE),"")</f>
        <v/>
      </c>
      <c r="E230" s="9"/>
      <c r="F230" s="21" t="str">
        <f t="shared" si="5"/>
        <v/>
      </c>
      <c r="G230" s="22"/>
      <c r="H230" s="8">
        <f>IFERROR(VLOOKUP(G230,ซื้อสินค้า!H:I,2,FALSE),)</f>
        <v>0</v>
      </c>
      <c r="I230" s="21">
        <f>IFERROR(VLOOKUP(G230,ซื้อสินค้า!H:J,3,FALSE),)</f>
        <v>0</v>
      </c>
      <c r="J230" s="21">
        <f t="shared" si="6"/>
        <v>0</v>
      </c>
      <c r="K230" s="21">
        <f t="shared" si="7"/>
        <v>0</v>
      </c>
      <c r="L230" s="12">
        <f t="shared" si="8"/>
        <v>0</v>
      </c>
      <c r="M230" s="21">
        <f t="shared" si="9"/>
        <v>0</v>
      </c>
      <c r="N230" s="9" t="str">
        <f ca="1">IFERROR(__xludf.DUMMYFUNCTION("IF(G230&lt;&gt;"""",G230, IFERROR(TRANSPOSE(FILTER('ซื้อสินค้า'!H:H,'ซื้อสินค้า'!B:B=B230,'ซื้อสินค้า'!I:I&gt;0)),))"),"")</f>
        <v/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>
      <c r="A231" s="5"/>
      <c r="B231" s="6"/>
      <c r="C231" s="20">
        <f>IFERROR(VLOOKUP(B231,ชื่อสินค้า!A:C,3,FALSE),)</f>
        <v>0</v>
      </c>
      <c r="D231" s="8" t="str">
        <f>IFERROR(VLOOKUP(B231,ชื่อสินค้า!A:D,4,FALSE),"")</f>
        <v/>
      </c>
      <c r="E231" s="9"/>
      <c r="F231" s="21" t="str">
        <f t="shared" si="5"/>
        <v/>
      </c>
      <c r="G231" s="22"/>
      <c r="H231" s="8">
        <f>IFERROR(VLOOKUP(G231,ซื้อสินค้า!H:I,2,FALSE),)</f>
        <v>0</v>
      </c>
      <c r="I231" s="21">
        <f>IFERROR(VLOOKUP(G231,ซื้อสินค้า!H:J,3,FALSE),)</f>
        <v>0</v>
      </c>
      <c r="J231" s="21">
        <f t="shared" si="6"/>
        <v>0</v>
      </c>
      <c r="K231" s="21">
        <f t="shared" si="7"/>
        <v>0</v>
      </c>
      <c r="L231" s="12">
        <f t="shared" si="8"/>
        <v>0</v>
      </c>
      <c r="M231" s="21">
        <f t="shared" si="9"/>
        <v>0</v>
      </c>
      <c r="N231" s="9" t="str">
        <f ca="1">IFERROR(__xludf.DUMMYFUNCTION("IF(G231&lt;&gt;"""",G231, IFERROR(TRANSPOSE(FILTER('ซื้อสินค้า'!H:H,'ซื้อสินค้า'!B:B=B231,'ซื้อสินค้า'!I:I&gt;0)),))"),"")</f>
        <v/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>
      <c r="A232" s="5"/>
      <c r="B232" s="6"/>
      <c r="C232" s="20">
        <f>IFERROR(VLOOKUP(B232,ชื่อสินค้า!A:C,3,FALSE),)</f>
        <v>0</v>
      </c>
      <c r="D232" s="8" t="str">
        <f>IFERROR(VLOOKUP(B232,ชื่อสินค้า!A:D,4,FALSE),"")</f>
        <v/>
      </c>
      <c r="E232" s="9"/>
      <c r="F232" s="21" t="str">
        <f t="shared" si="5"/>
        <v/>
      </c>
      <c r="G232" s="22"/>
      <c r="H232" s="8">
        <f>IFERROR(VLOOKUP(G232,ซื้อสินค้า!H:I,2,FALSE),)</f>
        <v>0</v>
      </c>
      <c r="I232" s="21">
        <f>IFERROR(VLOOKUP(G232,ซื้อสินค้า!H:J,3,FALSE),)</f>
        <v>0</v>
      </c>
      <c r="J232" s="21">
        <f t="shared" si="6"/>
        <v>0</v>
      </c>
      <c r="K232" s="21">
        <f t="shared" si="7"/>
        <v>0</v>
      </c>
      <c r="L232" s="12">
        <f t="shared" si="8"/>
        <v>0</v>
      </c>
      <c r="M232" s="21">
        <f t="shared" si="9"/>
        <v>0</v>
      </c>
      <c r="N232" s="9" t="str">
        <f ca="1">IFERROR(__xludf.DUMMYFUNCTION("IF(G232&lt;&gt;"""",G232, IFERROR(TRANSPOSE(FILTER('ซื้อสินค้า'!H:H,'ซื้อสินค้า'!B:B=B232,'ซื้อสินค้า'!I:I&gt;0)),))"),"")</f>
        <v/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>
      <c r="A233" s="5"/>
      <c r="B233" s="6"/>
      <c r="C233" s="20">
        <f>IFERROR(VLOOKUP(B233,ชื่อสินค้า!A:C,3,FALSE),)</f>
        <v>0</v>
      </c>
      <c r="D233" s="8" t="str">
        <f>IFERROR(VLOOKUP(B233,ชื่อสินค้า!A:D,4,FALSE),"")</f>
        <v/>
      </c>
      <c r="E233" s="9"/>
      <c r="F233" s="21" t="str">
        <f t="shared" si="5"/>
        <v/>
      </c>
      <c r="G233" s="22"/>
      <c r="H233" s="8">
        <f>IFERROR(VLOOKUP(G233,ซื้อสินค้า!H:I,2,FALSE),)</f>
        <v>0</v>
      </c>
      <c r="I233" s="21">
        <f>IFERROR(VLOOKUP(G233,ซื้อสินค้า!H:J,3,FALSE),)</f>
        <v>0</v>
      </c>
      <c r="J233" s="21">
        <f t="shared" si="6"/>
        <v>0</v>
      </c>
      <c r="K233" s="21">
        <f t="shared" si="7"/>
        <v>0</v>
      </c>
      <c r="L233" s="12">
        <f t="shared" si="8"/>
        <v>0</v>
      </c>
      <c r="M233" s="21">
        <f t="shared" si="9"/>
        <v>0</v>
      </c>
      <c r="N233" s="9" t="str">
        <f ca="1">IFERROR(__xludf.DUMMYFUNCTION("IF(G233&lt;&gt;"""",G233, IFERROR(TRANSPOSE(FILTER('ซื้อสินค้า'!H:H,'ซื้อสินค้า'!B:B=B233,'ซื้อสินค้า'!I:I&gt;0)),))"),"")</f>
        <v/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>
      <c r="A234" s="5"/>
      <c r="B234" s="6"/>
      <c r="C234" s="20">
        <f>IFERROR(VLOOKUP(B234,ชื่อสินค้า!A:C,3,FALSE),)</f>
        <v>0</v>
      </c>
      <c r="D234" s="8" t="str">
        <f>IFERROR(VLOOKUP(B234,ชื่อสินค้า!A:D,4,FALSE),"")</f>
        <v/>
      </c>
      <c r="E234" s="9"/>
      <c r="F234" s="21" t="str">
        <f t="shared" si="5"/>
        <v/>
      </c>
      <c r="G234" s="22"/>
      <c r="H234" s="8">
        <f>IFERROR(VLOOKUP(G234,ซื้อสินค้า!H:I,2,FALSE),)</f>
        <v>0</v>
      </c>
      <c r="I234" s="21">
        <f>IFERROR(VLOOKUP(G234,ซื้อสินค้า!H:J,3,FALSE),)</f>
        <v>0</v>
      </c>
      <c r="J234" s="21">
        <f t="shared" si="6"/>
        <v>0</v>
      </c>
      <c r="K234" s="21">
        <f t="shared" si="7"/>
        <v>0</v>
      </c>
      <c r="L234" s="12">
        <f t="shared" si="8"/>
        <v>0</v>
      </c>
      <c r="M234" s="21">
        <f t="shared" si="9"/>
        <v>0</v>
      </c>
      <c r="N234" s="9" t="str">
        <f ca="1">IFERROR(__xludf.DUMMYFUNCTION("IF(G234&lt;&gt;"""",G234, IFERROR(TRANSPOSE(FILTER('ซื้อสินค้า'!H:H,'ซื้อสินค้า'!B:B=B234,'ซื้อสินค้า'!I:I&gt;0)),))"),"")</f>
        <v/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>
      <c r="A235" s="5"/>
      <c r="B235" s="6"/>
      <c r="C235" s="20">
        <f>IFERROR(VLOOKUP(B235,ชื่อสินค้า!A:C,3,FALSE),)</f>
        <v>0</v>
      </c>
      <c r="D235" s="8" t="str">
        <f>IFERROR(VLOOKUP(B235,ชื่อสินค้า!A:D,4,FALSE),"")</f>
        <v/>
      </c>
      <c r="E235" s="9"/>
      <c r="F235" s="21" t="str">
        <f t="shared" si="5"/>
        <v/>
      </c>
      <c r="G235" s="22"/>
      <c r="H235" s="8">
        <f>IFERROR(VLOOKUP(G235,ซื้อสินค้า!H:I,2,FALSE),)</f>
        <v>0</v>
      </c>
      <c r="I235" s="21">
        <f>IFERROR(VLOOKUP(G235,ซื้อสินค้า!H:J,3,FALSE),)</f>
        <v>0</v>
      </c>
      <c r="J235" s="21">
        <f t="shared" si="6"/>
        <v>0</v>
      </c>
      <c r="K235" s="21">
        <f t="shared" si="7"/>
        <v>0</v>
      </c>
      <c r="L235" s="12">
        <f t="shared" si="8"/>
        <v>0</v>
      </c>
      <c r="M235" s="21">
        <f t="shared" si="9"/>
        <v>0</v>
      </c>
      <c r="N235" s="9" t="str">
        <f ca="1">IFERROR(__xludf.DUMMYFUNCTION("IF(G235&lt;&gt;"""",G235, IFERROR(TRANSPOSE(FILTER('ซื้อสินค้า'!H:H,'ซื้อสินค้า'!B:B=B235,'ซื้อสินค้า'!I:I&gt;0)),))"),"")</f>
        <v/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>
      <c r="A236" s="5"/>
      <c r="B236" s="6"/>
      <c r="C236" s="20">
        <f>IFERROR(VLOOKUP(B236,ชื่อสินค้า!A:C,3,FALSE),)</f>
        <v>0</v>
      </c>
      <c r="D236" s="8" t="str">
        <f>IFERROR(VLOOKUP(B236,ชื่อสินค้า!A:D,4,FALSE),"")</f>
        <v/>
      </c>
      <c r="E236" s="9"/>
      <c r="F236" s="21" t="str">
        <f t="shared" si="5"/>
        <v/>
      </c>
      <c r="G236" s="22"/>
      <c r="H236" s="8">
        <f>IFERROR(VLOOKUP(G236,ซื้อสินค้า!H:I,2,FALSE),)</f>
        <v>0</v>
      </c>
      <c r="I236" s="21">
        <f>IFERROR(VLOOKUP(G236,ซื้อสินค้า!H:J,3,FALSE),)</f>
        <v>0</v>
      </c>
      <c r="J236" s="21">
        <f t="shared" si="6"/>
        <v>0</v>
      </c>
      <c r="K236" s="21">
        <f t="shared" si="7"/>
        <v>0</v>
      </c>
      <c r="L236" s="12">
        <f t="shared" si="8"/>
        <v>0</v>
      </c>
      <c r="M236" s="21">
        <f t="shared" si="9"/>
        <v>0</v>
      </c>
      <c r="N236" s="9" t="str">
        <f ca="1">IFERROR(__xludf.DUMMYFUNCTION("IF(G236&lt;&gt;"""",G236, IFERROR(TRANSPOSE(FILTER('ซื้อสินค้า'!H:H,'ซื้อสินค้า'!B:B=B236,'ซื้อสินค้า'!I:I&gt;0)),))"),"")</f>
        <v/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>
      <c r="A237" s="5"/>
      <c r="B237" s="6"/>
      <c r="C237" s="20">
        <f>IFERROR(VLOOKUP(B237,ชื่อสินค้า!A:C,3,FALSE),)</f>
        <v>0</v>
      </c>
      <c r="D237" s="8" t="str">
        <f>IFERROR(VLOOKUP(B237,ชื่อสินค้า!A:D,4,FALSE),"")</f>
        <v/>
      </c>
      <c r="E237" s="9"/>
      <c r="F237" s="21" t="str">
        <f t="shared" si="5"/>
        <v/>
      </c>
      <c r="G237" s="22"/>
      <c r="H237" s="8">
        <f>IFERROR(VLOOKUP(G237,ซื้อสินค้า!H:I,2,FALSE),)</f>
        <v>0</v>
      </c>
      <c r="I237" s="21">
        <f>IFERROR(VLOOKUP(G237,ซื้อสินค้า!H:J,3,FALSE),)</f>
        <v>0</v>
      </c>
      <c r="J237" s="21">
        <f t="shared" si="6"/>
        <v>0</v>
      </c>
      <c r="K237" s="21">
        <f t="shared" si="7"/>
        <v>0</v>
      </c>
      <c r="L237" s="12">
        <f t="shared" si="8"/>
        <v>0</v>
      </c>
      <c r="M237" s="21">
        <f t="shared" si="9"/>
        <v>0</v>
      </c>
      <c r="N237" s="9" t="str">
        <f ca="1">IFERROR(__xludf.DUMMYFUNCTION("IF(G237&lt;&gt;"""",G237, IFERROR(TRANSPOSE(FILTER('ซื้อสินค้า'!H:H,'ซื้อสินค้า'!B:B=B237,'ซื้อสินค้า'!I:I&gt;0)),))"),"")</f>
        <v/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>
      <c r="A238" s="5"/>
      <c r="B238" s="6"/>
      <c r="C238" s="20">
        <f>IFERROR(VLOOKUP(B238,ชื่อสินค้า!A:C,3,FALSE),)</f>
        <v>0</v>
      </c>
      <c r="D238" s="8" t="str">
        <f>IFERROR(VLOOKUP(B238,ชื่อสินค้า!A:D,4,FALSE),"")</f>
        <v/>
      </c>
      <c r="E238" s="9"/>
      <c r="F238" s="21" t="str">
        <f t="shared" si="5"/>
        <v/>
      </c>
      <c r="G238" s="22"/>
      <c r="H238" s="8">
        <f>IFERROR(VLOOKUP(G238,ซื้อสินค้า!H:I,2,FALSE),)</f>
        <v>0</v>
      </c>
      <c r="I238" s="21">
        <f>IFERROR(VLOOKUP(G238,ซื้อสินค้า!H:J,3,FALSE),)</f>
        <v>0</v>
      </c>
      <c r="J238" s="21">
        <f t="shared" si="6"/>
        <v>0</v>
      </c>
      <c r="K238" s="21">
        <f t="shared" si="7"/>
        <v>0</v>
      </c>
      <c r="L238" s="12">
        <f t="shared" si="8"/>
        <v>0</v>
      </c>
      <c r="M238" s="21">
        <f t="shared" si="9"/>
        <v>0</v>
      </c>
      <c r="N238" s="9" t="str">
        <f ca="1">IFERROR(__xludf.DUMMYFUNCTION("IF(G238&lt;&gt;"""",G238, IFERROR(TRANSPOSE(FILTER('ซื้อสินค้า'!H:H,'ซื้อสินค้า'!B:B=B238,'ซื้อสินค้า'!I:I&gt;0)),))"),"")</f>
        <v/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>
      <c r="A239" s="5"/>
      <c r="B239" s="6"/>
      <c r="C239" s="20">
        <f>IFERROR(VLOOKUP(B239,ชื่อสินค้า!A:C,3,FALSE),)</f>
        <v>0</v>
      </c>
      <c r="D239" s="8" t="str">
        <f>IFERROR(VLOOKUP(B239,ชื่อสินค้า!A:D,4,FALSE),"")</f>
        <v/>
      </c>
      <c r="E239" s="9"/>
      <c r="F239" s="21" t="str">
        <f t="shared" si="5"/>
        <v/>
      </c>
      <c r="G239" s="22"/>
      <c r="H239" s="8">
        <f>IFERROR(VLOOKUP(G239,ซื้อสินค้า!H:I,2,FALSE),)</f>
        <v>0</v>
      </c>
      <c r="I239" s="21">
        <f>IFERROR(VLOOKUP(G239,ซื้อสินค้า!H:J,3,FALSE),)</f>
        <v>0</v>
      </c>
      <c r="J239" s="21">
        <f t="shared" si="6"/>
        <v>0</v>
      </c>
      <c r="K239" s="21">
        <f t="shared" si="7"/>
        <v>0</v>
      </c>
      <c r="L239" s="12">
        <f t="shared" si="8"/>
        <v>0</v>
      </c>
      <c r="M239" s="21">
        <f t="shared" si="9"/>
        <v>0</v>
      </c>
      <c r="N239" s="9" t="str">
        <f ca="1">IFERROR(__xludf.DUMMYFUNCTION("IF(G239&lt;&gt;"""",G239, IFERROR(TRANSPOSE(FILTER('ซื้อสินค้า'!H:H,'ซื้อสินค้า'!B:B=B239,'ซื้อสินค้า'!I:I&gt;0)),))"),"")</f>
        <v/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>
      <c r="A240" s="5"/>
      <c r="B240" s="6"/>
      <c r="C240" s="20">
        <f>IFERROR(VLOOKUP(B240,ชื่อสินค้า!A:C,3,FALSE),)</f>
        <v>0</v>
      </c>
      <c r="D240" s="8" t="str">
        <f>IFERROR(VLOOKUP(B240,ชื่อสินค้า!A:D,4,FALSE),"")</f>
        <v/>
      </c>
      <c r="E240" s="9"/>
      <c r="F240" s="21" t="str">
        <f t="shared" si="5"/>
        <v/>
      </c>
      <c r="G240" s="22"/>
      <c r="H240" s="8">
        <f>IFERROR(VLOOKUP(G240,ซื้อสินค้า!H:I,2,FALSE),)</f>
        <v>0</v>
      </c>
      <c r="I240" s="21">
        <f>IFERROR(VLOOKUP(G240,ซื้อสินค้า!H:J,3,FALSE),)</f>
        <v>0</v>
      </c>
      <c r="J240" s="21">
        <f t="shared" si="6"/>
        <v>0</v>
      </c>
      <c r="K240" s="21">
        <f t="shared" si="7"/>
        <v>0</v>
      </c>
      <c r="L240" s="12">
        <f t="shared" si="8"/>
        <v>0</v>
      </c>
      <c r="M240" s="21">
        <f t="shared" si="9"/>
        <v>0</v>
      </c>
      <c r="N240" s="9" t="str">
        <f ca="1">IFERROR(__xludf.DUMMYFUNCTION("IF(G240&lt;&gt;"""",G240, IFERROR(TRANSPOSE(FILTER('ซื้อสินค้า'!H:H,'ซื้อสินค้า'!B:B=B240,'ซื้อสินค้า'!I:I&gt;0)),))"),"")</f>
        <v/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>
      <c r="A241" s="5"/>
      <c r="B241" s="6"/>
      <c r="C241" s="20">
        <f>IFERROR(VLOOKUP(B241,ชื่อสินค้า!A:C,3,FALSE),)</f>
        <v>0</v>
      </c>
      <c r="D241" s="8" t="str">
        <f>IFERROR(VLOOKUP(B241,ชื่อสินค้า!A:D,4,FALSE),"")</f>
        <v/>
      </c>
      <c r="E241" s="9"/>
      <c r="F241" s="21" t="str">
        <f t="shared" si="5"/>
        <v/>
      </c>
      <c r="G241" s="22"/>
      <c r="H241" s="8">
        <f>IFERROR(VLOOKUP(G241,ซื้อสินค้า!H:I,2,FALSE),)</f>
        <v>0</v>
      </c>
      <c r="I241" s="21">
        <f>IFERROR(VLOOKUP(G241,ซื้อสินค้า!H:J,3,FALSE),)</f>
        <v>0</v>
      </c>
      <c r="J241" s="21">
        <f t="shared" si="6"/>
        <v>0</v>
      </c>
      <c r="K241" s="21">
        <f t="shared" si="7"/>
        <v>0</v>
      </c>
      <c r="L241" s="12">
        <f t="shared" si="8"/>
        <v>0</v>
      </c>
      <c r="M241" s="21">
        <f t="shared" si="9"/>
        <v>0</v>
      </c>
      <c r="N241" s="9" t="str">
        <f ca="1">IFERROR(__xludf.DUMMYFUNCTION("IF(G241&lt;&gt;"""",G241, IFERROR(TRANSPOSE(FILTER('ซื้อสินค้า'!H:H,'ซื้อสินค้า'!B:B=B241,'ซื้อสินค้า'!I:I&gt;0)),))"),"")</f>
        <v/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>
      <c r="A242" s="5"/>
      <c r="B242" s="6"/>
      <c r="C242" s="20">
        <f>IFERROR(VLOOKUP(B242,ชื่อสินค้า!A:C,3,FALSE),)</f>
        <v>0</v>
      </c>
      <c r="D242" s="8" t="str">
        <f>IFERROR(VLOOKUP(B242,ชื่อสินค้า!A:D,4,FALSE),"")</f>
        <v/>
      </c>
      <c r="E242" s="9"/>
      <c r="F242" s="21" t="str">
        <f t="shared" si="5"/>
        <v/>
      </c>
      <c r="G242" s="22"/>
      <c r="H242" s="8">
        <f>IFERROR(VLOOKUP(G242,ซื้อสินค้า!H:I,2,FALSE),)</f>
        <v>0</v>
      </c>
      <c r="I242" s="21">
        <f>IFERROR(VLOOKUP(G242,ซื้อสินค้า!H:J,3,FALSE),)</f>
        <v>0</v>
      </c>
      <c r="J242" s="21">
        <f t="shared" si="6"/>
        <v>0</v>
      </c>
      <c r="K242" s="21">
        <f t="shared" si="7"/>
        <v>0</v>
      </c>
      <c r="L242" s="12">
        <f t="shared" si="8"/>
        <v>0</v>
      </c>
      <c r="M242" s="21">
        <f t="shared" si="9"/>
        <v>0</v>
      </c>
      <c r="N242" s="9" t="str">
        <f ca="1">IFERROR(__xludf.DUMMYFUNCTION("IF(G242&lt;&gt;"""",G242, IFERROR(TRANSPOSE(FILTER('ซื้อสินค้า'!H:H,'ซื้อสินค้า'!B:B=B242,'ซื้อสินค้า'!I:I&gt;0)),))"),"")</f>
        <v/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>
      <c r="A243" s="5"/>
      <c r="B243" s="6"/>
      <c r="C243" s="20">
        <f>IFERROR(VLOOKUP(B243,ชื่อสินค้า!A:C,3,FALSE),)</f>
        <v>0</v>
      </c>
      <c r="D243" s="8" t="str">
        <f>IFERROR(VLOOKUP(B243,ชื่อสินค้า!A:D,4,FALSE),"")</f>
        <v/>
      </c>
      <c r="E243" s="9"/>
      <c r="F243" s="21" t="str">
        <f t="shared" si="5"/>
        <v/>
      </c>
      <c r="G243" s="22"/>
      <c r="H243" s="8">
        <f>IFERROR(VLOOKUP(G243,ซื้อสินค้า!H:I,2,FALSE),)</f>
        <v>0</v>
      </c>
      <c r="I243" s="21">
        <f>IFERROR(VLOOKUP(G243,ซื้อสินค้า!H:J,3,FALSE),)</f>
        <v>0</v>
      </c>
      <c r="J243" s="21">
        <f t="shared" si="6"/>
        <v>0</v>
      </c>
      <c r="K243" s="21">
        <f t="shared" si="7"/>
        <v>0</v>
      </c>
      <c r="L243" s="12">
        <f t="shared" si="8"/>
        <v>0</v>
      </c>
      <c r="M243" s="21">
        <f t="shared" si="9"/>
        <v>0</v>
      </c>
      <c r="N243" s="9" t="str">
        <f ca="1">IFERROR(__xludf.DUMMYFUNCTION("IF(G243&lt;&gt;"""",G243, IFERROR(TRANSPOSE(FILTER('ซื้อสินค้า'!H:H,'ซื้อสินค้า'!B:B=B243,'ซื้อสินค้า'!I:I&gt;0)),))"),"")</f>
        <v/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>
      <c r="A244" s="5"/>
      <c r="B244" s="6"/>
      <c r="C244" s="20">
        <f>IFERROR(VLOOKUP(B244,ชื่อสินค้า!A:C,3,FALSE),)</f>
        <v>0</v>
      </c>
      <c r="D244" s="8" t="str">
        <f>IFERROR(VLOOKUP(B244,ชื่อสินค้า!A:D,4,FALSE),"")</f>
        <v/>
      </c>
      <c r="E244" s="9"/>
      <c r="F244" s="21" t="str">
        <f t="shared" si="5"/>
        <v/>
      </c>
      <c r="G244" s="22"/>
      <c r="H244" s="8">
        <f>IFERROR(VLOOKUP(G244,ซื้อสินค้า!H:I,2,FALSE),)</f>
        <v>0</v>
      </c>
      <c r="I244" s="21">
        <f>IFERROR(VLOOKUP(G244,ซื้อสินค้า!H:J,3,FALSE),)</f>
        <v>0</v>
      </c>
      <c r="J244" s="21">
        <f t="shared" si="6"/>
        <v>0</v>
      </c>
      <c r="K244" s="21">
        <f t="shared" si="7"/>
        <v>0</v>
      </c>
      <c r="L244" s="12">
        <f t="shared" si="8"/>
        <v>0</v>
      </c>
      <c r="M244" s="21">
        <f t="shared" si="9"/>
        <v>0</v>
      </c>
      <c r="N244" s="9" t="str">
        <f ca="1">IFERROR(__xludf.DUMMYFUNCTION("IF(G244&lt;&gt;"""",G244, IFERROR(TRANSPOSE(FILTER('ซื้อสินค้า'!H:H,'ซื้อสินค้า'!B:B=B244,'ซื้อสินค้า'!I:I&gt;0)),))"),"")</f>
        <v/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>
      <c r="A245" s="5"/>
      <c r="B245" s="6"/>
      <c r="C245" s="20">
        <f>IFERROR(VLOOKUP(B245,ชื่อสินค้า!A:C,3,FALSE),)</f>
        <v>0</v>
      </c>
      <c r="D245" s="8" t="str">
        <f>IFERROR(VLOOKUP(B245,ชื่อสินค้า!A:D,4,FALSE),"")</f>
        <v/>
      </c>
      <c r="E245" s="9"/>
      <c r="F245" s="21" t="str">
        <f t="shared" si="5"/>
        <v/>
      </c>
      <c r="G245" s="22"/>
      <c r="H245" s="8">
        <f>IFERROR(VLOOKUP(G245,ซื้อสินค้า!H:I,2,FALSE),)</f>
        <v>0</v>
      </c>
      <c r="I245" s="21">
        <f>IFERROR(VLOOKUP(G245,ซื้อสินค้า!H:J,3,FALSE),)</f>
        <v>0</v>
      </c>
      <c r="J245" s="21">
        <f t="shared" si="6"/>
        <v>0</v>
      </c>
      <c r="K245" s="21">
        <f t="shared" si="7"/>
        <v>0</v>
      </c>
      <c r="L245" s="12">
        <f t="shared" si="8"/>
        <v>0</v>
      </c>
      <c r="M245" s="21">
        <f t="shared" si="9"/>
        <v>0</v>
      </c>
      <c r="N245" s="9" t="str">
        <f ca="1">IFERROR(__xludf.DUMMYFUNCTION("IF(G245&lt;&gt;"""",G245, IFERROR(TRANSPOSE(FILTER('ซื้อสินค้า'!H:H,'ซื้อสินค้า'!B:B=B245,'ซื้อสินค้า'!I:I&gt;0)),))"),"")</f>
        <v/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>
      <c r="A246" s="5"/>
      <c r="B246" s="6"/>
      <c r="C246" s="20">
        <f>IFERROR(VLOOKUP(B246,ชื่อสินค้า!A:C,3,FALSE),)</f>
        <v>0</v>
      </c>
      <c r="D246" s="8" t="str">
        <f>IFERROR(VLOOKUP(B246,ชื่อสินค้า!A:D,4,FALSE),"")</f>
        <v/>
      </c>
      <c r="E246" s="9"/>
      <c r="F246" s="21" t="str">
        <f t="shared" si="5"/>
        <v/>
      </c>
      <c r="G246" s="22"/>
      <c r="H246" s="8">
        <f>IFERROR(VLOOKUP(G246,ซื้อสินค้า!H:I,2,FALSE),)</f>
        <v>0</v>
      </c>
      <c r="I246" s="21">
        <f>IFERROR(VLOOKUP(G246,ซื้อสินค้า!H:J,3,FALSE),)</f>
        <v>0</v>
      </c>
      <c r="J246" s="21">
        <f t="shared" si="6"/>
        <v>0</v>
      </c>
      <c r="K246" s="21">
        <f t="shared" si="7"/>
        <v>0</v>
      </c>
      <c r="L246" s="12">
        <f t="shared" si="8"/>
        <v>0</v>
      </c>
      <c r="M246" s="21">
        <f t="shared" si="9"/>
        <v>0</v>
      </c>
      <c r="N246" s="9" t="str">
        <f ca="1">IFERROR(__xludf.DUMMYFUNCTION("IF(G246&lt;&gt;"""",G246, IFERROR(TRANSPOSE(FILTER('ซื้อสินค้า'!H:H,'ซื้อสินค้า'!B:B=B246,'ซื้อสินค้า'!I:I&gt;0)),))"),"")</f>
        <v/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>
      <c r="A247" s="5"/>
      <c r="B247" s="6"/>
      <c r="C247" s="20">
        <f>IFERROR(VLOOKUP(B247,ชื่อสินค้า!A:C,3,FALSE),)</f>
        <v>0</v>
      </c>
      <c r="D247" s="8" t="str">
        <f>IFERROR(VLOOKUP(B247,ชื่อสินค้า!A:D,4,FALSE),"")</f>
        <v/>
      </c>
      <c r="E247" s="9"/>
      <c r="F247" s="21" t="str">
        <f t="shared" si="5"/>
        <v/>
      </c>
      <c r="G247" s="22"/>
      <c r="H247" s="8">
        <f>IFERROR(VLOOKUP(G247,ซื้อสินค้า!H:I,2,FALSE),)</f>
        <v>0</v>
      </c>
      <c r="I247" s="21">
        <f>IFERROR(VLOOKUP(G247,ซื้อสินค้า!H:J,3,FALSE),)</f>
        <v>0</v>
      </c>
      <c r="J247" s="21">
        <f t="shared" si="6"/>
        <v>0</v>
      </c>
      <c r="K247" s="21">
        <f t="shared" si="7"/>
        <v>0</v>
      </c>
      <c r="L247" s="12">
        <f t="shared" si="8"/>
        <v>0</v>
      </c>
      <c r="M247" s="21">
        <f t="shared" si="9"/>
        <v>0</v>
      </c>
      <c r="N247" s="9" t="str">
        <f ca="1">IFERROR(__xludf.DUMMYFUNCTION("IF(G247&lt;&gt;"""",G247, IFERROR(TRANSPOSE(FILTER('ซื้อสินค้า'!H:H,'ซื้อสินค้า'!B:B=B247,'ซื้อสินค้า'!I:I&gt;0)),))"),"")</f>
        <v/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>
      <c r="A248" s="5"/>
      <c r="B248" s="6"/>
      <c r="C248" s="20">
        <f>IFERROR(VLOOKUP(B248,ชื่อสินค้า!A:C,3,FALSE),)</f>
        <v>0</v>
      </c>
      <c r="D248" s="8" t="str">
        <f>IFERROR(VLOOKUP(B248,ชื่อสินค้า!A:D,4,FALSE),"")</f>
        <v/>
      </c>
      <c r="E248" s="9"/>
      <c r="F248" s="21" t="str">
        <f t="shared" si="5"/>
        <v/>
      </c>
      <c r="G248" s="22"/>
      <c r="H248" s="8">
        <f>IFERROR(VLOOKUP(G248,ซื้อสินค้า!H:I,2,FALSE),)</f>
        <v>0</v>
      </c>
      <c r="I248" s="21">
        <f>IFERROR(VLOOKUP(G248,ซื้อสินค้า!H:J,3,FALSE),)</f>
        <v>0</v>
      </c>
      <c r="J248" s="21">
        <f t="shared" si="6"/>
        <v>0</v>
      </c>
      <c r="K248" s="21">
        <f t="shared" si="7"/>
        <v>0</v>
      </c>
      <c r="L248" s="12">
        <f t="shared" si="8"/>
        <v>0</v>
      </c>
      <c r="M248" s="21">
        <f t="shared" si="9"/>
        <v>0</v>
      </c>
      <c r="N248" s="9" t="str">
        <f ca="1">IFERROR(__xludf.DUMMYFUNCTION("IF(G248&lt;&gt;"""",G248, IFERROR(TRANSPOSE(FILTER('ซื้อสินค้า'!H:H,'ซื้อสินค้า'!B:B=B248,'ซื้อสินค้า'!I:I&gt;0)),))"),"")</f>
        <v/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>
      <c r="A249" s="5"/>
      <c r="B249" s="6"/>
      <c r="C249" s="20">
        <f>IFERROR(VLOOKUP(B249,ชื่อสินค้า!A:C,3,FALSE),)</f>
        <v>0</v>
      </c>
      <c r="D249" s="8" t="str">
        <f>IFERROR(VLOOKUP(B249,ชื่อสินค้า!A:D,4,FALSE),"")</f>
        <v/>
      </c>
      <c r="E249" s="9"/>
      <c r="F249" s="21" t="str">
        <f t="shared" si="5"/>
        <v/>
      </c>
      <c r="G249" s="22"/>
      <c r="H249" s="8">
        <f>IFERROR(VLOOKUP(G249,ซื้อสินค้า!H:I,2,FALSE),)</f>
        <v>0</v>
      </c>
      <c r="I249" s="21">
        <f>IFERROR(VLOOKUP(G249,ซื้อสินค้า!H:J,3,FALSE),)</f>
        <v>0</v>
      </c>
      <c r="J249" s="21">
        <f t="shared" si="6"/>
        <v>0</v>
      </c>
      <c r="K249" s="21">
        <f t="shared" si="7"/>
        <v>0</v>
      </c>
      <c r="L249" s="12">
        <f t="shared" si="8"/>
        <v>0</v>
      </c>
      <c r="M249" s="21">
        <f t="shared" si="9"/>
        <v>0</v>
      </c>
      <c r="N249" s="9" t="str">
        <f ca="1">IFERROR(__xludf.DUMMYFUNCTION("IF(G249&lt;&gt;"""",G249, IFERROR(TRANSPOSE(FILTER('ซื้อสินค้า'!H:H,'ซื้อสินค้า'!B:B=B249,'ซื้อสินค้า'!I:I&gt;0)),))"),"")</f>
        <v/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>
      <c r="A250" s="5"/>
      <c r="B250" s="6"/>
      <c r="C250" s="20">
        <f>IFERROR(VLOOKUP(B250,ชื่อสินค้า!A:C,3,FALSE),)</f>
        <v>0</v>
      </c>
      <c r="D250" s="8" t="str">
        <f>IFERROR(VLOOKUP(B250,ชื่อสินค้า!A:D,4,FALSE),"")</f>
        <v/>
      </c>
      <c r="E250" s="9"/>
      <c r="F250" s="21" t="str">
        <f t="shared" si="5"/>
        <v/>
      </c>
      <c r="G250" s="22"/>
      <c r="H250" s="8">
        <f>IFERROR(VLOOKUP(G250,ซื้อสินค้า!H:I,2,FALSE),)</f>
        <v>0</v>
      </c>
      <c r="I250" s="21">
        <f>IFERROR(VLOOKUP(G250,ซื้อสินค้า!H:J,3,FALSE),)</f>
        <v>0</v>
      </c>
      <c r="J250" s="21">
        <f t="shared" si="6"/>
        <v>0</v>
      </c>
      <c r="K250" s="21">
        <f t="shared" si="7"/>
        <v>0</v>
      </c>
      <c r="L250" s="12">
        <f t="shared" si="8"/>
        <v>0</v>
      </c>
      <c r="M250" s="21">
        <f t="shared" si="9"/>
        <v>0</v>
      </c>
      <c r="N250" s="9" t="str">
        <f ca="1">IFERROR(__xludf.DUMMYFUNCTION("IF(G250&lt;&gt;"""",G250, IFERROR(TRANSPOSE(FILTER('ซื้อสินค้า'!H:H,'ซื้อสินค้า'!B:B=B250,'ซื้อสินค้า'!I:I&gt;0)),))"),"")</f>
        <v/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>
      <c r="A251" s="5"/>
      <c r="B251" s="6"/>
      <c r="C251" s="20">
        <f>IFERROR(VLOOKUP(B251,ชื่อสินค้า!A:C,3,FALSE),)</f>
        <v>0</v>
      </c>
      <c r="D251" s="8" t="str">
        <f>IFERROR(VLOOKUP(B251,ชื่อสินค้า!A:D,4,FALSE),"")</f>
        <v/>
      </c>
      <c r="E251" s="9"/>
      <c r="F251" s="21" t="str">
        <f t="shared" si="5"/>
        <v/>
      </c>
      <c r="G251" s="22"/>
      <c r="H251" s="8">
        <f>IFERROR(VLOOKUP(G251,ซื้อสินค้า!H:I,2,FALSE),)</f>
        <v>0</v>
      </c>
      <c r="I251" s="21">
        <f>IFERROR(VLOOKUP(G251,ซื้อสินค้า!H:J,3,FALSE),)</f>
        <v>0</v>
      </c>
      <c r="J251" s="21">
        <f t="shared" si="6"/>
        <v>0</v>
      </c>
      <c r="K251" s="21">
        <f t="shared" si="7"/>
        <v>0</v>
      </c>
      <c r="L251" s="12">
        <f t="shared" si="8"/>
        <v>0</v>
      </c>
      <c r="M251" s="21">
        <f t="shared" si="9"/>
        <v>0</v>
      </c>
      <c r="N251" s="9" t="str">
        <f ca="1">IFERROR(__xludf.DUMMYFUNCTION("IF(G251&lt;&gt;"""",G251, IFERROR(TRANSPOSE(FILTER('ซื้อสินค้า'!H:H,'ซื้อสินค้า'!B:B=B251,'ซื้อสินค้า'!I:I&gt;0)),))"),"")</f>
        <v/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>
      <c r="A252" s="5"/>
      <c r="B252" s="6"/>
      <c r="C252" s="20">
        <f>IFERROR(VLOOKUP(B252,ชื่อสินค้า!A:C,3,FALSE),)</f>
        <v>0</v>
      </c>
      <c r="D252" s="8" t="str">
        <f>IFERROR(VLOOKUP(B252,ชื่อสินค้า!A:D,4,FALSE),"")</f>
        <v/>
      </c>
      <c r="E252" s="9"/>
      <c r="F252" s="21" t="str">
        <f t="shared" si="5"/>
        <v/>
      </c>
      <c r="G252" s="22"/>
      <c r="H252" s="8">
        <f>IFERROR(VLOOKUP(G252,ซื้อสินค้า!H:I,2,FALSE),)</f>
        <v>0</v>
      </c>
      <c r="I252" s="21">
        <f>IFERROR(VLOOKUP(G252,ซื้อสินค้า!H:J,3,FALSE),)</f>
        <v>0</v>
      </c>
      <c r="J252" s="21">
        <f t="shared" si="6"/>
        <v>0</v>
      </c>
      <c r="K252" s="21">
        <f t="shared" si="7"/>
        <v>0</v>
      </c>
      <c r="L252" s="12">
        <f t="shared" si="8"/>
        <v>0</v>
      </c>
      <c r="M252" s="21">
        <f t="shared" si="9"/>
        <v>0</v>
      </c>
      <c r="N252" s="9" t="str">
        <f ca="1">IFERROR(__xludf.DUMMYFUNCTION("IF(G252&lt;&gt;"""",G252, IFERROR(TRANSPOSE(FILTER('ซื้อสินค้า'!H:H,'ซื้อสินค้า'!B:B=B252,'ซื้อสินค้า'!I:I&gt;0)),))"),"")</f>
        <v/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>
      <c r="A253" s="5"/>
      <c r="B253" s="6"/>
      <c r="C253" s="20">
        <f>IFERROR(VLOOKUP(B253,ชื่อสินค้า!A:C,3,FALSE),)</f>
        <v>0</v>
      </c>
      <c r="D253" s="8" t="str">
        <f>IFERROR(VLOOKUP(B253,ชื่อสินค้า!A:D,4,FALSE),"")</f>
        <v/>
      </c>
      <c r="E253" s="9"/>
      <c r="F253" s="21" t="str">
        <f t="shared" si="5"/>
        <v/>
      </c>
      <c r="G253" s="22"/>
      <c r="H253" s="8">
        <f>IFERROR(VLOOKUP(G253,ซื้อสินค้า!H:I,2,FALSE),)</f>
        <v>0</v>
      </c>
      <c r="I253" s="21">
        <f>IFERROR(VLOOKUP(G253,ซื้อสินค้า!H:J,3,FALSE),)</f>
        <v>0</v>
      </c>
      <c r="J253" s="21">
        <f t="shared" si="6"/>
        <v>0</v>
      </c>
      <c r="K253" s="21">
        <f t="shared" si="7"/>
        <v>0</v>
      </c>
      <c r="L253" s="12">
        <f t="shared" si="8"/>
        <v>0</v>
      </c>
      <c r="M253" s="21">
        <f t="shared" si="9"/>
        <v>0</v>
      </c>
      <c r="N253" s="9" t="str">
        <f ca="1">IFERROR(__xludf.DUMMYFUNCTION("IF(G253&lt;&gt;"""",G253, IFERROR(TRANSPOSE(FILTER('ซื้อสินค้า'!H:H,'ซื้อสินค้า'!B:B=B253,'ซื้อสินค้า'!I:I&gt;0)),))"),"")</f>
        <v/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>
      <c r="A254" s="5"/>
      <c r="B254" s="6"/>
      <c r="C254" s="20">
        <f>IFERROR(VLOOKUP(B254,ชื่อสินค้า!A:C,3,FALSE),)</f>
        <v>0</v>
      </c>
      <c r="D254" s="8" t="str">
        <f>IFERROR(VLOOKUP(B254,ชื่อสินค้า!A:D,4,FALSE),"")</f>
        <v/>
      </c>
      <c r="E254" s="9"/>
      <c r="F254" s="21" t="str">
        <f t="shared" si="5"/>
        <v/>
      </c>
      <c r="G254" s="22"/>
      <c r="H254" s="8">
        <f>IFERROR(VLOOKUP(G254,ซื้อสินค้า!H:I,2,FALSE),)</f>
        <v>0</v>
      </c>
      <c r="I254" s="21">
        <f>IFERROR(VLOOKUP(G254,ซื้อสินค้า!H:J,3,FALSE),)</f>
        <v>0</v>
      </c>
      <c r="J254" s="21">
        <f t="shared" si="6"/>
        <v>0</v>
      </c>
      <c r="K254" s="21">
        <f t="shared" si="7"/>
        <v>0</v>
      </c>
      <c r="L254" s="12">
        <f t="shared" si="8"/>
        <v>0</v>
      </c>
      <c r="M254" s="21">
        <f t="shared" si="9"/>
        <v>0</v>
      </c>
      <c r="N254" s="9" t="str">
        <f ca="1">IFERROR(__xludf.DUMMYFUNCTION("IF(G254&lt;&gt;"""",G254, IFERROR(TRANSPOSE(FILTER('ซื้อสินค้า'!H:H,'ซื้อสินค้า'!B:B=B254,'ซื้อสินค้า'!I:I&gt;0)),))"),"")</f>
        <v/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>
      <c r="A255" s="5"/>
      <c r="B255" s="6"/>
      <c r="C255" s="20">
        <f>IFERROR(VLOOKUP(B255,ชื่อสินค้า!A:C,3,FALSE),)</f>
        <v>0</v>
      </c>
      <c r="D255" s="8" t="str">
        <f>IFERROR(VLOOKUP(B255,ชื่อสินค้า!A:D,4,FALSE),"")</f>
        <v/>
      </c>
      <c r="E255" s="9"/>
      <c r="F255" s="21" t="str">
        <f t="shared" si="5"/>
        <v/>
      </c>
      <c r="G255" s="22"/>
      <c r="H255" s="8">
        <f>IFERROR(VLOOKUP(G255,ซื้อสินค้า!H:I,2,FALSE),)</f>
        <v>0</v>
      </c>
      <c r="I255" s="21">
        <f>IFERROR(VLOOKUP(G255,ซื้อสินค้า!H:J,3,FALSE),)</f>
        <v>0</v>
      </c>
      <c r="J255" s="21">
        <f t="shared" si="6"/>
        <v>0</v>
      </c>
      <c r="K255" s="21">
        <f t="shared" si="7"/>
        <v>0</v>
      </c>
      <c r="L255" s="12">
        <f t="shared" si="8"/>
        <v>0</v>
      </c>
      <c r="M255" s="21">
        <f t="shared" si="9"/>
        <v>0</v>
      </c>
      <c r="N255" s="9" t="str">
        <f ca="1">IFERROR(__xludf.DUMMYFUNCTION("IF(G255&lt;&gt;"""",G255, IFERROR(TRANSPOSE(FILTER('ซื้อสินค้า'!H:H,'ซื้อสินค้า'!B:B=B255,'ซื้อสินค้า'!I:I&gt;0)),))"),"")</f>
        <v/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>
      <c r="A256" s="5"/>
      <c r="B256" s="6"/>
      <c r="C256" s="20">
        <f>IFERROR(VLOOKUP(B256,ชื่อสินค้า!A:C,3,FALSE),)</f>
        <v>0</v>
      </c>
      <c r="D256" s="8" t="str">
        <f>IFERROR(VLOOKUP(B256,ชื่อสินค้า!A:D,4,FALSE),"")</f>
        <v/>
      </c>
      <c r="E256" s="9"/>
      <c r="F256" s="21" t="str">
        <f t="shared" si="5"/>
        <v/>
      </c>
      <c r="G256" s="22"/>
      <c r="H256" s="8">
        <f>IFERROR(VLOOKUP(G256,ซื้อสินค้า!H:I,2,FALSE),)</f>
        <v>0</v>
      </c>
      <c r="I256" s="21">
        <f>IFERROR(VLOOKUP(G256,ซื้อสินค้า!H:J,3,FALSE),)</f>
        <v>0</v>
      </c>
      <c r="J256" s="21">
        <f t="shared" si="6"/>
        <v>0</v>
      </c>
      <c r="K256" s="21">
        <f t="shared" si="7"/>
        <v>0</v>
      </c>
      <c r="L256" s="12">
        <f t="shared" si="8"/>
        <v>0</v>
      </c>
      <c r="M256" s="21">
        <f t="shared" si="9"/>
        <v>0</v>
      </c>
      <c r="N256" s="9" t="str">
        <f ca="1">IFERROR(__xludf.DUMMYFUNCTION("IF(G256&lt;&gt;"""",G256, IFERROR(TRANSPOSE(FILTER('ซื้อสินค้า'!H:H,'ซื้อสินค้า'!B:B=B256,'ซื้อสินค้า'!I:I&gt;0)),))"),"")</f>
        <v/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>
      <c r="A257" s="5"/>
      <c r="B257" s="6"/>
      <c r="C257" s="20">
        <f>IFERROR(VLOOKUP(B257,ชื่อสินค้า!A:C,3,FALSE),)</f>
        <v>0</v>
      </c>
      <c r="D257" s="8" t="str">
        <f>IFERROR(VLOOKUP(B257,ชื่อสินค้า!A:D,4,FALSE),"")</f>
        <v/>
      </c>
      <c r="E257" s="9"/>
      <c r="F257" s="21" t="str">
        <f t="shared" ref="F257:F511" si="10">IF(LEN(B257)&gt;0,C257*E257,"")</f>
        <v/>
      </c>
      <c r="G257" s="22"/>
      <c r="H257" s="8">
        <f>IFERROR(VLOOKUP(G257,ซื้อสินค้า!H:I,2,FALSE),)</f>
        <v>0</v>
      </c>
      <c r="I257" s="21">
        <f>IFERROR(VLOOKUP(G257,ซื้อสินค้า!H:J,3,FALSE),)</f>
        <v>0</v>
      </c>
      <c r="J257" s="21">
        <f t="shared" ref="J257:J511" si="11">IF(F257&lt;&gt;"",(C257- I257)*E257,)</f>
        <v>0</v>
      </c>
      <c r="K257" s="21">
        <f t="shared" ref="K257:K511" si="12">IF(F257&lt;&gt;"",(C257-I257),)</f>
        <v>0</v>
      </c>
      <c r="L257" s="12">
        <f t="shared" ref="L257:L511" si="13">IFERROR(J257/F257,)</f>
        <v>0</v>
      </c>
      <c r="M257" s="21">
        <f t="shared" ref="M257:M511" si="14">IF(I257&lt;&gt;"",I257*E257,)</f>
        <v>0</v>
      </c>
      <c r="N257" s="9" t="str">
        <f ca="1">IFERROR(__xludf.DUMMYFUNCTION("IF(G257&lt;&gt;"""",G257, IFERROR(TRANSPOSE(FILTER('ซื้อสินค้า'!H:H,'ซื้อสินค้า'!B:B=B257,'ซื้อสินค้า'!I:I&gt;0)),))"),"")</f>
        <v/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>
      <c r="A258" s="5"/>
      <c r="B258" s="6"/>
      <c r="C258" s="20">
        <f>IFERROR(VLOOKUP(B258,ชื่อสินค้า!A:C,3,FALSE),)</f>
        <v>0</v>
      </c>
      <c r="D258" s="8" t="str">
        <f>IFERROR(VLOOKUP(B258,ชื่อสินค้า!A:D,4,FALSE),"")</f>
        <v/>
      </c>
      <c r="E258" s="9"/>
      <c r="F258" s="21" t="str">
        <f t="shared" si="10"/>
        <v/>
      </c>
      <c r="G258" s="22"/>
      <c r="H258" s="8">
        <f>IFERROR(VLOOKUP(G258,ซื้อสินค้า!H:I,2,FALSE),)</f>
        <v>0</v>
      </c>
      <c r="I258" s="21">
        <f>IFERROR(VLOOKUP(G258,ซื้อสินค้า!H:J,3,FALSE),)</f>
        <v>0</v>
      </c>
      <c r="J258" s="21">
        <f t="shared" si="11"/>
        <v>0</v>
      </c>
      <c r="K258" s="21">
        <f t="shared" si="12"/>
        <v>0</v>
      </c>
      <c r="L258" s="12">
        <f t="shared" si="13"/>
        <v>0</v>
      </c>
      <c r="M258" s="21">
        <f t="shared" si="14"/>
        <v>0</v>
      </c>
      <c r="N258" s="9" t="str">
        <f ca="1">IFERROR(__xludf.DUMMYFUNCTION("IF(G258&lt;&gt;"""",G258, IFERROR(TRANSPOSE(FILTER('ซื้อสินค้า'!H:H,'ซื้อสินค้า'!B:B=B258,'ซื้อสินค้า'!I:I&gt;0)),))"),"")</f>
        <v/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>
      <c r="A259" s="5"/>
      <c r="B259" s="6"/>
      <c r="C259" s="20">
        <f>IFERROR(VLOOKUP(B259,ชื่อสินค้า!A:C,3,FALSE),)</f>
        <v>0</v>
      </c>
      <c r="D259" s="8" t="str">
        <f>IFERROR(VLOOKUP(B259,ชื่อสินค้า!A:D,4,FALSE),"")</f>
        <v/>
      </c>
      <c r="E259" s="9"/>
      <c r="F259" s="21" t="str">
        <f t="shared" si="10"/>
        <v/>
      </c>
      <c r="G259" s="22"/>
      <c r="H259" s="8">
        <f>IFERROR(VLOOKUP(G259,ซื้อสินค้า!H:I,2,FALSE),)</f>
        <v>0</v>
      </c>
      <c r="I259" s="21">
        <f>IFERROR(VLOOKUP(G259,ซื้อสินค้า!H:J,3,FALSE),)</f>
        <v>0</v>
      </c>
      <c r="J259" s="21">
        <f t="shared" si="11"/>
        <v>0</v>
      </c>
      <c r="K259" s="21">
        <f t="shared" si="12"/>
        <v>0</v>
      </c>
      <c r="L259" s="12">
        <f t="shared" si="13"/>
        <v>0</v>
      </c>
      <c r="M259" s="21">
        <f t="shared" si="14"/>
        <v>0</v>
      </c>
      <c r="N259" s="9" t="str">
        <f ca="1">IFERROR(__xludf.DUMMYFUNCTION("IF(G259&lt;&gt;"""",G259, IFERROR(TRANSPOSE(FILTER('ซื้อสินค้า'!H:H,'ซื้อสินค้า'!B:B=B259,'ซื้อสินค้า'!I:I&gt;0)),))"),"")</f>
        <v/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>
      <c r="A260" s="5"/>
      <c r="B260" s="6"/>
      <c r="C260" s="20">
        <f>IFERROR(VLOOKUP(B260,ชื่อสินค้า!A:C,3,FALSE),)</f>
        <v>0</v>
      </c>
      <c r="D260" s="8" t="str">
        <f>IFERROR(VLOOKUP(B260,ชื่อสินค้า!A:D,4,FALSE),"")</f>
        <v/>
      </c>
      <c r="E260" s="9"/>
      <c r="F260" s="21" t="str">
        <f t="shared" si="10"/>
        <v/>
      </c>
      <c r="G260" s="22"/>
      <c r="H260" s="8">
        <f>IFERROR(VLOOKUP(G260,ซื้อสินค้า!H:I,2,FALSE),)</f>
        <v>0</v>
      </c>
      <c r="I260" s="21">
        <f>IFERROR(VLOOKUP(G260,ซื้อสินค้า!H:J,3,FALSE),)</f>
        <v>0</v>
      </c>
      <c r="J260" s="21">
        <f t="shared" si="11"/>
        <v>0</v>
      </c>
      <c r="K260" s="21">
        <f t="shared" si="12"/>
        <v>0</v>
      </c>
      <c r="L260" s="12">
        <f t="shared" si="13"/>
        <v>0</v>
      </c>
      <c r="M260" s="21">
        <f t="shared" si="14"/>
        <v>0</v>
      </c>
      <c r="N260" s="9" t="str">
        <f ca="1">IFERROR(__xludf.DUMMYFUNCTION("IF(G260&lt;&gt;"""",G260, IFERROR(TRANSPOSE(FILTER('ซื้อสินค้า'!H:H,'ซื้อสินค้า'!B:B=B260,'ซื้อสินค้า'!I:I&gt;0)),))"),"")</f>
        <v/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>
      <c r="A261" s="5"/>
      <c r="B261" s="6"/>
      <c r="C261" s="20">
        <f>IFERROR(VLOOKUP(B261,ชื่อสินค้า!A:C,3,FALSE),)</f>
        <v>0</v>
      </c>
      <c r="D261" s="8" t="str">
        <f>IFERROR(VLOOKUP(B261,ชื่อสินค้า!A:D,4,FALSE),"")</f>
        <v/>
      </c>
      <c r="E261" s="9"/>
      <c r="F261" s="21" t="str">
        <f t="shared" si="10"/>
        <v/>
      </c>
      <c r="G261" s="22"/>
      <c r="H261" s="8">
        <f>IFERROR(VLOOKUP(G261,ซื้อสินค้า!H:I,2,FALSE),)</f>
        <v>0</v>
      </c>
      <c r="I261" s="21">
        <f>IFERROR(VLOOKUP(G261,ซื้อสินค้า!H:J,3,FALSE),)</f>
        <v>0</v>
      </c>
      <c r="J261" s="21">
        <f t="shared" si="11"/>
        <v>0</v>
      </c>
      <c r="K261" s="21">
        <f t="shared" si="12"/>
        <v>0</v>
      </c>
      <c r="L261" s="12">
        <f t="shared" si="13"/>
        <v>0</v>
      </c>
      <c r="M261" s="21">
        <f t="shared" si="14"/>
        <v>0</v>
      </c>
      <c r="N261" s="9" t="str">
        <f ca="1">IFERROR(__xludf.DUMMYFUNCTION("IF(G261&lt;&gt;"""",G261, IFERROR(TRANSPOSE(FILTER('ซื้อสินค้า'!H:H,'ซื้อสินค้า'!B:B=B261,'ซื้อสินค้า'!I:I&gt;0)),))"),"")</f>
        <v/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>
      <c r="A262" s="5"/>
      <c r="B262" s="6"/>
      <c r="C262" s="20">
        <f>IFERROR(VLOOKUP(B262,ชื่อสินค้า!A:C,3,FALSE),)</f>
        <v>0</v>
      </c>
      <c r="D262" s="8" t="str">
        <f>IFERROR(VLOOKUP(B262,ชื่อสินค้า!A:D,4,FALSE),"")</f>
        <v/>
      </c>
      <c r="E262" s="9"/>
      <c r="F262" s="21" t="str">
        <f t="shared" si="10"/>
        <v/>
      </c>
      <c r="G262" s="22"/>
      <c r="H262" s="8">
        <f>IFERROR(VLOOKUP(G262,ซื้อสินค้า!H:I,2,FALSE),)</f>
        <v>0</v>
      </c>
      <c r="I262" s="21">
        <f>IFERROR(VLOOKUP(G262,ซื้อสินค้า!H:J,3,FALSE),)</f>
        <v>0</v>
      </c>
      <c r="J262" s="21">
        <f t="shared" si="11"/>
        <v>0</v>
      </c>
      <c r="K262" s="21">
        <f t="shared" si="12"/>
        <v>0</v>
      </c>
      <c r="L262" s="12">
        <f t="shared" si="13"/>
        <v>0</v>
      </c>
      <c r="M262" s="21">
        <f t="shared" si="14"/>
        <v>0</v>
      </c>
      <c r="N262" s="9" t="str">
        <f ca="1">IFERROR(__xludf.DUMMYFUNCTION("IF(G262&lt;&gt;"""",G262, IFERROR(TRANSPOSE(FILTER('ซื้อสินค้า'!H:H,'ซื้อสินค้า'!B:B=B262,'ซื้อสินค้า'!I:I&gt;0)),))"),"")</f>
        <v/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>
      <c r="A263" s="5"/>
      <c r="B263" s="6"/>
      <c r="C263" s="20">
        <f>IFERROR(VLOOKUP(B263,ชื่อสินค้า!A:C,3,FALSE),)</f>
        <v>0</v>
      </c>
      <c r="D263" s="8" t="str">
        <f>IFERROR(VLOOKUP(B263,ชื่อสินค้า!A:D,4,FALSE),"")</f>
        <v/>
      </c>
      <c r="E263" s="9"/>
      <c r="F263" s="21" t="str">
        <f t="shared" si="10"/>
        <v/>
      </c>
      <c r="G263" s="22"/>
      <c r="H263" s="8">
        <f>IFERROR(VLOOKUP(G263,ซื้อสินค้า!H:I,2,FALSE),)</f>
        <v>0</v>
      </c>
      <c r="I263" s="21">
        <f>IFERROR(VLOOKUP(G263,ซื้อสินค้า!H:J,3,FALSE),)</f>
        <v>0</v>
      </c>
      <c r="J263" s="21">
        <f t="shared" si="11"/>
        <v>0</v>
      </c>
      <c r="K263" s="21">
        <f t="shared" si="12"/>
        <v>0</v>
      </c>
      <c r="L263" s="12">
        <f t="shared" si="13"/>
        <v>0</v>
      </c>
      <c r="M263" s="21">
        <f t="shared" si="14"/>
        <v>0</v>
      </c>
      <c r="N263" s="9" t="str">
        <f ca="1">IFERROR(__xludf.DUMMYFUNCTION("IF(G263&lt;&gt;"""",G263, IFERROR(TRANSPOSE(FILTER('ซื้อสินค้า'!H:H,'ซื้อสินค้า'!B:B=B263,'ซื้อสินค้า'!I:I&gt;0)),))"),"")</f>
        <v/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>
      <c r="A264" s="5"/>
      <c r="B264" s="6"/>
      <c r="C264" s="20">
        <f>IFERROR(VLOOKUP(B264,ชื่อสินค้า!A:C,3,FALSE),)</f>
        <v>0</v>
      </c>
      <c r="D264" s="8" t="str">
        <f>IFERROR(VLOOKUP(B264,ชื่อสินค้า!A:D,4,FALSE),"")</f>
        <v/>
      </c>
      <c r="E264" s="9"/>
      <c r="F264" s="21" t="str">
        <f t="shared" si="10"/>
        <v/>
      </c>
      <c r="G264" s="22"/>
      <c r="H264" s="8">
        <f>IFERROR(VLOOKUP(G264,ซื้อสินค้า!H:I,2,FALSE),)</f>
        <v>0</v>
      </c>
      <c r="I264" s="21">
        <f>IFERROR(VLOOKUP(G264,ซื้อสินค้า!H:J,3,FALSE),)</f>
        <v>0</v>
      </c>
      <c r="J264" s="21">
        <f t="shared" si="11"/>
        <v>0</v>
      </c>
      <c r="K264" s="21">
        <f t="shared" si="12"/>
        <v>0</v>
      </c>
      <c r="L264" s="12">
        <f t="shared" si="13"/>
        <v>0</v>
      </c>
      <c r="M264" s="21">
        <f t="shared" si="14"/>
        <v>0</v>
      </c>
      <c r="N264" s="9" t="str">
        <f ca="1">IFERROR(__xludf.DUMMYFUNCTION("IF(G264&lt;&gt;"""",G264, IFERROR(TRANSPOSE(FILTER('ซื้อสินค้า'!H:H,'ซื้อสินค้า'!B:B=B264,'ซื้อสินค้า'!I:I&gt;0)),))"),"")</f>
        <v/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>
      <c r="A265" s="5"/>
      <c r="B265" s="6"/>
      <c r="C265" s="20">
        <f>IFERROR(VLOOKUP(B265,ชื่อสินค้า!A:C,3,FALSE),)</f>
        <v>0</v>
      </c>
      <c r="D265" s="8" t="str">
        <f>IFERROR(VLOOKUP(B265,ชื่อสินค้า!A:D,4,FALSE),"")</f>
        <v/>
      </c>
      <c r="E265" s="9"/>
      <c r="F265" s="21" t="str">
        <f t="shared" si="10"/>
        <v/>
      </c>
      <c r="G265" s="22"/>
      <c r="H265" s="8">
        <f>IFERROR(VLOOKUP(G265,ซื้อสินค้า!H:I,2,FALSE),)</f>
        <v>0</v>
      </c>
      <c r="I265" s="21">
        <f>IFERROR(VLOOKUP(G265,ซื้อสินค้า!H:J,3,FALSE),)</f>
        <v>0</v>
      </c>
      <c r="J265" s="21">
        <f t="shared" si="11"/>
        <v>0</v>
      </c>
      <c r="K265" s="21">
        <f t="shared" si="12"/>
        <v>0</v>
      </c>
      <c r="L265" s="12">
        <f t="shared" si="13"/>
        <v>0</v>
      </c>
      <c r="M265" s="21">
        <f t="shared" si="14"/>
        <v>0</v>
      </c>
      <c r="N265" s="9" t="str">
        <f ca="1">IFERROR(__xludf.DUMMYFUNCTION("IF(G265&lt;&gt;"""",G265, IFERROR(TRANSPOSE(FILTER('ซื้อสินค้า'!H:H,'ซื้อสินค้า'!B:B=B265,'ซื้อสินค้า'!I:I&gt;0)),))"),"")</f>
        <v/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>
      <c r="A266" s="5"/>
      <c r="B266" s="6"/>
      <c r="C266" s="20">
        <f>IFERROR(VLOOKUP(B266,ชื่อสินค้า!A:C,3,FALSE),)</f>
        <v>0</v>
      </c>
      <c r="D266" s="8" t="str">
        <f>IFERROR(VLOOKUP(B266,ชื่อสินค้า!A:D,4,FALSE),"")</f>
        <v/>
      </c>
      <c r="E266" s="9"/>
      <c r="F266" s="21" t="str">
        <f t="shared" si="10"/>
        <v/>
      </c>
      <c r="G266" s="22"/>
      <c r="H266" s="8">
        <f>IFERROR(VLOOKUP(G266,ซื้อสินค้า!H:I,2,FALSE),)</f>
        <v>0</v>
      </c>
      <c r="I266" s="21">
        <f>IFERROR(VLOOKUP(G266,ซื้อสินค้า!H:J,3,FALSE),)</f>
        <v>0</v>
      </c>
      <c r="J266" s="21">
        <f t="shared" si="11"/>
        <v>0</v>
      </c>
      <c r="K266" s="21">
        <f t="shared" si="12"/>
        <v>0</v>
      </c>
      <c r="L266" s="12">
        <f t="shared" si="13"/>
        <v>0</v>
      </c>
      <c r="M266" s="21">
        <f t="shared" si="14"/>
        <v>0</v>
      </c>
      <c r="N266" s="9" t="str">
        <f ca="1">IFERROR(__xludf.DUMMYFUNCTION("IF(G266&lt;&gt;"""",G266, IFERROR(TRANSPOSE(FILTER('ซื้อสินค้า'!H:H,'ซื้อสินค้า'!B:B=B266,'ซื้อสินค้า'!I:I&gt;0)),))"),"")</f>
        <v/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>
      <c r="A267" s="5"/>
      <c r="B267" s="6"/>
      <c r="C267" s="20">
        <f>IFERROR(VLOOKUP(B267,ชื่อสินค้า!A:C,3,FALSE),)</f>
        <v>0</v>
      </c>
      <c r="D267" s="8" t="str">
        <f>IFERROR(VLOOKUP(B267,ชื่อสินค้า!A:D,4,FALSE),"")</f>
        <v/>
      </c>
      <c r="E267" s="9"/>
      <c r="F267" s="21" t="str">
        <f t="shared" si="10"/>
        <v/>
      </c>
      <c r="G267" s="22"/>
      <c r="H267" s="8">
        <f>IFERROR(VLOOKUP(G267,ซื้อสินค้า!H:I,2,FALSE),)</f>
        <v>0</v>
      </c>
      <c r="I267" s="21">
        <f>IFERROR(VLOOKUP(G267,ซื้อสินค้า!H:J,3,FALSE),)</f>
        <v>0</v>
      </c>
      <c r="J267" s="21">
        <f t="shared" si="11"/>
        <v>0</v>
      </c>
      <c r="K267" s="21">
        <f t="shared" si="12"/>
        <v>0</v>
      </c>
      <c r="L267" s="12">
        <f t="shared" si="13"/>
        <v>0</v>
      </c>
      <c r="M267" s="21">
        <f t="shared" si="14"/>
        <v>0</v>
      </c>
      <c r="N267" s="9" t="str">
        <f ca="1">IFERROR(__xludf.DUMMYFUNCTION("IF(G267&lt;&gt;"""",G267, IFERROR(TRANSPOSE(FILTER('ซื้อสินค้า'!H:H,'ซื้อสินค้า'!B:B=B267,'ซื้อสินค้า'!I:I&gt;0)),))"),"")</f>
        <v/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>
      <c r="A268" s="5"/>
      <c r="B268" s="6"/>
      <c r="C268" s="20">
        <f>IFERROR(VLOOKUP(B268,ชื่อสินค้า!A:C,3,FALSE),)</f>
        <v>0</v>
      </c>
      <c r="D268" s="8" t="str">
        <f>IFERROR(VLOOKUP(B268,ชื่อสินค้า!A:D,4,FALSE),"")</f>
        <v/>
      </c>
      <c r="E268" s="9"/>
      <c r="F268" s="21" t="str">
        <f t="shared" si="10"/>
        <v/>
      </c>
      <c r="G268" s="22"/>
      <c r="H268" s="8">
        <f>IFERROR(VLOOKUP(G268,ซื้อสินค้า!H:I,2,FALSE),)</f>
        <v>0</v>
      </c>
      <c r="I268" s="21">
        <f>IFERROR(VLOOKUP(G268,ซื้อสินค้า!H:J,3,FALSE),)</f>
        <v>0</v>
      </c>
      <c r="J268" s="21">
        <f t="shared" si="11"/>
        <v>0</v>
      </c>
      <c r="K268" s="21">
        <f t="shared" si="12"/>
        <v>0</v>
      </c>
      <c r="L268" s="12">
        <f t="shared" si="13"/>
        <v>0</v>
      </c>
      <c r="M268" s="21">
        <f t="shared" si="14"/>
        <v>0</v>
      </c>
      <c r="N268" s="9" t="str">
        <f ca="1">IFERROR(__xludf.DUMMYFUNCTION("IF(G268&lt;&gt;"""",G268, IFERROR(TRANSPOSE(FILTER('ซื้อสินค้า'!H:H,'ซื้อสินค้า'!B:B=B268,'ซื้อสินค้า'!I:I&gt;0)),))"),"")</f>
        <v/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>
      <c r="A269" s="5"/>
      <c r="B269" s="6"/>
      <c r="C269" s="20">
        <f>IFERROR(VLOOKUP(B269,ชื่อสินค้า!A:C,3,FALSE),)</f>
        <v>0</v>
      </c>
      <c r="D269" s="8" t="str">
        <f>IFERROR(VLOOKUP(B269,ชื่อสินค้า!A:D,4,FALSE),"")</f>
        <v/>
      </c>
      <c r="E269" s="9"/>
      <c r="F269" s="21" t="str">
        <f t="shared" si="10"/>
        <v/>
      </c>
      <c r="G269" s="22"/>
      <c r="H269" s="8">
        <f>IFERROR(VLOOKUP(G269,ซื้อสินค้า!H:I,2,FALSE),)</f>
        <v>0</v>
      </c>
      <c r="I269" s="21">
        <f>IFERROR(VLOOKUP(G269,ซื้อสินค้า!H:J,3,FALSE),)</f>
        <v>0</v>
      </c>
      <c r="J269" s="21">
        <f t="shared" si="11"/>
        <v>0</v>
      </c>
      <c r="K269" s="21">
        <f t="shared" si="12"/>
        <v>0</v>
      </c>
      <c r="L269" s="12">
        <f t="shared" si="13"/>
        <v>0</v>
      </c>
      <c r="M269" s="21">
        <f t="shared" si="14"/>
        <v>0</v>
      </c>
      <c r="N269" s="9" t="str">
        <f ca="1">IFERROR(__xludf.DUMMYFUNCTION("IF(G269&lt;&gt;"""",G269, IFERROR(TRANSPOSE(FILTER('ซื้อสินค้า'!H:H,'ซื้อสินค้า'!B:B=B269,'ซื้อสินค้า'!I:I&gt;0)),))"),"")</f>
        <v/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>
      <c r="A270" s="5"/>
      <c r="B270" s="6"/>
      <c r="C270" s="20">
        <f>IFERROR(VLOOKUP(B270,ชื่อสินค้า!A:C,3,FALSE),)</f>
        <v>0</v>
      </c>
      <c r="D270" s="8" t="str">
        <f>IFERROR(VLOOKUP(B270,ชื่อสินค้า!A:D,4,FALSE),"")</f>
        <v/>
      </c>
      <c r="E270" s="9"/>
      <c r="F270" s="21" t="str">
        <f t="shared" si="10"/>
        <v/>
      </c>
      <c r="G270" s="22"/>
      <c r="H270" s="8">
        <f>IFERROR(VLOOKUP(G270,ซื้อสินค้า!H:I,2,FALSE),)</f>
        <v>0</v>
      </c>
      <c r="I270" s="21">
        <f>IFERROR(VLOOKUP(G270,ซื้อสินค้า!H:J,3,FALSE),)</f>
        <v>0</v>
      </c>
      <c r="J270" s="21">
        <f t="shared" si="11"/>
        <v>0</v>
      </c>
      <c r="K270" s="21">
        <f t="shared" si="12"/>
        <v>0</v>
      </c>
      <c r="L270" s="12">
        <f t="shared" si="13"/>
        <v>0</v>
      </c>
      <c r="M270" s="21">
        <f t="shared" si="14"/>
        <v>0</v>
      </c>
      <c r="N270" s="9" t="str">
        <f ca="1">IFERROR(__xludf.DUMMYFUNCTION("IF(G270&lt;&gt;"""",G270, IFERROR(TRANSPOSE(FILTER('ซื้อสินค้า'!H:H,'ซื้อสินค้า'!B:B=B270,'ซื้อสินค้า'!I:I&gt;0)),))"),"")</f>
        <v/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>
      <c r="A271" s="5"/>
      <c r="B271" s="6"/>
      <c r="C271" s="20">
        <f>IFERROR(VLOOKUP(B271,ชื่อสินค้า!A:C,3,FALSE),)</f>
        <v>0</v>
      </c>
      <c r="D271" s="8" t="str">
        <f>IFERROR(VLOOKUP(B271,ชื่อสินค้า!A:D,4,FALSE),"")</f>
        <v/>
      </c>
      <c r="E271" s="9"/>
      <c r="F271" s="21" t="str">
        <f t="shared" si="10"/>
        <v/>
      </c>
      <c r="G271" s="22"/>
      <c r="H271" s="8">
        <f>IFERROR(VLOOKUP(G271,ซื้อสินค้า!H:I,2,FALSE),)</f>
        <v>0</v>
      </c>
      <c r="I271" s="21">
        <f>IFERROR(VLOOKUP(G271,ซื้อสินค้า!H:J,3,FALSE),)</f>
        <v>0</v>
      </c>
      <c r="J271" s="21">
        <f t="shared" si="11"/>
        <v>0</v>
      </c>
      <c r="K271" s="21">
        <f t="shared" si="12"/>
        <v>0</v>
      </c>
      <c r="L271" s="12">
        <f t="shared" si="13"/>
        <v>0</v>
      </c>
      <c r="M271" s="21">
        <f t="shared" si="14"/>
        <v>0</v>
      </c>
      <c r="N271" s="9" t="str">
        <f ca="1">IFERROR(__xludf.DUMMYFUNCTION("IF(G271&lt;&gt;"""",G271, IFERROR(TRANSPOSE(FILTER('ซื้อสินค้า'!H:H,'ซื้อสินค้า'!B:B=B271,'ซื้อสินค้า'!I:I&gt;0)),))"),"")</f>
        <v/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>
      <c r="A272" s="5"/>
      <c r="B272" s="6"/>
      <c r="C272" s="20">
        <f>IFERROR(VLOOKUP(B272,ชื่อสินค้า!A:C,3,FALSE),)</f>
        <v>0</v>
      </c>
      <c r="D272" s="8" t="str">
        <f>IFERROR(VLOOKUP(B272,ชื่อสินค้า!A:D,4,FALSE),"")</f>
        <v/>
      </c>
      <c r="E272" s="9"/>
      <c r="F272" s="21" t="str">
        <f t="shared" si="10"/>
        <v/>
      </c>
      <c r="G272" s="22"/>
      <c r="H272" s="8">
        <f>IFERROR(VLOOKUP(G272,ซื้อสินค้า!H:I,2,FALSE),)</f>
        <v>0</v>
      </c>
      <c r="I272" s="21">
        <f>IFERROR(VLOOKUP(G272,ซื้อสินค้า!H:J,3,FALSE),)</f>
        <v>0</v>
      </c>
      <c r="J272" s="21">
        <f t="shared" si="11"/>
        <v>0</v>
      </c>
      <c r="K272" s="21">
        <f t="shared" si="12"/>
        <v>0</v>
      </c>
      <c r="L272" s="12">
        <f t="shared" si="13"/>
        <v>0</v>
      </c>
      <c r="M272" s="21">
        <f t="shared" si="14"/>
        <v>0</v>
      </c>
      <c r="N272" s="9" t="str">
        <f ca="1">IFERROR(__xludf.DUMMYFUNCTION("IF(G272&lt;&gt;"""",G272, IFERROR(TRANSPOSE(FILTER('ซื้อสินค้า'!H:H,'ซื้อสินค้า'!B:B=B272,'ซื้อสินค้า'!I:I&gt;0)),))"),"")</f>
        <v/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>
      <c r="A273" s="5"/>
      <c r="B273" s="6"/>
      <c r="C273" s="20">
        <f>IFERROR(VLOOKUP(B273,ชื่อสินค้า!A:C,3,FALSE),)</f>
        <v>0</v>
      </c>
      <c r="D273" s="8" t="str">
        <f>IFERROR(VLOOKUP(B273,ชื่อสินค้า!A:D,4,FALSE),"")</f>
        <v/>
      </c>
      <c r="E273" s="9"/>
      <c r="F273" s="21" t="str">
        <f t="shared" si="10"/>
        <v/>
      </c>
      <c r="G273" s="22"/>
      <c r="H273" s="8">
        <f>IFERROR(VLOOKUP(G273,ซื้อสินค้า!H:I,2,FALSE),)</f>
        <v>0</v>
      </c>
      <c r="I273" s="21">
        <f>IFERROR(VLOOKUP(G273,ซื้อสินค้า!H:J,3,FALSE),)</f>
        <v>0</v>
      </c>
      <c r="J273" s="21">
        <f t="shared" si="11"/>
        <v>0</v>
      </c>
      <c r="K273" s="21">
        <f t="shared" si="12"/>
        <v>0</v>
      </c>
      <c r="L273" s="12">
        <f t="shared" si="13"/>
        <v>0</v>
      </c>
      <c r="M273" s="21">
        <f t="shared" si="14"/>
        <v>0</v>
      </c>
      <c r="N273" s="9" t="str">
        <f ca="1">IFERROR(__xludf.DUMMYFUNCTION("IF(G273&lt;&gt;"""",G273, IFERROR(TRANSPOSE(FILTER('ซื้อสินค้า'!H:H,'ซื้อสินค้า'!B:B=B273,'ซื้อสินค้า'!I:I&gt;0)),))"),"")</f>
        <v/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>
      <c r="A274" s="5"/>
      <c r="B274" s="6"/>
      <c r="C274" s="20">
        <f>IFERROR(VLOOKUP(B274,ชื่อสินค้า!A:C,3,FALSE),)</f>
        <v>0</v>
      </c>
      <c r="D274" s="8" t="str">
        <f>IFERROR(VLOOKUP(B274,ชื่อสินค้า!A:D,4,FALSE),"")</f>
        <v/>
      </c>
      <c r="E274" s="9"/>
      <c r="F274" s="21" t="str">
        <f t="shared" si="10"/>
        <v/>
      </c>
      <c r="G274" s="22"/>
      <c r="H274" s="8">
        <f>IFERROR(VLOOKUP(G274,ซื้อสินค้า!H:I,2,FALSE),)</f>
        <v>0</v>
      </c>
      <c r="I274" s="21">
        <f>IFERROR(VLOOKUP(G274,ซื้อสินค้า!H:J,3,FALSE),)</f>
        <v>0</v>
      </c>
      <c r="J274" s="21">
        <f t="shared" si="11"/>
        <v>0</v>
      </c>
      <c r="K274" s="21">
        <f t="shared" si="12"/>
        <v>0</v>
      </c>
      <c r="L274" s="12">
        <f t="shared" si="13"/>
        <v>0</v>
      </c>
      <c r="M274" s="21">
        <f t="shared" si="14"/>
        <v>0</v>
      </c>
      <c r="N274" s="9" t="str">
        <f ca="1">IFERROR(__xludf.DUMMYFUNCTION("IF(G274&lt;&gt;"""",G274, IFERROR(TRANSPOSE(FILTER('ซื้อสินค้า'!H:H,'ซื้อสินค้า'!B:B=B274,'ซื้อสินค้า'!I:I&gt;0)),))"),"")</f>
        <v/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>
      <c r="A275" s="5"/>
      <c r="B275" s="6"/>
      <c r="C275" s="20">
        <f>IFERROR(VLOOKUP(B275,ชื่อสินค้า!A:C,3,FALSE),)</f>
        <v>0</v>
      </c>
      <c r="D275" s="8" t="str">
        <f>IFERROR(VLOOKUP(B275,ชื่อสินค้า!A:D,4,FALSE),"")</f>
        <v/>
      </c>
      <c r="E275" s="9"/>
      <c r="F275" s="21" t="str">
        <f t="shared" si="10"/>
        <v/>
      </c>
      <c r="G275" s="22"/>
      <c r="H275" s="8">
        <f>IFERROR(VLOOKUP(G275,ซื้อสินค้า!H:I,2,FALSE),)</f>
        <v>0</v>
      </c>
      <c r="I275" s="21">
        <f>IFERROR(VLOOKUP(G275,ซื้อสินค้า!H:J,3,FALSE),)</f>
        <v>0</v>
      </c>
      <c r="J275" s="21">
        <f t="shared" si="11"/>
        <v>0</v>
      </c>
      <c r="K275" s="21">
        <f t="shared" si="12"/>
        <v>0</v>
      </c>
      <c r="L275" s="12">
        <f t="shared" si="13"/>
        <v>0</v>
      </c>
      <c r="M275" s="21">
        <f t="shared" si="14"/>
        <v>0</v>
      </c>
      <c r="N275" s="9" t="str">
        <f ca="1">IFERROR(__xludf.DUMMYFUNCTION("IF(G275&lt;&gt;"""",G275, IFERROR(TRANSPOSE(FILTER('ซื้อสินค้า'!H:H,'ซื้อสินค้า'!B:B=B275,'ซื้อสินค้า'!I:I&gt;0)),))"),"")</f>
        <v/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>
      <c r="A276" s="5"/>
      <c r="B276" s="6"/>
      <c r="C276" s="20">
        <f>IFERROR(VLOOKUP(B276,ชื่อสินค้า!A:C,3,FALSE),)</f>
        <v>0</v>
      </c>
      <c r="D276" s="8" t="str">
        <f>IFERROR(VLOOKUP(B276,ชื่อสินค้า!A:D,4,FALSE),"")</f>
        <v/>
      </c>
      <c r="E276" s="9"/>
      <c r="F276" s="21" t="str">
        <f t="shared" si="10"/>
        <v/>
      </c>
      <c r="G276" s="22"/>
      <c r="H276" s="8">
        <f>IFERROR(VLOOKUP(G276,ซื้อสินค้า!H:I,2,FALSE),)</f>
        <v>0</v>
      </c>
      <c r="I276" s="21">
        <f>IFERROR(VLOOKUP(G276,ซื้อสินค้า!H:J,3,FALSE),)</f>
        <v>0</v>
      </c>
      <c r="J276" s="21">
        <f t="shared" si="11"/>
        <v>0</v>
      </c>
      <c r="K276" s="21">
        <f t="shared" si="12"/>
        <v>0</v>
      </c>
      <c r="L276" s="12">
        <f t="shared" si="13"/>
        <v>0</v>
      </c>
      <c r="M276" s="21">
        <f t="shared" si="14"/>
        <v>0</v>
      </c>
      <c r="N276" s="9" t="str">
        <f ca="1">IFERROR(__xludf.DUMMYFUNCTION("IF(G276&lt;&gt;"""",G276, IFERROR(TRANSPOSE(FILTER('ซื้อสินค้า'!H:H,'ซื้อสินค้า'!B:B=B276,'ซื้อสินค้า'!I:I&gt;0)),))"),"")</f>
        <v/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>
      <c r="A277" s="5"/>
      <c r="B277" s="6"/>
      <c r="C277" s="20">
        <f>IFERROR(VLOOKUP(B277,ชื่อสินค้า!A:C,3,FALSE),)</f>
        <v>0</v>
      </c>
      <c r="D277" s="8" t="str">
        <f>IFERROR(VLOOKUP(B277,ชื่อสินค้า!A:D,4,FALSE),"")</f>
        <v/>
      </c>
      <c r="E277" s="9"/>
      <c r="F277" s="21" t="str">
        <f t="shared" si="10"/>
        <v/>
      </c>
      <c r="G277" s="22"/>
      <c r="H277" s="8">
        <f>IFERROR(VLOOKUP(G277,ซื้อสินค้า!H:I,2,FALSE),)</f>
        <v>0</v>
      </c>
      <c r="I277" s="21">
        <f>IFERROR(VLOOKUP(G277,ซื้อสินค้า!H:J,3,FALSE),)</f>
        <v>0</v>
      </c>
      <c r="J277" s="21">
        <f t="shared" si="11"/>
        <v>0</v>
      </c>
      <c r="K277" s="21">
        <f t="shared" si="12"/>
        <v>0</v>
      </c>
      <c r="L277" s="12">
        <f t="shared" si="13"/>
        <v>0</v>
      </c>
      <c r="M277" s="21">
        <f t="shared" si="14"/>
        <v>0</v>
      </c>
      <c r="N277" s="9" t="str">
        <f ca="1">IFERROR(__xludf.DUMMYFUNCTION("IF(G277&lt;&gt;"""",G277, IFERROR(TRANSPOSE(FILTER('ซื้อสินค้า'!H:H,'ซื้อสินค้า'!B:B=B277,'ซื้อสินค้า'!I:I&gt;0)),))"),"")</f>
        <v/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>
      <c r="A278" s="5"/>
      <c r="B278" s="6"/>
      <c r="C278" s="20">
        <f>IFERROR(VLOOKUP(B278,ชื่อสินค้า!A:C,3,FALSE),)</f>
        <v>0</v>
      </c>
      <c r="D278" s="8" t="str">
        <f>IFERROR(VLOOKUP(B278,ชื่อสินค้า!A:D,4,FALSE),"")</f>
        <v/>
      </c>
      <c r="E278" s="9"/>
      <c r="F278" s="21" t="str">
        <f t="shared" si="10"/>
        <v/>
      </c>
      <c r="G278" s="22"/>
      <c r="H278" s="8">
        <f>IFERROR(VLOOKUP(G278,ซื้อสินค้า!H:I,2,FALSE),)</f>
        <v>0</v>
      </c>
      <c r="I278" s="21">
        <f>IFERROR(VLOOKUP(G278,ซื้อสินค้า!H:J,3,FALSE),)</f>
        <v>0</v>
      </c>
      <c r="J278" s="21">
        <f t="shared" si="11"/>
        <v>0</v>
      </c>
      <c r="K278" s="21">
        <f t="shared" si="12"/>
        <v>0</v>
      </c>
      <c r="L278" s="12">
        <f t="shared" si="13"/>
        <v>0</v>
      </c>
      <c r="M278" s="21">
        <f t="shared" si="14"/>
        <v>0</v>
      </c>
      <c r="N278" s="9" t="str">
        <f ca="1">IFERROR(__xludf.DUMMYFUNCTION("IF(G278&lt;&gt;"""",G278, IFERROR(TRANSPOSE(FILTER('ซื้อสินค้า'!H:H,'ซื้อสินค้า'!B:B=B278,'ซื้อสินค้า'!I:I&gt;0)),))"),"")</f>
        <v/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>
      <c r="A279" s="5"/>
      <c r="B279" s="6"/>
      <c r="C279" s="20">
        <f>IFERROR(VLOOKUP(B279,ชื่อสินค้า!A:C,3,FALSE),)</f>
        <v>0</v>
      </c>
      <c r="D279" s="8" t="str">
        <f>IFERROR(VLOOKUP(B279,ชื่อสินค้า!A:D,4,FALSE),"")</f>
        <v/>
      </c>
      <c r="E279" s="9"/>
      <c r="F279" s="21" t="str">
        <f t="shared" si="10"/>
        <v/>
      </c>
      <c r="G279" s="22"/>
      <c r="H279" s="8">
        <f>IFERROR(VLOOKUP(G279,ซื้อสินค้า!H:I,2,FALSE),)</f>
        <v>0</v>
      </c>
      <c r="I279" s="21">
        <f>IFERROR(VLOOKUP(G279,ซื้อสินค้า!H:J,3,FALSE),)</f>
        <v>0</v>
      </c>
      <c r="J279" s="21">
        <f t="shared" si="11"/>
        <v>0</v>
      </c>
      <c r="K279" s="21">
        <f t="shared" si="12"/>
        <v>0</v>
      </c>
      <c r="L279" s="12">
        <f t="shared" si="13"/>
        <v>0</v>
      </c>
      <c r="M279" s="21">
        <f t="shared" si="14"/>
        <v>0</v>
      </c>
      <c r="N279" s="9" t="str">
        <f ca="1">IFERROR(__xludf.DUMMYFUNCTION("IF(G279&lt;&gt;"""",G279, IFERROR(TRANSPOSE(FILTER('ซื้อสินค้า'!H:H,'ซื้อสินค้า'!B:B=B279,'ซื้อสินค้า'!I:I&gt;0)),))"),"")</f>
        <v/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>
      <c r="A280" s="5"/>
      <c r="B280" s="6"/>
      <c r="C280" s="20">
        <f>IFERROR(VLOOKUP(B280,ชื่อสินค้า!A:C,3,FALSE),)</f>
        <v>0</v>
      </c>
      <c r="D280" s="8" t="str">
        <f>IFERROR(VLOOKUP(B280,ชื่อสินค้า!A:D,4,FALSE),"")</f>
        <v/>
      </c>
      <c r="E280" s="9"/>
      <c r="F280" s="21" t="str">
        <f t="shared" si="10"/>
        <v/>
      </c>
      <c r="G280" s="22"/>
      <c r="H280" s="8">
        <f>IFERROR(VLOOKUP(G280,ซื้อสินค้า!H:I,2,FALSE),)</f>
        <v>0</v>
      </c>
      <c r="I280" s="21">
        <f>IFERROR(VLOOKUP(G280,ซื้อสินค้า!H:J,3,FALSE),)</f>
        <v>0</v>
      </c>
      <c r="J280" s="21">
        <f t="shared" si="11"/>
        <v>0</v>
      </c>
      <c r="K280" s="21">
        <f t="shared" si="12"/>
        <v>0</v>
      </c>
      <c r="L280" s="12">
        <f t="shared" si="13"/>
        <v>0</v>
      </c>
      <c r="M280" s="21">
        <f t="shared" si="14"/>
        <v>0</v>
      </c>
      <c r="N280" s="9" t="str">
        <f ca="1">IFERROR(__xludf.DUMMYFUNCTION("IF(G280&lt;&gt;"""",G280, IFERROR(TRANSPOSE(FILTER('ซื้อสินค้า'!H:H,'ซื้อสินค้า'!B:B=B280,'ซื้อสินค้า'!I:I&gt;0)),))"),"")</f>
        <v/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>
      <c r="A281" s="5"/>
      <c r="B281" s="6"/>
      <c r="C281" s="20">
        <f>IFERROR(VLOOKUP(B281,ชื่อสินค้า!A:C,3,FALSE),)</f>
        <v>0</v>
      </c>
      <c r="D281" s="8" t="str">
        <f>IFERROR(VLOOKUP(B281,ชื่อสินค้า!A:D,4,FALSE),"")</f>
        <v/>
      </c>
      <c r="E281" s="9"/>
      <c r="F281" s="21" t="str">
        <f t="shared" si="10"/>
        <v/>
      </c>
      <c r="G281" s="22"/>
      <c r="H281" s="8">
        <f>IFERROR(VLOOKUP(G281,ซื้อสินค้า!H:I,2,FALSE),)</f>
        <v>0</v>
      </c>
      <c r="I281" s="21">
        <f>IFERROR(VLOOKUP(G281,ซื้อสินค้า!H:J,3,FALSE),)</f>
        <v>0</v>
      </c>
      <c r="J281" s="21">
        <f t="shared" si="11"/>
        <v>0</v>
      </c>
      <c r="K281" s="21">
        <f t="shared" si="12"/>
        <v>0</v>
      </c>
      <c r="L281" s="12">
        <f t="shared" si="13"/>
        <v>0</v>
      </c>
      <c r="M281" s="21">
        <f t="shared" si="14"/>
        <v>0</v>
      </c>
      <c r="N281" s="9" t="str">
        <f ca="1">IFERROR(__xludf.DUMMYFUNCTION("IF(G281&lt;&gt;"""",G281, IFERROR(TRANSPOSE(FILTER('ซื้อสินค้า'!H:H,'ซื้อสินค้า'!B:B=B281,'ซื้อสินค้า'!I:I&gt;0)),))"),"")</f>
        <v/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>
      <c r="A282" s="5"/>
      <c r="B282" s="6"/>
      <c r="C282" s="20">
        <f>IFERROR(VLOOKUP(B282,ชื่อสินค้า!A:C,3,FALSE),)</f>
        <v>0</v>
      </c>
      <c r="D282" s="8" t="str">
        <f>IFERROR(VLOOKUP(B282,ชื่อสินค้า!A:D,4,FALSE),"")</f>
        <v/>
      </c>
      <c r="E282" s="9"/>
      <c r="F282" s="21" t="str">
        <f t="shared" si="10"/>
        <v/>
      </c>
      <c r="G282" s="22"/>
      <c r="H282" s="8">
        <f>IFERROR(VLOOKUP(G282,ซื้อสินค้า!H:I,2,FALSE),)</f>
        <v>0</v>
      </c>
      <c r="I282" s="21">
        <f>IFERROR(VLOOKUP(G282,ซื้อสินค้า!H:J,3,FALSE),)</f>
        <v>0</v>
      </c>
      <c r="J282" s="21">
        <f t="shared" si="11"/>
        <v>0</v>
      </c>
      <c r="K282" s="21">
        <f t="shared" si="12"/>
        <v>0</v>
      </c>
      <c r="L282" s="12">
        <f t="shared" si="13"/>
        <v>0</v>
      </c>
      <c r="M282" s="21">
        <f t="shared" si="14"/>
        <v>0</v>
      </c>
      <c r="N282" s="9" t="str">
        <f ca="1">IFERROR(__xludf.DUMMYFUNCTION("IF(G282&lt;&gt;"""",G282, IFERROR(TRANSPOSE(FILTER('ซื้อสินค้า'!H:H,'ซื้อสินค้า'!B:B=B282,'ซื้อสินค้า'!I:I&gt;0)),))"),"")</f>
        <v/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>
      <c r="A283" s="5"/>
      <c r="B283" s="6"/>
      <c r="C283" s="20">
        <f>IFERROR(VLOOKUP(B283,ชื่อสินค้า!A:C,3,FALSE),)</f>
        <v>0</v>
      </c>
      <c r="D283" s="8" t="str">
        <f>IFERROR(VLOOKUP(B283,ชื่อสินค้า!A:D,4,FALSE),"")</f>
        <v/>
      </c>
      <c r="E283" s="9"/>
      <c r="F283" s="21" t="str">
        <f t="shared" si="10"/>
        <v/>
      </c>
      <c r="G283" s="22"/>
      <c r="H283" s="8">
        <f>IFERROR(VLOOKUP(G283,ซื้อสินค้า!H:I,2,FALSE),)</f>
        <v>0</v>
      </c>
      <c r="I283" s="21">
        <f>IFERROR(VLOOKUP(G283,ซื้อสินค้า!H:J,3,FALSE),)</f>
        <v>0</v>
      </c>
      <c r="J283" s="21">
        <f t="shared" si="11"/>
        <v>0</v>
      </c>
      <c r="K283" s="21">
        <f t="shared" si="12"/>
        <v>0</v>
      </c>
      <c r="L283" s="12">
        <f t="shared" si="13"/>
        <v>0</v>
      </c>
      <c r="M283" s="21">
        <f t="shared" si="14"/>
        <v>0</v>
      </c>
      <c r="N283" s="9" t="str">
        <f ca="1">IFERROR(__xludf.DUMMYFUNCTION("IF(G283&lt;&gt;"""",G283, IFERROR(TRANSPOSE(FILTER('ซื้อสินค้า'!H:H,'ซื้อสินค้า'!B:B=B283,'ซื้อสินค้า'!I:I&gt;0)),))"),"")</f>
        <v/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>
      <c r="A284" s="5"/>
      <c r="B284" s="6"/>
      <c r="C284" s="20">
        <f>IFERROR(VLOOKUP(B284,ชื่อสินค้า!A:C,3,FALSE),)</f>
        <v>0</v>
      </c>
      <c r="D284" s="8" t="str">
        <f>IFERROR(VLOOKUP(B284,ชื่อสินค้า!A:D,4,FALSE),"")</f>
        <v/>
      </c>
      <c r="E284" s="9"/>
      <c r="F284" s="21" t="str">
        <f t="shared" si="10"/>
        <v/>
      </c>
      <c r="G284" s="22"/>
      <c r="H284" s="8">
        <f>IFERROR(VLOOKUP(G284,ซื้อสินค้า!H:I,2,FALSE),)</f>
        <v>0</v>
      </c>
      <c r="I284" s="21">
        <f>IFERROR(VLOOKUP(G284,ซื้อสินค้า!H:J,3,FALSE),)</f>
        <v>0</v>
      </c>
      <c r="J284" s="21">
        <f t="shared" si="11"/>
        <v>0</v>
      </c>
      <c r="K284" s="21">
        <f t="shared" si="12"/>
        <v>0</v>
      </c>
      <c r="L284" s="12">
        <f t="shared" si="13"/>
        <v>0</v>
      </c>
      <c r="M284" s="21">
        <f t="shared" si="14"/>
        <v>0</v>
      </c>
      <c r="N284" s="9" t="str">
        <f ca="1">IFERROR(__xludf.DUMMYFUNCTION("IF(G284&lt;&gt;"""",G284, IFERROR(TRANSPOSE(FILTER('ซื้อสินค้า'!H:H,'ซื้อสินค้า'!B:B=B284,'ซื้อสินค้า'!I:I&gt;0)),))"),"")</f>
        <v/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>
      <c r="A285" s="5"/>
      <c r="B285" s="6"/>
      <c r="C285" s="20">
        <f>IFERROR(VLOOKUP(B285,ชื่อสินค้า!A:C,3,FALSE),)</f>
        <v>0</v>
      </c>
      <c r="D285" s="8" t="str">
        <f>IFERROR(VLOOKUP(B285,ชื่อสินค้า!A:D,4,FALSE),"")</f>
        <v/>
      </c>
      <c r="E285" s="9"/>
      <c r="F285" s="21" t="str">
        <f t="shared" si="10"/>
        <v/>
      </c>
      <c r="G285" s="22"/>
      <c r="H285" s="8">
        <f>IFERROR(VLOOKUP(G285,ซื้อสินค้า!H:I,2,FALSE),)</f>
        <v>0</v>
      </c>
      <c r="I285" s="21">
        <f>IFERROR(VLOOKUP(G285,ซื้อสินค้า!H:J,3,FALSE),)</f>
        <v>0</v>
      </c>
      <c r="J285" s="21">
        <f t="shared" si="11"/>
        <v>0</v>
      </c>
      <c r="K285" s="21">
        <f t="shared" si="12"/>
        <v>0</v>
      </c>
      <c r="L285" s="12">
        <f t="shared" si="13"/>
        <v>0</v>
      </c>
      <c r="M285" s="21">
        <f t="shared" si="14"/>
        <v>0</v>
      </c>
      <c r="N285" s="9" t="str">
        <f ca="1">IFERROR(__xludf.DUMMYFUNCTION("IF(G285&lt;&gt;"""",G285, IFERROR(TRANSPOSE(FILTER('ซื้อสินค้า'!H:H,'ซื้อสินค้า'!B:B=B285,'ซื้อสินค้า'!I:I&gt;0)),))"),"")</f>
        <v/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>
      <c r="A286" s="5"/>
      <c r="B286" s="6"/>
      <c r="C286" s="20">
        <f>IFERROR(VLOOKUP(B286,ชื่อสินค้า!A:C,3,FALSE),)</f>
        <v>0</v>
      </c>
      <c r="D286" s="8" t="str">
        <f>IFERROR(VLOOKUP(B286,ชื่อสินค้า!A:D,4,FALSE),"")</f>
        <v/>
      </c>
      <c r="E286" s="9"/>
      <c r="F286" s="21" t="str">
        <f t="shared" si="10"/>
        <v/>
      </c>
      <c r="G286" s="22"/>
      <c r="H286" s="8">
        <f>IFERROR(VLOOKUP(G286,ซื้อสินค้า!H:I,2,FALSE),)</f>
        <v>0</v>
      </c>
      <c r="I286" s="21">
        <f>IFERROR(VLOOKUP(G286,ซื้อสินค้า!H:J,3,FALSE),)</f>
        <v>0</v>
      </c>
      <c r="J286" s="21">
        <f t="shared" si="11"/>
        <v>0</v>
      </c>
      <c r="K286" s="21">
        <f t="shared" si="12"/>
        <v>0</v>
      </c>
      <c r="L286" s="12">
        <f t="shared" si="13"/>
        <v>0</v>
      </c>
      <c r="M286" s="21">
        <f t="shared" si="14"/>
        <v>0</v>
      </c>
      <c r="N286" s="9" t="str">
        <f ca="1">IFERROR(__xludf.DUMMYFUNCTION("IF(G286&lt;&gt;"""",G286, IFERROR(TRANSPOSE(FILTER('ซื้อสินค้า'!H:H,'ซื้อสินค้า'!B:B=B286,'ซื้อสินค้า'!I:I&gt;0)),))"),"")</f>
        <v/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>
      <c r="A287" s="5"/>
      <c r="B287" s="6"/>
      <c r="C287" s="20">
        <f>IFERROR(VLOOKUP(B287,ชื่อสินค้า!A:C,3,FALSE),)</f>
        <v>0</v>
      </c>
      <c r="D287" s="8" t="str">
        <f>IFERROR(VLOOKUP(B287,ชื่อสินค้า!A:D,4,FALSE),"")</f>
        <v/>
      </c>
      <c r="E287" s="9"/>
      <c r="F287" s="21" t="str">
        <f t="shared" si="10"/>
        <v/>
      </c>
      <c r="G287" s="22"/>
      <c r="H287" s="8">
        <f>IFERROR(VLOOKUP(G287,ซื้อสินค้า!H:I,2,FALSE),)</f>
        <v>0</v>
      </c>
      <c r="I287" s="21">
        <f>IFERROR(VLOOKUP(G287,ซื้อสินค้า!H:J,3,FALSE),)</f>
        <v>0</v>
      </c>
      <c r="J287" s="21">
        <f t="shared" si="11"/>
        <v>0</v>
      </c>
      <c r="K287" s="21">
        <f t="shared" si="12"/>
        <v>0</v>
      </c>
      <c r="L287" s="12">
        <f t="shared" si="13"/>
        <v>0</v>
      </c>
      <c r="M287" s="21">
        <f t="shared" si="14"/>
        <v>0</v>
      </c>
      <c r="N287" s="9" t="str">
        <f ca="1">IFERROR(__xludf.DUMMYFUNCTION("IF(G287&lt;&gt;"""",G287, IFERROR(TRANSPOSE(FILTER('ซื้อสินค้า'!H:H,'ซื้อสินค้า'!B:B=B287,'ซื้อสินค้า'!I:I&gt;0)),))"),"")</f>
        <v/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>
      <c r="A288" s="5"/>
      <c r="B288" s="6"/>
      <c r="C288" s="20">
        <f>IFERROR(VLOOKUP(B288,ชื่อสินค้า!A:C,3,FALSE),)</f>
        <v>0</v>
      </c>
      <c r="D288" s="8" t="str">
        <f>IFERROR(VLOOKUP(B288,ชื่อสินค้า!A:D,4,FALSE),"")</f>
        <v/>
      </c>
      <c r="E288" s="9"/>
      <c r="F288" s="21" t="str">
        <f t="shared" si="10"/>
        <v/>
      </c>
      <c r="G288" s="22"/>
      <c r="H288" s="8">
        <f>IFERROR(VLOOKUP(G288,ซื้อสินค้า!H:I,2,FALSE),)</f>
        <v>0</v>
      </c>
      <c r="I288" s="21">
        <f>IFERROR(VLOOKUP(G288,ซื้อสินค้า!H:J,3,FALSE),)</f>
        <v>0</v>
      </c>
      <c r="J288" s="21">
        <f t="shared" si="11"/>
        <v>0</v>
      </c>
      <c r="K288" s="21">
        <f t="shared" si="12"/>
        <v>0</v>
      </c>
      <c r="L288" s="12">
        <f t="shared" si="13"/>
        <v>0</v>
      </c>
      <c r="M288" s="21">
        <f t="shared" si="14"/>
        <v>0</v>
      </c>
      <c r="N288" s="9" t="str">
        <f ca="1">IFERROR(__xludf.DUMMYFUNCTION("IF(G288&lt;&gt;"""",G288, IFERROR(TRANSPOSE(FILTER('ซื้อสินค้า'!H:H,'ซื้อสินค้า'!B:B=B288,'ซื้อสินค้า'!I:I&gt;0)),))"),"")</f>
        <v/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>
      <c r="A289" s="5"/>
      <c r="B289" s="6"/>
      <c r="C289" s="20">
        <f>IFERROR(VLOOKUP(B289,ชื่อสินค้า!A:C,3,FALSE),)</f>
        <v>0</v>
      </c>
      <c r="D289" s="8" t="str">
        <f>IFERROR(VLOOKUP(B289,ชื่อสินค้า!A:D,4,FALSE),"")</f>
        <v/>
      </c>
      <c r="E289" s="9"/>
      <c r="F289" s="21" t="str">
        <f t="shared" si="10"/>
        <v/>
      </c>
      <c r="G289" s="22"/>
      <c r="H289" s="8">
        <f>IFERROR(VLOOKUP(G289,ซื้อสินค้า!H:I,2,FALSE),)</f>
        <v>0</v>
      </c>
      <c r="I289" s="21">
        <f>IFERROR(VLOOKUP(G289,ซื้อสินค้า!H:J,3,FALSE),)</f>
        <v>0</v>
      </c>
      <c r="J289" s="21">
        <f t="shared" si="11"/>
        <v>0</v>
      </c>
      <c r="K289" s="21">
        <f t="shared" si="12"/>
        <v>0</v>
      </c>
      <c r="L289" s="12">
        <f t="shared" si="13"/>
        <v>0</v>
      </c>
      <c r="M289" s="21">
        <f t="shared" si="14"/>
        <v>0</v>
      </c>
      <c r="N289" s="9" t="str">
        <f ca="1">IFERROR(__xludf.DUMMYFUNCTION("IF(G289&lt;&gt;"""",G289, IFERROR(TRANSPOSE(FILTER('ซื้อสินค้า'!H:H,'ซื้อสินค้า'!B:B=B289,'ซื้อสินค้า'!I:I&gt;0)),))"),"")</f>
        <v/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>
      <c r="A290" s="5"/>
      <c r="B290" s="6"/>
      <c r="C290" s="20">
        <f>IFERROR(VLOOKUP(B290,ชื่อสินค้า!A:C,3,FALSE),)</f>
        <v>0</v>
      </c>
      <c r="D290" s="8" t="str">
        <f>IFERROR(VLOOKUP(B290,ชื่อสินค้า!A:D,4,FALSE),"")</f>
        <v/>
      </c>
      <c r="E290" s="9"/>
      <c r="F290" s="21" t="str">
        <f t="shared" si="10"/>
        <v/>
      </c>
      <c r="G290" s="22"/>
      <c r="H290" s="8">
        <f>IFERROR(VLOOKUP(G290,ซื้อสินค้า!H:I,2,FALSE),)</f>
        <v>0</v>
      </c>
      <c r="I290" s="21">
        <f>IFERROR(VLOOKUP(G290,ซื้อสินค้า!H:J,3,FALSE),)</f>
        <v>0</v>
      </c>
      <c r="J290" s="21">
        <f t="shared" si="11"/>
        <v>0</v>
      </c>
      <c r="K290" s="21">
        <f t="shared" si="12"/>
        <v>0</v>
      </c>
      <c r="L290" s="12">
        <f t="shared" si="13"/>
        <v>0</v>
      </c>
      <c r="M290" s="21">
        <f t="shared" si="14"/>
        <v>0</v>
      </c>
      <c r="N290" s="9" t="str">
        <f ca="1">IFERROR(__xludf.DUMMYFUNCTION("IF(G290&lt;&gt;"""",G290, IFERROR(TRANSPOSE(FILTER('ซื้อสินค้า'!H:H,'ซื้อสินค้า'!B:B=B290,'ซื้อสินค้า'!I:I&gt;0)),))"),"")</f>
        <v/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>
      <c r="A291" s="5"/>
      <c r="B291" s="6"/>
      <c r="C291" s="20">
        <f>IFERROR(VLOOKUP(B291,ชื่อสินค้า!A:C,3,FALSE),)</f>
        <v>0</v>
      </c>
      <c r="D291" s="8" t="str">
        <f>IFERROR(VLOOKUP(B291,ชื่อสินค้า!A:D,4,FALSE),"")</f>
        <v/>
      </c>
      <c r="E291" s="9"/>
      <c r="F291" s="21" t="str">
        <f t="shared" si="10"/>
        <v/>
      </c>
      <c r="G291" s="22"/>
      <c r="H291" s="8">
        <f>IFERROR(VLOOKUP(G291,ซื้อสินค้า!H:I,2,FALSE),)</f>
        <v>0</v>
      </c>
      <c r="I291" s="21">
        <f>IFERROR(VLOOKUP(G291,ซื้อสินค้า!H:J,3,FALSE),)</f>
        <v>0</v>
      </c>
      <c r="J291" s="21">
        <f t="shared" si="11"/>
        <v>0</v>
      </c>
      <c r="K291" s="21">
        <f t="shared" si="12"/>
        <v>0</v>
      </c>
      <c r="L291" s="12">
        <f t="shared" si="13"/>
        <v>0</v>
      </c>
      <c r="M291" s="21">
        <f t="shared" si="14"/>
        <v>0</v>
      </c>
      <c r="N291" s="9" t="str">
        <f ca="1">IFERROR(__xludf.DUMMYFUNCTION("IF(G291&lt;&gt;"""",G291, IFERROR(TRANSPOSE(FILTER('ซื้อสินค้า'!H:H,'ซื้อสินค้า'!B:B=B291,'ซื้อสินค้า'!I:I&gt;0)),))"),"")</f>
        <v/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>
      <c r="A292" s="5"/>
      <c r="B292" s="6"/>
      <c r="C292" s="20">
        <f>IFERROR(VLOOKUP(B292,ชื่อสินค้า!A:C,3,FALSE),)</f>
        <v>0</v>
      </c>
      <c r="D292" s="8" t="str">
        <f>IFERROR(VLOOKUP(B292,ชื่อสินค้า!A:D,4,FALSE),"")</f>
        <v/>
      </c>
      <c r="E292" s="9"/>
      <c r="F292" s="21" t="str">
        <f t="shared" si="10"/>
        <v/>
      </c>
      <c r="G292" s="22"/>
      <c r="H292" s="8">
        <f>IFERROR(VLOOKUP(G292,ซื้อสินค้า!H:I,2,FALSE),)</f>
        <v>0</v>
      </c>
      <c r="I292" s="21">
        <f>IFERROR(VLOOKUP(G292,ซื้อสินค้า!H:J,3,FALSE),)</f>
        <v>0</v>
      </c>
      <c r="J292" s="21">
        <f t="shared" si="11"/>
        <v>0</v>
      </c>
      <c r="K292" s="21">
        <f t="shared" si="12"/>
        <v>0</v>
      </c>
      <c r="L292" s="12">
        <f t="shared" si="13"/>
        <v>0</v>
      </c>
      <c r="M292" s="21">
        <f t="shared" si="14"/>
        <v>0</v>
      </c>
      <c r="N292" s="9" t="str">
        <f ca="1">IFERROR(__xludf.DUMMYFUNCTION("IF(G292&lt;&gt;"""",G292, IFERROR(TRANSPOSE(FILTER('ซื้อสินค้า'!H:H,'ซื้อสินค้า'!B:B=B292,'ซื้อสินค้า'!I:I&gt;0)),))"),"")</f>
        <v/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>
      <c r="A293" s="5"/>
      <c r="B293" s="6"/>
      <c r="C293" s="20">
        <f>IFERROR(VLOOKUP(B293,ชื่อสินค้า!A:C,3,FALSE),)</f>
        <v>0</v>
      </c>
      <c r="D293" s="8" t="str">
        <f>IFERROR(VLOOKUP(B293,ชื่อสินค้า!A:D,4,FALSE),"")</f>
        <v/>
      </c>
      <c r="E293" s="9"/>
      <c r="F293" s="21" t="str">
        <f t="shared" si="10"/>
        <v/>
      </c>
      <c r="G293" s="22"/>
      <c r="H293" s="8">
        <f>IFERROR(VLOOKUP(G293,ซื้อสินค้า!H:I,2,FALSE),)</f>
        <v>0</v>
      </c>
      <c r="I293" s="21">
        <f>IFERROR(VLOOKUP(G293,ซื้อสินค้า!H:J,3,FALSE),)</f>
        <v>0</v>
      </c>
      <c r="J293" s="21">
        <f t="shared" si="11"/>
        <v>0</v>
      </c>
      <c r="K293" s="21">
        <f t="shared" si="12"/>
        <v>0</v>
      </c>
      <c r="L293" s="12">
        <f t="shared" si="13"/>
        <v>0</v>
      </c>
      <c r="M293" s="21">
        <f t="shared" si="14"/>
        <v>0</v>
      </c>
      <c r="N293" s="9" t="str">
        <f ca="1">IFERROR(__xludf.DUMMYFUNCTION("IF(G293&lt;&gt;"""",G293, IFERROR(TRANSPOSE(FILTER('ซื้อสินค้า'!H:H,'ซื้อสินค้า'!B:B=B293,'ซื้อสินค้า'!I:I&gt;0)),))"),"")</f>
        <v/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>
      <c r="A294" s="5"/>
      <c r="B294" s="6"/>
      <c r="C294" s="20">
        <f>IFERROR(VLOOKUP(B294,ชื่อสินค้า!A:C,3,FALSE),)</f>
        <v>0</v>
      </c>
      <c r="D294" s="8" t="str">
        <f>IFERROR(VLOOKUP(B294,ชื่อสินค้า!A:D,4,FALSE),"")</f>
        <v/>
      </c>
      <c r="E294" s="9"/>
      <c r="F294" s="21" t="str">
        <f t="shared" si="10"/>
        <v/>
      </c>
      <c r="G294" s="22"/>
      <c r="H294" s="8">
        <f>IFERROR(VLOOKUP(G294,ซื้อสินค้า!H:I,2,FALSE),)</f>
        <v>0</v>
      </c>
      <c r="I294" s="21">
        <f>IFERROR(VLOOKUP(G294,ซื้อสินค้า!H:J,3,FALSE),)</f>
        <v>0</v>
      </c>
      <c r="J294" s="21">
        <f t="shared" si="11"/>
        <v>0</v>
      </c>
      <c r="K294" s="21">
        <f t="shared" si="12"/>
        <v>0</v>
      </c>
      <c r="L294" s="12">
        <f t="shared" si="13"/>
        <v>0</v>
      </c>
      <c r="M294" s="21">
        <f t="shared" si="14"/>
        <v>0</v>
      </c>
      <c r="N294" s="9" t="str">
        <f ca="1">IFERROR(__xludf.DUMMYFUNCTION("IF(G294&lt;&gt;"""",G294, IFERROR(TRANSPOSE(FILTER('ซื้อสินค้า'!H:H,'ซื้อสินค้า'!B:B=B294,'ซื้อสินค้า'!I:I&gt;0)),))"),"")</f>
        <v/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>
      <c r="A295" s="5"/>
      <c r="B295" s="6"/>
      <c r="C295" s="20">
        <f>IFERROR(VLOOKUP(B295,ชื่อสินค้า!A:C,3,FALSE),)</f>
        <v>0</v>
      </c>
      <c r="D295" s="8" t="str">
        <f>IFERROR(VLOOKUP(B295,ชื่อสินค้า!A:D,4,FALSE),"")</f>
        <v/>
      </c>
      <c r="E295" s="9"/>
      <c r="F295" s="21" t="str">
        <f t="shared" si="10"/>
        <v/>
      </c>
      <c r="G295" s="22"/>
      <c r="H295" s="8">
        <f>IFERROR(VLOOKUP(G295,ซื้อสินค้า!H:I,2,FALSE),)</f>
        <v>0</v>
      </c>
      <c r="I295" s="21">
        <f>IFERROR(VLOOKUP(G295,ซื้อสินค้า!H:J,3,FALSE),)</f>
        <v>0</v>
      </c>
      <c r="J295" s="21">
        <f t="shared" si="11"/>
        <v>0</v>
      </c>
      <c r="K295" s="21">
        <f t="shared" si="12"/>
        <v>0</v>
      </c>
      <c r="L295" s="12">
        <f t="shared" si="13"/>
        <v>0</v>
      </c>
      <c r="M295" s="21">
        <f t="shared" si="14"/>
        <v>0</v>
      </c>
      <c r="N295" s="9" t="str">
        <f ca="1">IFERROR(__xludf.DUMMYFUNCTION("IF(G295&lt;&gt;"""",G295, IFERROR(TRANSPOSE(FILTER('ซื้อสินค้า'!H:H,'ซื้อสินค้า'!B:B=B295,'ซื้อสินค้า'!I:I&gt;0)),))"),"")</f>
        <v/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>
      <c r="A296" s="5"/>
      <c r="B296" s="6"/>
      <c r="C296" s="20">
        <f>IFERROR(VLOOKUP(B296,ชื่อสินค้า!A:C,3,FALSE),)</f>
        <v>0</v>
      </c>
      <c r="D296" s="8" t="str">
        <f>IFERROR(VLOOKUP(B296,ชื่อสินค้า!A:D,4,FALSE),"")</f>
        <v/>
      </c>
      <c r="E296" s="9"/>
      <c r="F296" s="21" t="str">
        <f t="shared" si="10"/>
        <v/>
      </c>
      <c r="G296" s="22"/>
      <c r="H296" s="8">
        <f>IFERROR(VLOOKUP(G296,ซื้อสินค้า!H:I,2,FALSE),)</f>
        <v>0</v>
      </c>
      <c r="I296" s="21">
        <f>IFERROR(VLOOKUP(G296,ซื้อสินค้า!H:J,3,FALSE),)</f>
        <v>0</v>
      </c>
      <c r="J296" s="21">
        <f t="shared" si="11"/>
        <v>0</v>
      </c>
      <c r="K296" s="21">
        <f t="shared" si="12"/>
        <v>0</v>
      </c>
      <c r="L296" s="12">
        <f t="shared" si="13"/>
        <v>0</v>
      </c>
      <c r="M296" s="21">
        <f t="shared" si="14"/>
        <v>0</v>
      </c>
      <c r="N296" s="9" t="str">
        <f ca="1">IFERROR(__xludf.DUMMYFUNCTION("IF(G296&lt;&gt;"""",G296, IFERROR(TRANSPOSE(FILTER('ซื้อสินค้า'!H:H,'ซื้อสินค้า'!B:B=B296,'ซื้อสินค้า'!I:I&gt;0)),))"),"")</f>
        <v/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>
      <c r="A297" s="5"/>
      <c r="B297" s="6"/>
      <c r="C297" s="20">
        <f>IFERROR(VLOOKUP(B297,ชื่อสินค้า!A:C,3,FALSE),)</f>
        <v>0</v>
      </c>
      <c r="D297" s="8" t="str">
        <f>IFERROR(VLOOKUP(B297,ชื่อสินค้า!A:D,4,FALSE),"")</f>
        <v/>
      </c>
      <c r="E297" s="9"/>
      <c r="F297" s="21" t="str">
        <f t="shared" si="10"/>
        <v/>
      </c>
      <c r="G297" s="22"/>
      <c r="H297" s="8">
        <f>IFERROR(VLOOKUP(G297,ซื้อสินค้า!H:I,2,FALSE),)</f>
        <v>0</v>
      </c>
      <c r="I297" s="21">
        <f>IFERROR(VLOOKUP(G297,ซื้อสินค้า!H:J,3,FALSE),)</f>
        <v>0</v>
      </c>
      <c r="J297" s="21">
        <f t="shared" si="11"/>
        <v>0</v>
      </c>
      <c r="K297" s="21">
        <f t="shared" si="12"/>
        <v>0</v>
      </c>
      <c r="L297" s="12">
        <f t="shared" si="13"/>
        <v>0</v>
      </c>
      <c r="M297" s="21">
        <f t="shared" si="14"/>
        <v>0</v>
      </c>
      <c r="N297" s="9" t="str">
        <f ca="1">IFERROR(__xludf.DUMMYFUNCTION("IF(G297&lt;&gt;"""",G297, IFERROR(TRANSPOSE(FILTER('ซื้อสินค้า'!H:H,'ซื้อสินค้า'!B:B=B297,'ซื้อสินค้า'!I:I&gt;0)),))"),"")</f>
        <v/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>
      <c r="A298" s="5"/>
      <c r="B298" s="6"/>
      <c r="C298" s="20">
        <f>IFERROR(VLOOKUP(B298,ชื่อสินค้า!A:C,3,FALSE),)</f>
        <v>0</v>
      </c>
      <c r="D298" s="8" t="str">
        <f>IFERROR(VLOOKUP(B298,ชื่อสินค้า!A:D,4,FALSE),"")</f>
        <v/>
      </c>
      <c r="E298" s="9"/>
      <c r="F298" s="21" t="str">
        <f t="shared" si="10"/>
        <v/>
      </c>
      <c r="G298" s="22"/>
      <c r="H298" s="8">
        <f>IFERROR(VLOOKUP(G298,ซื้อสินค้า!H:I,2,FALSE),)</f>
        <v>0</v>
      </c>
      <c r="I298" s="21">
        <f>IFERROR(VLOOKUP(G298,ซื้อสินค้า!H:J,3,FALSE),)</f>
        <v>0</v>
      </c>
      <c r="J298" s="21">
        <f t="shared" si="11"/>
        <v>0</v>
      </c>
      <c r="K298" s="21">
        <f t="shared" si="12"/>
        <v>0</v>
      </c>
      <c r="L298" s="12">
        <f t="shared" si="13"/>
        <v>0</v>
      </c>
      <c r="M298" s="21">
        <f t="shared" si="14"/>
        <v>0</v>
      </c>
      <c r="N298" s="9" t="str">
        <f ca="1">IFERROR(__xludf.DUMMYFUNCTION("IF(G298&lt;&gt;"""",G298, IFERROR(TRANSPOSE(FILTER('ซื้อสินค้า'!H:H,'ซื้อสินค้า'!B:B=B298,'ซื้อสินค้า'!I:I&gt;0)),))"),"")</f>
        <v/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>
      <c r="A299" s="5"/>
      <c r="B299" s="6"/>
      <c r="C299" s="20">
        <f>IFERROR(VLOOKUP(B299,ชื่อสินค้า!A:C,3,FALSE),)</f>
        <v>0</v>
      </c>
      <c r="D299" s="8" t="str">
        <f>IFERROR(VLOOKUP(B299,ชื่อสินค้า!A:D,4,FALSE),"")</f>
        <v/>
      </c>
      <c r="E299" s="9"/>
      <c r="F299" s="21" t="str">
        <f t="shared" si="10"/>
        <v/>
      </c>
      <c r="G299" s="22"/>
      <c r="H299" s="8">
        <f>IFERROR(VLOOKUP(G299,ซื้อสินค้า!H:I,2,FALSE),)</f>
        <v>0</v>
      </c>
      <c r="I299" s="21">
        <f>IFERROR(VLOOKUP(G299,ซื้อสินค้า!H:J,3,FALSE),)</f>
        <v>0</v>
      </c>
      <c r="J299" s="21">
        <f t="shared" si="11"/>
        <v>0</v>
      </c>
      <c r="K299" s="21">
        <f t="shared" si="12"/>
        <v>0</v>
      </c>
      <c r="L299" s="12">
        <f t="shared" si="13"/>
        <v>0</v>
      </c>
      <c r="M299" s="21">
        <f t="shared" si="14"/>
        <v>0</v>
      </c>
      <c r="N299" s="9" t="str">
        <f ca="1">IFERROR(__xludf.DUMMYFUNCTION("IF(G299&lt;&gt;"""",G299, IFERROR(TRANSPOSE(FILTER('ซื้อสินค้า'!H:H,'ซื้อสินค้า'!B:B=B299,'ซื้อสินค้า'!I:I&gt;0)),))"),"")</f>
        <v/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>
      <c r="A300" s="5"/>
      <c r="B300" s="6"/>
      <c r="C300" s="20">
        <f>IFERROR(VLOOKUP(B300,ชื่อสินค้า!A:C,3,FALSE),)</f>
        <v>0</v>
      </c>
      <c r="D300" s="8" t="str">
        <f>IFERROR(VLOOKUP(B300,ชื่อสินค้า!A:D,4,FALSE),"")</f>
        <v/>
      </c>
      <c r="E300" s="9"/>
      <c r="F300" s="21" t="str">
        <f t="shared" si="10"/>
        <v/>
      </c>
      <c r="G300" s="22"/>
      <c r="H300" s="8">
        <f>IFERROR(VLOOKUP(G300,ซื้อสินค้า!H:I,2,FALSE),)</f>
        <v>0</v>
      </c>
      <c r="I300" s="21">
        <f>IFERROR(VLOOKUP(G300,ซื้อสินค้า!H:J,3,FALSE),)</f>
        <v>0</v>
      </c>
      <c r="J300" s="21">
        <f t="shared" si="11"/>
        <v>0</v>
      </c>
      <c r="K300" s="21">
        <f t="shared" si="12"/>
        <v>0</v>
      </c>
      <c r="L300" s="12">
        <f t="shared" si="13"/>
        <v>0</v>
      </c>
      <c r="M300" s="21">
        <f t="shared" si="14"/>
        <v>0</v>
      </c>
      <c r="N300" s="9" t="str">
        <f ca="1">IFERROR(__xludf.DUMMYFUNCTION("IF(G300&lt;&gt;"""",G300, IFERROR(TRANSPOSE(FILTER('ซื้อสินค้า'!H:H,'ซื้อสินค้า'!B:B=B300,'ซื้อสินค้า'!I:I&gt;0)),))"),"")</f>
        <v/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>
      <c r="A301" s="5"/>
      <c r="B301" s="6"/>
      <c r="C301" s="20">
        <f>IFERROR(VLOOKUP(B301,ชื่อสินค้า!A:C,3,FALSE),)</f>
        <v>0</v>
      </c>
      <c r="D301" s="8" t="str">
        <f>IFERROR(VLOOKUP(B301,ชื่อสินค้า!A:D,4,FALSE),"")</f>
        <v/>
      </c>
      <c r="E301" s="9"/>
      <c r="F301" s="21" t="str">
        <f t="shared" si="10"/>
        <v/>
      </c>
      <c r="G301" s="22"/>
      <c r="H301" s="8">
        <f>IFERROR(VLOOKUP(G301,ซื้อสินค้า!H:I,2,FALSE),)</f>
        <v>0</v>
      </c>
      <c r="I301" s="21">
        <f>IFERROR(VLOOKUP(G301,ซื้อสินค้า!H:J,3,FALSE),)</f>
        <v>0</v>
      </c>
      <c r="J301" s="21">
        <f t="shared" si="11"/>
        <v>0</v>
      </c>
      <c r="K301" s="21">
        <f t="shared" si="12"/>
        <v>0</v>
      </c>
      <c r="L301" s="12">
        <f t="shared" si="13"/>
        <v>0</v>
      </c>
      <c r="M301" s="21">
        <f t="shared" si="14"/>
        <v>0</v>
      </c>
      <c r="N301" s="9" t="str">
        <f ca="1">IFERROR(__xludf.DUMMYFUNCTION("IF(G301&lt;&gt;"""",G301, IFERROR(TRANSPOSE(FILTER('ซื้อสินค้า'!H:H,'ซื้อสินค้า'!B:B=B301,'ซื้อสินค้า'!I:I&gt;0)),))"),"")</f>
        <v/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>
      <c r="A302" s="5"/>
      <c r="B302" s="6"/>
      <c r="C302" s="20">
        <f>IFERROR(VLOOKUP(B302,ชื่อสินค้า!A:C,3,FALSE),)</f>
        <v>0</v>
      </c>
      <c r="D302" s="8" t="str">
        <f>IFERROR(VLOOKUP(B302,ชื่อสินค้า!A:D,4,FALSE),"")</f>
        <v/>
      </c>
      <c r="E302" s="9"/>
      <c r="F302" s="21" t="str">
        <f t="shared" si="10"/>
        <v/>
      </c>
      <c r="G302" s="22"/>
      <c r="H302" s="8">
        <f>IFERROR(VLOOKUP(G302,ซื้อสินค้า!H:I,2,FALSE),)</f>
        <v>0</v>
      </c>
      <c r="I302" s="21">
        <f>IFERROR(VLOOKUP(G302,ซื้อสินค้า!H:J,3,FALSE),)</f>
        <v>0</v>
      </c>
      <c r="J302" s="21">
        <f t="shared" si="11"/>
        <v>0</v>
      </c>
      <c r="K302" s="21">
        <f t="shared" si="12"/>
        <v>0</v>
      </c>
      <c r="L302" s="12">
        <f t="shared" si="13"/>
        <v>0</v>
      </c>
      <c r="M302" s="21">
        <f t="shared" si="14"/>
        <v>0</v>
      </c>
      <c r="N302" s="9" t="str">
        <f ca="1">IFERROR(__xludf.DUMMYFUNCTION("IF(G302&lt;&gt;"""",G302, IFERROR(TRANSPOSE(FILTER('ซื้อสินค้า'!H:H,'ซื้อสินค้า'!B:B=B302,'ซื้อสินค้า'!I:I&gt;0)),))"),"")</f>
        <v/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>
      <c r="A303" s="5"/>
      <c r="B303" s="6"/>
      <c r="C303" s="20">
        <f>IFERROR(VLOOKUP(B303,ชื่อสินค้า!A:C,3,FALSE),)</f>
        <v>0</v>
      </c>
      <c r="D303" s="8" t="str">
        <f>IFERROR(VLOOKUP(B303,ชื่อสินค้า!A:D,4,FALSE),"")</f>
        <v/>
      </c>
      <c r="E303" s="9"/>
      <c r="F303" s="21" t="str">
        <f t="shared" si="10"/>
        <v/>
      </c>
      <c r="G303" s="22"/>
      <c r="H303" s="8">
        <f>IFERROR(VLOOKUP(G303,ซื้อสินค้า!H:I,2,FALSE),)</f>
        <v>0</v>
      </c>
      <c r="I303" s="21">
        <f>IFERROR(VLOOKUP(G303,ซื้อสินค้า!H:J,3,FALSE),)</f>
        <v>0</v>
      </c>
      <c r="J303" s="21">
        <f t="shared" si="11"/>
        <v>0</v>
      </c>
      <c r="K303" s="21">
        <f t="shared" si="12"/>
        <v>0</v>
      </c>
      <c r="L303" s="12">
        <f t="shared" si="13"/>
        <v>0</v>
      </c>
      <c r="M303" s="21">
        <f t="shared" si="14"/>
        <v>0</v>
      </c>
      <c r="N303" s="9" t="str">
        <f ca="1">IFERROR(__xludf.DUMMYFUNCTION("IF(G303&lt;&gt;"""",G303, IFERROR(TRANSPOSE(FILTER('ซื้อสินค้า'!H:H,'ซื้อสินค้า'!B:B=B303,'ซื้อสินค้า'!I:I&gt;0)),))"),"")</f>
        <v/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>
      <c r="A304" s="5"/>
      <c r="B304" s="6"/>
      <c r="C304" s="20">
        <f>IFERROR(VLOOKUP(B304,ชื่อสินค้า!A:C,3,FALSE),)</f>
        <v>0</v>
      </c>
      <c r="D304" s="8" t="str">
        <f>IFERROR(VLOOKUP(B304,ชื่อสินค้า!A:D,4,FALSE),"")</f>
        <v/>
      </c>
      <c r="E304" s="9"/>
      <c r="F304" s="21" t="str">
        <f t="shared" si="10"/>
        <v/>
      </c>
      <c r="G304" s="22"/>
      <c r="H304" s="8">
        <f>IFERROR(VLOOKUP(G304,ซื้อสินค้า!H:I,2,FALSE),)</f>
        <v>0</v>
      </c>
      <c r="I304" s="21">
        <f>IFERROR(VLOOKUP(G304,ซื้อสินค้า!H:J,3,FALSE),)</f>
        <v>0</v>
      </c>
      <c r="J304" s="21">
        <f t="shared" si="11"/>
        <v>0</v>
      </c>
      <c r="K304" s="21">
        <f t="shared" si="12"/>
        <v>0</v>
      </c>
      <c r="L304" s="12">
        <f t="shared" si="13"/>
        <v>0</v>
      </c>
      <c r="M304" s="21">
        <f t="shared" si="14"/>
        <v>0</v>
      </c>
      <c r="N304" s="9" t="str">
        <f ca="1">IFERROR(__xludf.DUMMYFUNCTION("IF(G304&lt;&gt;"""",G304, IFERROR(TRANSPOSE(FILTER('ซื้อสินค้า'!H:H,'ซื้อสินค้า'!B:B=B304,'ซื้อสินค้า'!I:I&gt;0)),))"),"")</f>
        <v/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>
      <c r="A305" s="5"/>
      <c r="B305" s="6"/>
      <c r="C305" s="20">
        <f>IFERROR(VLOOKUP(B305,ชื่อสินค้า!A:C,3,FALSE),)</f>
        <v>0</v>
      </c>
      <c r="D305" s="8" t="str">
        <f>IFERROR(VLOOKUP(B305,ชื่อสินค้า!A:D,4,FALSE),"")</f>
        <v/>
      </c>
      <c r="E305" s="9"/>
      <c r="F305" s="21" t="str">
        <f t="shared" si="10"/>
        <v/>
      </c>
      <c r="G305" s="22"/>
      <c r="H305" s="8">
        <f>IFERROR(VLOOKUP(G305,ซื้อสินค้า!H:I,2,FALSE),)</f>
        <v>0</v>
      </c>
      <c r="I305" s="21">
        <f>IFERROR(VLOOKUP(G305,ซื้อสินค้า!H:J,3,FALSE),)</f>
        <v>0</v>
      </c>
      <c r="J305" s="21">
        <f t="shared" si="11"/>
        <v>0</v>
      </c>
      <c r="K305" s="21">
        <f t="shared" si="12"/>
        <v>0</v>
      </c>
      <c r="L305" s="12">
        <f t="shared" si="13"/>
        <v>0</v>
      </c>
      <c r="M305" s="21">
        <f t="shared" si="14"/>
        <v>0</v>
      </c>
      <c r="N305" s="9" t="str">
        <f ca="1">IFERROR(__xludf.DUMMYFUNCTION("IF(G305&lt;&gt;"""",G305, IFERROR(TRANSPOSE(FILTER('ซื้อสินค้า'!H:H,'ซื้อสินค้า'!B:B=B305,'ซื้อสินค้า'!I:I&gt;0)),))"),"")</f>
        <v/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>
      <c r="A306" s="5"/>
      <c r="B306" s="6"/>
      <c r="C306" s="20">
        <f>IFERROR(VLOOKUP(B306,ชื่อสินค้า!A:C,3,FALSE),)</f>
        <v>0</v>
      </c>
      <c r="D306" s="8" t="str">
        <f>IFERROR(VLOOKUP(B306,ชื่อสินค้า!A:D,4,FALSE),"")</f>
        <v/>
      </c>
      <c r="E306" s="9"/>
      <c r="F306" s="21" t="str">
        <f t="shared" si="10"/>
        <v/>
      </c>
      <c r="G306" s="22"/>
      <c r="H306" s="8">
        <f>IFERROR(VLOOKUP(G306,ซื้อสินค้า!H:I,2,FALSE),)</f>
        <v>0</v>
      </c>
      <c r="I306" s="21">
        <f>IFERROR(VLOOKUP(G306,ซื้อสินค้า!H:J,3,FALSE),)</f>
        <v>0</v>
      </c>
      <c r="J306" s="21">
        <f t="shared" si="11"/>
        <v>0</v>
      </c>
      <c r="K306" s="21">
        <f t="shared" si="12"/>
        <v>0</v>
      </c>
      <c r="L306" s="12">
        <f t="shared" si="13"/>
        <v>0</v>
      </c>
      <c r="M306" s="21">
        <f t="shared" si="14"/>
        <v>0</v>
      </c>
      <c r="N306" s="9" t="str">
        <f ca="1">IFERROR(__xludf.DUMMYFUNCTION("IF(G306&lt;&gt;"""",G306, IFERROR(TRANSPOSE(FILTER('ซื้อสินค้า'!H:H,'ซื้อสินค้า'!B:B=B306,'ซื้อสินค้า'!I:I&gt;0)),))"),"")</f>
        <v/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>
      <c r="A307" s="5"/>
      <c r="B307" s="6"/>
      <c r="C307" s="20">
        <f>IFERROR(VLOOKUP(B307,ชื่อสินค้า!A:C,3,FALSE),)</f>
        <v>0</v>
      </c>
      <c r="D307" s="8" t="str">
        <f>IFERROR(VLOOKUP(B307,ชื่อสินค้า!A:D,4,FALSE),"")</f>
        <v/>
      </c>
      <c r="E307" s="9"/>
      <c r="F307" s="21" t="str">
        <f t="shared" si="10"/>
        <v/>
      </c>
      <c r="G307" s="22"/>
      <c r="H307" s="8">
        <f>IFERROR(VLOOKUP(G307,ซื้อสินค้า!H:I,2,FALSE),)</f>
        <v>0</v>
      </c>
      <c r="I307" s="21">
        <f>IFERROR(VLOOKUP(G307,ซื้อสินค้า!H:J,3,FALSE),)</f>
        <v>0</v>
      </c>
      <c r="J307" s="21">
        <f t="shared" si="11"/>
        <v>0</v>
      </c>
      <c r="K307" s="21">
        <f t="shared" si="12"/>
        <v>0</v>
      </c>
      <c r="L307" s="12">
        <f t="shared" si="13"/>
        <v>0</v>
      </c>
      <c r="M307" s="21">
        <f t="shared" si="14"/>
        <v>0</v>
      </c>
      <c r="N307" s="9" t="str">
        <f ca="1">IFERROR(__xludf.DUMMYFUNCTION("IF(G307&lt;&gt;"""",G307, IFERROR(TRANSPOSE(FILTER('ซื้อสินค้า'!H:H,'ซื้อสินค้า'!B:B=B307,'ซื้อสินค้า'!I:I&gt;0)),))"),"")</f>
        <v/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>
      <c r="A308" s="5"/>
      <c r="B308" s="6"/>
      <c r="C308" s="20">
        <f>IFERROR(VLOOKUP(B308,ชื่อสินค้า!A:C,3,FALSE),)</f>
        <v>0</v>
      </c>
      <c r="D308" s="8" t="str">
        <f>IFERROR(VLOOKUP(B308,ชื่อสินค้า!A:D,4,FALSE),"")</f>
        <v/>
      </c>
      <c r="E308" s="9"/>
      <c r="F308" s="21" t="str">
        <f t="shared" si="10"/>
        <v/>
      </c>
      <c r="G308" s="22"/>
      <c r="H308" s="8">
        <f>IFERROR(VLOOKUP(G308,ซื้อสินค้า!H:I,2,FALSE),)</f>
        <v>0</v>
      </c>
      <c r="I308" s="21">
        <f>IFERROR(VLOOKUP(G308,ซื้อสินค้า!H:J,3,FALSE),)</f>
        <v>0</v>
      </c>
      <c r="J308" s="21">
        <f t="shared" si="11"/>
        <v>0</v>
      </c>
      <c r="K308" s="21">
        <f t="shared" si="12"/>
        <v>0</v>
      </c>
      <c r="L308" s="12">
        <f t="shared" si="13"/>
        <v>0</v>
      </c>
      <c r="M308" s="21">
        <f t="shared" si="14"/>
        <v>0</v>
      </c>
      <c r="N308" s="9" t="str">
        <f ca="1">IFERROR(__xludf.DUMMYFUNCTION("IF(G308&lt;&gt;"""",G308, IFERROR(TRANSPOSE(FILTER('ซื้อสินค้า'!H:H,'ซื้อสินค้า'!B:B=B308,'ซื้อสินค้า'!I:I&gt;0)),))"),"")</f>
        <v/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>
      <c r="A309" s="5"/>
      <c r="B309" s="6"/>
      <c r="C309" s="20">
        <f>IFERROR(VLOOKUP(B309,ชื่อสินค้า!A:C,3,FALSE),)</f>
        <v>0</v>
      </c>
      <c r="D309" s="8" t="str">
        <f>IFERROR(VLOOKUP(B309,ชื่อสินค้า!A:D,4,FALSE),"")</f>
        <v/>
      </c>
      <c r="E309" s="9"/>
      <c r="F309" s="21" t="str">
        <f t="shared" si="10"/>
        <v/>
      </c>
      <c r="G309" s="22"/>
      <c r="H309" s="8">
        <f>IFERROR(VLOOKUP(G309,ซื้อสินค้า!H:I,2,FALSE),)</f>
        <v>0</v>
      </c>
      <c r="I309" s="21">
        <f>IFERROR(VLOOKUP(G309,ซื้อสินค้า!H:J,3,FALSE),)</f>
        <v>0</v>
      </c>
      <c r="J309" s="21">
        <f t="shared" si="11"/>
        <v>0</v>
      </c>
      <c r="K309" s="21">
        <f t="shared" si="12"/>
        <v>0</v>
      </c>
      <c r="L309" s="12">
        <f t="shared" si="13"/>
        <v>0</v>
      </c>
      <c r="M309" s="21">
        <f t="shared" si="14"/>
        <v>0</v>
      </c>
      <c r="N309" s="9" t="str">
        <f ca="1">IFERROR(__xludf.DUMMYFUNCTION("IF(G309&lt;&gt;"""",G309, IFERROR(TRANSPOSE(FILTER('ซื้อสินค้า'!H:H,'ซื้อสินค้า'!B:B=B309,'ซื้อสินค้า'!I:I&gt;0)),))"),"")</f>
        <v/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spans="1:32">
      <c r="A310" s="5"/>
      <c r="B310" s="6"/>
      <c r="C310" s="20">
        <f>IFERROR(VLOOKUP(B310,ชื่อสินค้า!A:C,3,FALSE),)</f>
        <v>0</v>
      </c>
      <c r="D310" s="8" t="str">
        <f>IFERROR(VLOOKUP(B310,ชื่อสินค้า!A:D,4,FALSE),"")</f>
        <v/>
      </c>
      <c r="E310" s="9"/>
      <c r="F310" s="21" t="str">
        <f t="shared" si="10"/>
        <v/>
      </c>
      <c r="G310" s="22"/>
      <c r="H310" s="8">
        <f>IFERROR(VLOOKUP(G310,ซื้อสินค้า!H:I,2,FALSE),)</f>
        <v>0</v>
      </c>
      <c r="I310" s="21">
        <f>IFERROR(VLOOKUP(G310,ซื้อสินค้า!H:J,3,FALSE),)</f>
        <v>0</v>
      </c>
      <c r="J310" s="21">
        <f t="shared" si="11"/>
        <v>0</v>
      </c>
      <c r="K310" s="21">
        <f t="shared" si="12"/>
        <v>0</v>
      </c>
      <c r="L310" s="12">
        <f t="shared" si="13"/>
        <v>0</v>
      </c>
      <c r="M310" s="21">
        <f t="shared" si="14"/>
        <v>0</v>
      </c>
      <c r="N310" s="9" t="str">
        <f ca="1">IFERROR(__xludf.DUMMYFUNCTION("IF(G310&lt;&gt;"""",G310, IFERROR(TRANSPOSE(FILTER('ซื้อสินค้า'!H:H,'ซื้อสินค้า'!B:B=B310,'ซื้อสินค้า'!I:I&gt;0)),))"),"")</f>
        <v/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spans="1:32">
      <c r="A311" s="5"/>
      <c r="B311" s="6"/>
      <c r="C311" s="20">
        <f>IFERROR(VLOOKUP(B311,ชื่อสินค้า!A:C,3,FALSE),)</f>
        <v>0</v>
      </c>
      <c r="D311" s="8" t="str">
        <f>IFERROR(VLOOKUP(B311,ชื่อสินค้า!A:D,4,FALSE),"")</f>
        <v/>
      </c>
      <c r="E311" s="9"/>
      <c r="F311" s="21" t="str">
        <f t="shared" si="10"/>
        <v/>
      </c>
      <c r="G311" s="22"/>
      <c r="H311" s="8">
        <f>IFERROR(VLOOKUP(G311,ซื้อสินค้า!H:I,2,FALSE),)</f>
        <v>0</v>
      </c>
      <c r="I311" s="21">
        <f>IFERROR(VLOOKUP(G311,ซื้อสินค้า!H:J,3,FALSE),)</f>
        <v>0</v>
      </c>
      <c r="J311" s="21">
        <f t="shared" si="11"/>
        <v>0</v>
      </c>
      <c r="K311" s="21">
        <f t="shared" si="12"/>
        <v>0</v>
      </c>
      <c r="L311" s="12">
        <f t="shared" si="13"/>
        <v>0</v>
      </c>
      <c r="M311" s="21">
        <f t="shared" si="14"/>
        <v>0</v>
      </c>
      <c r="N311" s="9" t="str">
        <f ca="1">IFERROR(__xludf.DUMMYFUNCTION("IF(G311&lt;&gt;"""",G311, IFERROR(TRANSPOSE(FILTER('ซื้อสินค้า'!H:H,'ซื้อสินค้า'!B:B=B311,'ซื้อสินค้า'!I:I&gt;0)),))"),"")</f>
        <v/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spans="1:32">
      <c r="A312" s="5"/>
      <c r="B312" s="6"/>
      <c r="C312" s="20">
        <f>IFERROR(VLOOKUP(B312,ชื่อสินค้า!A:C,3,FALSE),)</f>
        <v>0</v>
      </c>
      <c r="D312" s="8" t="str">
        <f>IFERROR(VLOOKUP(B312,ชื่อสินค้า!A:D,4,FALSE),"")</f>
        <v/>
      </c>
      <c r="E312" s="9"/>
      <c r="F312" s="21" t="str">
        <f t="shared" si="10"/>
        <v/>
      </c>
      <c r="G312" s="22"/>
      <c r="H312" s="8">
        <f>IFERROR(VLOOKUP(G312,ซื้อสินค้า!H:I,2,FALSE),)</f>
        <v>0</v>
      </c>
      <c r="I312" s="21">
        <f>IFERROR(VLOOKUP(G312,ซื้อสินค้า!H:J,3,FALSE),)</f>
        <v>0</v>
      </c>
      <c r="J312" s="21">
        <f t="shared" si="11"/>
        <v>0</v>
      </c>
      <c r="K312" s="21">
        <f t="shared" si="12"/>
        <v>0</v>
      </c>
      <c r="L312" s="12">
        <f t="shared" si="13"/>
        <v>0</v>
      </c>
      <c r="M312" s="21">
        <f t="shared" si="14"/>
        <v>0</v>
      </c>
      <c r="N312" s="9" t="str">
        <f ca="1">IFERROR(__xludf.DUMMYFUNCTION("IF(G312&lt;&gt;"""",G312, IFERROR(TRANSPOSE(FILTER('ซื้อสินค้า'!H:H,'ซื้อสินค้า'!B:B=B312,'ซื้อสินค้า'!I:I&gt;0)),))"),"")</f>
        <v/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spans="1:32">
      <c r="A313" s="5"/>
      <c r="B313" s="6"/>
      <c r="C313" s="20">
        <f>IFERROR(VLOOKUP(B313,ชื่อสินค้า!A:C,3,FALSE),)</f>
        <v>0</v>
      </c>
      <c r="D313" s="8" t="str">
        <f>IFERROR(VLOOKUP(B313,ชื่อสินค้า!A:D,4,FALSE),"")</f>
        <v/>
      </c>
      <c r="E313" s="9"/>
      <c r="F313" s="21" t="str">
        <f t="shared" si="10"/>
        <v/>
      </c>
      <c r="G313" s="22"/>
      <c r="H313" s="8">
        <f>IFERROR(VLOOKUP(G313,ซื้อสินค้า!H:I,2,FALSE),)</f>
        <v>0</v>
      </c>
      <c r="I313" s="21">
        <f>IFERROR(VLOOKUP(G313,ซื้อสินค้า!H:J,3,FALSE),)</f>
        <v>0</v>
      </c>
      <c r="J313" s="21">
        <f t="shared" si="11"/>
        <v>0</v>
      </c>
      <c r="K313" s="21">
        <f t="shared" si="12"/>
        <v>0</v>
      </c>
      <c r="L313" s="12">
        <f t="shared" si="13"/>
        <v>0</v>
      </c>
      <c r="M313" s="21">
        <f t="shared" si="14"/>
        <v>0</v>
      </c>
      <c r="N313" s="9" t="str">
        <f ca="1">IFERROR(__xludf.DUMMYFUNCTION("IF(G313&lt;&gt;"""",G313, IFERROR(TRANSPOSE(FILTER('ซื้อสินค้า'!H:H,'ซื้อสินค้า'!B:B=B313,'ซื้อสินค้า'!I:I&gt;0)),))"),"")</f>
        <v/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spans="1:32">
      <c r="A314" s="5"/>
      <c r="B314" s="6"/>
      <c r="C314" s="20">
        <f>IFERROR(VLOOKUP(B314,ชื่อสินค้า!A:C,3,FALSE),)</f>
        <v>0</v>
      </c>
      <c r="D314" s="8" t="str">
        <f>IFERROR(VLOOKUP(B314,ชื่อสินค้า!A:D,4,FALSE),"")</f>
        <v/>
      </c>
      <c r="E314" s="9"/>
      <c r="F314" s="21" t="str">
        <f t="shared" si="10"/>
        <v/>
      </c>
      <c r="G314" s="22"/>
      <c r="H314" s="8">
        <f>IFERROR(VLOOKUP(G314,ซื้อสินค้า!H:I,2,FALSE),)</f>
        <v>0</v>
      </c>
      <c r="I314" s="21">
        <f>IFERROR(VLOOKUP(G314,ซื้อสินค้า!H:J,3,FALSE),)</f>
        <v>0</v>
      </c>
      <c r="J314" s="21">
        <f t="shared" si="11"/>
        <v>0</v>
      </c>
      <c r="K314" s="21">
        <f t="shared" si="12"/>
        <v>0</v>
      </c>
      <c r="L314" s="12">
        <f t="shared" si="13"/>
        <v>0</v>
      </c>
      <c r="M314" s="21">
        <f t="shared" si="14"/>
        <v>0</v>
      </c>
      <c r="N314" s="9" t="str">
        <f ca="1">IFERROR(__xludf.DUMMYFUNCTION("IF(G314&lt;&gt;"""",G314, IFERROR(TRANSPOSE(FILTER('ซื้อสินค้า'!H:H,'ซื้อสินค้า'!B:B=B314,'ซื้อสินค้า'!I:I&gt;0)),))"),"")</f>
        <v/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spans="1:32">
      <c r="A315" s="5"/>
      <c r="B315" s="6"/>
      <c r="C315" s="20">
        <f>IFERROR(VLOOKUP(B315,ชื่อสินค้า!A:C,3,FALSE),)</f>
        <v>0</v>
      </c>
      <c r="D315" s="8" t="str">
        <f>IFERROR(VLOOKUP(B315,ชื่อสินค้า!A:D,4,FALSE),"")</f>
        <v/>
      </c>
      <c r="E315" s="9"/>
      <c r="F315" s="21" t="str">
        <f t="shared" si="10"/>
        <v/>
      </c>
      <c r="G315" s="22"/>
      <c r="H315" s="8">
        <f>IFERROR(VLOOKUP(G315,ซื้อสินค้า!H:I,2,FALSE),)</f>
        <v>0</v>
      </c>
      <c r="I315" s="21">
        <f>IFERROR(VLOOKUP(G315,ซื้อสินค้า!H:J,3,FALSE),)</f>
        <v>0</v>
      </c>
      <c r="J315" s="21">
        <f t="shared" si="11"/>
        <v>0</v>
      </c>
      <c r="K315" s="21">
        <f t="shared" si="12"/>
        <v>0</v>
      </c>
      <c r="L315" s="12">
        <f t="shared" si="13"/>
        <v>0</v>
      </c>
      <c r="M315" s="21">
        <f t="shared" si="14"/>
        <v>0</v>
      </c>
      <c r="N315" s="9" t="str">
        <f ca="1">IFERROR(__xludf.DUMMYFUNCTION("IF(G315&lt;&gt;"""",G315, IFERROR(TRANSPOSE(FILTER('ซื้อสินค้า'!H:H,'ซื้อสินค้า'!B:B=B315,'ซื้อสินค้า'!I:I&gt;0)),))"),"")</f>
        <v/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spans="1:32">
      <c r="A316" s="5"/>
      <c r="B316" s="6"/>
      <c r="C316" s="20">
        <f>IFERROR(VLOOKUP(B316,ชื่อสินค้า!A:C,3,FALSE),)</f>
        <v>0</v>
      </c>
      <c r="D316" s="8" t="str">
        <f>IFERROR(VLOOKUP(B316,ชื่อสินค้า!A:D,4,FALSE),"")</f>
        <v/>
      </c>
      <c r="E316" s="9"/>
      <c r="F316" s="21" t="str">
        <f t="shared" si="10"/>
        <v/>
      </c>
      <c r="G316" s="22"/>
      <c r="H316" s="8">
        <f>IFERROR(VLOOKUP(G316,ซื้อสินค้า!H:I,2,FALSE),)</f>
        <v>0</v>
      </c>
      <c r="I316" s="21">
        <f>IFERROR(VLOOKUP(G316,ซื้อสินค้า!H:J,3,FALSE),)</f>
        <v>0</v>
      </c>
      <c r="J316" s="21">
        <f t="shared" si="11"/>
        <v>0</v>
      </c>
      <c r="K316" s="21">
        <f t="shared" si="12"/>
        <v>0</v>
      </c>
      <c r="L316" s="12">
        <f t="shared" si="13"/>
        <v>0</v>
      </c>
      <c r="M316" s="21">
        <f t="shared" si="14"/>
        <v>0</v>
      </c>
      <c r="N316" s="9" t="str">
        <f ca="1">IFERROR(__xludf.DUMMYFUNCTION("IF(G316&lt;&gt;"""",G316, IFERROR(TRANSPOSE(FILTER('ซื้อสินค้า'!H:H,'ซื้อสินค้า'!B:B=B316,'ซื้อสินค้า'!I:I&gt;0)),))"),"")</f>
        <v/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spans="1:32">
      <c r="A317" s="5"/>
      <c r="B317" s="6"/>
      <c r="C317" s="20">
        <f>IFERROR(VLOOKUP(B317,ชื่อสินค้า!A:C,3,FALSE),)</f>
        <v>0</v>
      </c>
      <c r="D317" s="8" t="str">
        <f>IFERROR(VLOOKUP(B317,ชื่อสินค้า!A:D,4,FALSE),"")</f>
        <v/>
      </c>
      <c r="E317" s="9"/>
      <c r="F317" s="21" t="str">
        <f t="shared" si="10"/>
        <v/>
      </c>
      <c r="G317" s="22"/>
      <c r="H317" s="8">
        <f>IFERROR(VLOOKUP(G317,ซื้อสินค้า!H:I,2,FALSE),)</f>
        <v>0</v>
      </c>
      <c r="I317" s="21">
        <f>IFERROR(VLOOKUP(G317,ซื้อสินค้า!H:J,3,FALSE),)</f>
        <v>0</v>
      </c>
      <c r="J317" s="21">
        <f t="shared" si="11"/>
        <v>0</v>
      </c>
      <c r="K317" s="21">
        <f t="shared" si="12"/>
        <v>0</v>
      </c>
      <c r="L317" s="12">
        <f t="shared" si="13"/>
        <v>0</v>
      </c>
      <c r="M317" s="21">
        <f t="shared" si="14"/>
        <v>0</v>
      </c>
      <c r="N317" s="9" t="str">
        <f ca="1">IFERROR(__xludf.DUMMYFUNCTION("IF(G317&lt;&gt;"""",G317, IFERROR(TRANSPOSE(FILTER('ซื้อสินค้า'!H:H,'ซื้อสินค้า'!B:B=B317,'ซื้อสินค้า'!I:I&gt;0)),))"),"")</f>
        <v/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spans="1:32">
      <c r="A318" s="5"/>
      <c r="B318" s="6"/>
      <c r="C318" s="20">
        <f>IFERROR(VLOOKUP(B318,ชื่อสินค้า!A:C,3,FALSE),)</f>
        <v>0</v>
      </c>
      <c r="D318" s="8" t="str">
        <f>IFERROR(VLOOKUP(B318,ชื่อสินค้า!A:D,4,FALSE),"")</f>
        <v/>
      </c>
      <c r="E318" s="9"/>
      <c r="F318" s="21" t="str">
        <f t="shared" si="10"/>
        <v/>
      </c>
      <c r="G318" s="22"/>
      <c r="H318" s="8">
        <f>IFERROR(VLOOKUP(G318,ซื้อสินค้า!H:I,2,FALSE),)</f>
        <v>0</v>
      </c>
      <c r="I318" s="21">
        <f>IFERROR(VLOOKUP(G318,ซื้อสินค้า!H:J,3,FALSE),)</f>
        <v>0</v>
      </c>
      <c r="J318" s="21">
        <f t="shared" si="11"/>
        <v>0</v>
      </c>
      <c r="K318" s="21">
        <f t="shared" si="12"/>
        <v>0</v>
      </c>
      <c r="L318" s="12">
        <f t="shared" si="13"/>
        <v>0</v>
      </c>
      <c r="M318" s="21">
        <f t="shared" si="14"/>
        <v>0</v>
      </c>
      <c r="N318" s="9" t="str">
        <f ca="1">IFERROR(__xludf.DUMMYFUNCTION("IF(G318&lt;&gt;"""",G318, IFERROR(TRANSPOSE(FILTER('ซื้อสินค้า'!H:H,'ซื้อสินค้า'!B:B=B318,'ซื้อสินค้า'!I:I&gt;0)),))"),"")</f>
        <v/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spans="1:32">
      <c r="A319" s="5"/>
      <c r="B319" s="6"/>
      <c r="C319" s="20">
        <f>IFERROR(VLOOKUP(B319,ชื่อสินค้า!A:C,3,FALSE),)</f>
        <v>0</v>
      </c>
      <c r="D319" s="8" t="str">
        <f>IFERROR(VLOOKUP(B319,ชื่อสินค้า!A:D,4,FALSE),"")</f>
        <v/>
      </c>
      <c r="E319" s="9"/>
      <c r="F319" s="21" t="str">
        <f t="shared" si="10"/>
        <v/>
      </c>
      <c r="G319" s="22"/>
      <c r="H319" s="8">
        <f>IFERROR(VLOOKUP(G319,ซื้อสินค้า!H:I,2,FALSE),)</f>
        <v>0</v>
      </c>
      <c r="I319" s="21">
        <f>IFERROR(VLOOKUP(G319,ซื้อสินค้า!H:J,3,FALSE),)</f>
        <v>0</v>
      </c>
      <c r="J319" s="21">
        <f t="shared" si="11"/>
        <v>0</v>
      </c>
      <c r="K319" s="21">
        <f t="shared" si="12"/>
        <v>0</v>
      </c>
      <c r="L319" s="12">
        <f t="shared" si="13"/>
        <v>0</v>
      </c>
      <c r="M319" s="21">
        <f t="shared" si="14"/>
        <v>0</v>
      </c>
      <c r="N319" s="9" t="str">
        <f ca="1">IFERROR(__xludf.DUMMYFUNCTION("IF(G319&lt;&gt;"""",G319, IFERROR(TRANSPOSE(FILTER('ซื้อสินค้า'!H:H,'ซื้อสินค้า'!B:B=B319,'ซื้อสินค้า'!I:I&gt;0)),))"),"")</f>
        <v/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spans="1:32">
      <c r="A320" s="5"/>
      <c r="B320" s="6"/>
      <c r="C320" s="20">
        <f>IFERROR(VLOOKUP(B320,ชื่อสินค้า!A:C,3,FALSE),)</f>
        <v>0</v>
      </c>
      <c r="D320" s="8" t="str">
        <f>IFERROR(VLOOKUP(B320,ชื่อสินค้า!A:D,4,FALSE),"")</f>
        <v/>
      </c>
      <c r="E320" s="9"/>
      <c r="F320" s="21" t="str">
        <f t="shared" si="10"/>
        <v/>
      </c>
      <c r="G320" s="22"/>
      <c r="H320" s="8">
        <f>IFERROR(VLOOKUP(G320,ซื้อสินค้า!H:I,2,FALSE),)</f>
        <v>0</v>
      </c>
      <c r="I320" s="21">
        <f>IFERROR(VLOOKUP(G320,ซื้อสินค้า!H:J,3,FALSE),)</f>
        <v>0</v>
      </c>
      <c r="J320" s="21">
        <f t="shared" si="11"/>
        <v>0</v>
      </c>
      <c r="K320" s="21">
        <f t="shared" si="12"/>
        <v>0</v>
      </c>
      <c r="L320" s="12">
        <f t="shared" si="13"/>
        <v>0</v>
      </c>
      <c r="M320" s="21">
        <f t="shared" si="14"/>
        <v>0</v>
      </c>
      <c r="N320" s="9" t="str">
        <f ca="1">IFERROR(__xludf.DUMMYFUNCTION("IF(G320&lt;&gt;"""",G320, IFERROR(TRANSPOSE(FILTER('ซื้อสินค้า'!H:H,'ซื้อสินค้า'!B:B=B320,'ซื้อสินค้า'!I:I&gt;0)),))"),"")</f>
        <v/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spans="1:32">
      <c r="A321" s="5"/>
      <c r="B321" s="6"/>
      <c r="C321" s="20">
        <f>IFERROR(VLOOKUP(B321,ชื่อสินค้า!A:C,3,FALSE),)</f>
        <v>0</v>
      </c>
      <c r="D321" s="8" t="str">
        <f>IFERROR(VLOOKUP(B321,ชื่อสินค้า!A:D,4,FALSE),"")</f>
        <v/>
      </c>
      <c r="E321" s="9"/>
      <c r="F321" s="21" t="str">
        <f t="shared" si="10"/>
        <v/>
      </c>
      <c r="G321" s="22"/>
      <c r="H321" s="8">
        <f>IFERROR(VLOOKUP(G321,ซื้อสินค้า!H:I,2,FALSE),)</f>
        <v>0</v>
      </c>
      <c r="I321" s="21">
        <f>IFERROR(VLOOKUP(G321,ซื้อสินค้า!H:J,3,FALSE),)</f>
        <v>0</v>
      </c>
      <c r="J321" s="21">
        <f t="shared" si="11"/>
        <v>0</v>
      </c>
      <c r="K321" s="21">
        <f t="shared" si="12"/>
        <v>0</v>
      </c>
      <c r="L321" s="12">
        <f t="shared" si="13"/>
        <v>0</v>
      </c>
      <c r="M321" s="21">
        <f t="shared" si="14"/>
        <v>0</v>
      </c>
      <c r="N321" s="9" t="str">
        <f ca="1">IFERROR(__xludf.DUMMYFUNCTION("IF(G321&lt;&gt;"""",G321, IFERROR(TRANSPOSE(FILTER('ซื้อสินค้า'!H:H,'ซื้อสินค้า'!B:B=B321,'ซื้อสินค้า'!I:I&gt;0)),))"),"")</f>
        <v/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spans="1:32">
      <c r="A322" s="5"/>
      <c r="B322" s="6"/>
      <c r="C322" s="20">
        <f>IFERROR(VLOOKUP(B322,ชื่อสินค้า!A:C,3,FALSE),)</f>
        <v>0</v>
      </c>
      <c r="D322" s="8" t="str">
        <f>IFERROR(VLOOKUP(B322,ชื่อสินค้า!A:D,4,FALSE),"")</f>
        <v/>
      </c>
      <c r="E322" s="9"/>
      <c r="F322" s="21" t="str">
        <f t="shared" si="10"/>
        <v/>
      </c>
      <c r="G322" s="22"/>
      <c r="H322" s="8">
        <f>IFERROR(VLOOKUP(G322,ซื้อสินค้า!H:I,2,FALSE),)</f>
        <v>0</v>
      </c>
      <c r="I322" s="21">
        <f>IFERROR(VLOOKUP(G322,ซื้อสินค้า!H:J,3,FALSE),)</f>
        <v>0</v>
      </c>
      <c r="J322" s="21">
        <f t="shared" si="11"/>
        <v>0</v>
      </c>
      <c r="K322" s="21">
        <f t="shared" si="12"/>
        <v>0</v>
      </c>
      <c r="L322" s="12">
        <f t="shared" si="13"/>
        <v>0</v>
      </c>
      <c r="M322" s="21">
        <f t="shared" si="14"/>
        <v>0</v>
      </c>
      <c r="N322" s="9" t="str">
        <f ca="1">IFERROR(__xludf.DUMMYFUNCTION("IF(G322&lt;&gt;"""",G322, IFERROR(TRANSPOSE(FILTER('ซื้อสินค้า'!H:H,'ซื้อสินค้า'!B:B=B322,'ซื้อสินค้า'!I:I&gt;0)),))"),"")</f>
        <v/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spans="1:32">
      <c r="A323" s="5"/>
      <c r="B323" s="6"/>
      <c r="C323" s="20">
        <f>IFERROR(VLOOKUP(B323,ชื่อสินค้า!A:C,3,FALSE),)</f>
        <v>0</v>
      </c>
      <c r="D323" s="8" t="str">
        <f>IFERROR(VLOOKUP(B323,ชื่อสินค้า!A:D,4,FALSE),"")</f>
        <v/>
      </c>
      <c r="E323" s="9"/>
      <c r="F323" s="21" t="str">
        <f t="shared" si="10"/>
        <v/>
      </c>
      <c r="G323" s="22"/>
      <c r="H323" s="8">
        <f>IFERROR(VLOOKUP(G323,ซื้อสินค้า!H:I,2,FALSE),)</f>
        <v>0</v>
      </c>
      <c r="I323" s="21">
        <f>IFERROR(VLOOKUP(G323,ซื้อสินค้า!H:J,3,FALSE),)</f>
        <v>0</v>
      </c>
      <c r="J323" s="21">
        <f t="shared" si="11"/>
        <v>0</v>
      </c>
      <c r="K323" s="21">
        <f t="shared" si="12"/>
        <v>0</v>
      </c>
      <c r="L323" s="12">
        <f t="shared" si="13"/>
        <v>0</v>
      </c>
      <c r="M323" s="21">
        <f t="shared" si="14"/>
        <v>0</v>
      </c>
      <c r="N323" s="9" t="str">
        <f ca="1">IFERROR(__xludf.DUMMYFUNCTION("IF(G323&lt;&gt;"""",G323, IFERROR(TRANSPOSE(FILTER('ซื้อสินค้า'!H:H,'ซื้อสินค้า'!B:B=B323,'ซื้อสินค้า'!I:I&gt;0)),))"),"")</f>
        <v/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spans="1:32">
      <c r="A324" s="5"/>
      <c r="B324" s="6"/>
      <c r="C324" s="20">
        <f>IFERROR(VLOOKUP(B324,ชื่อสินค้า!A:C,3,FALSE),)</f>
        <v>0</v>
      </c>
      <c r="D324" s="8" t="str">
        <f>IFERROR(VLOOKUP(B324,ชื่อสินค้า!A:D,4,FALSE),"")</f>
        <v/>
      </c>
      <c r="E324" s="9"/>
      <c r="F324" s="21" t="str">
        <f t="shared" si="10"/>
        <v/>
      </c>
      <c r="G324" s="22"/>
      <c r="H324" s="8">
        <f>IFERROR(VLOOKUP(G324,ซื้อสินค้า!H:I,2,FALSE),)</f>
        <v>0</v>
      </c>
      <c r="I324" s="21">
        <f>IFERROR(VLOOKUP(G324,ซื้อสินค้า!H:J,3,FALSE),)</f>
        <v>0</v>
      </c>
      <c r="J324" s="21">
        <f t="shared" si="11"/>
        <v>0</v>
      </c>
      <c r="K324" s="21">
        <f t="shared" si="12"/>
        <v>0</v>
      </c>
      <c r="L324" s="12">
        <f t="shared" si="13"/>
        <v>0</v>
      </c>
      <c r="M324" s="21">
        <f t="shared" si="14"/>
        <v>0</v>
      </c>
      <c r="N324" s="9" t="str">
        <f ca="1">IFERROR(__xludf.DUMMYFUNCTION("IF(G324&lt;&gt;"""",G324, IFERROR(TRANSPOSE(FILTER('ซื้อสินค้า'!H:H,'ซื้อสินค้า'!B:B=B324,'ซื้อสินค้า'!I:I&gt;0)),))"),"")</f>
        <v/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spans="1:32">
      <c r="A325" s="5"/>
      <c r="B325" s="6"/>
      <c r="C325" s="20">
        <f>IFERROR(VLOOKUP(B325,ชื่อสินค้า!A:C,3,FALSE),)</f>
        <v>0</v>
      </c>
      <c r="D325" s="8" t="str">
        <f>IFERROR(VLOOKUP(B325,ชื่อสินค้า!A:D,4,FALSE),"")</f>
        <v/>
      </c>
      <c r="E325" s="9"/>
      <c r="F325" s="21" t="str">
        <f t="shared" si="10"/>
        <v/>
      </c>
      <c r="G325" s="22"/>
      <c r="H325" s="8">
        <f>IFERROR(VLOOKUP(G325,ซื้อสินค้า!H:I,2,FALSE),)</f>
        <v>0</v>
      </c>
      <c r="I325" s="21">
        <f>IFERROR(VLOOKUP(G325,ซื้อสินค้า!H:J,3,FALSE),)</f>
        <v>0</v>
      </c>
      <c r="J325" s="21">
        <f t="shared" si="11"/>
        <v>0</v>
      </c>
      <c r="K325" s="21">
        <f t="shared" si="12"/>
        <v>0</v>
      </c>
      <c r="L325" s="12">
        <f t="shared" si="13"/>
        <v>0</v>
      </c>
      <c r="M325" s="21">
        <f t="shared" si="14"/>
        <v>0</v>
      </c>
      <c r="N325" s="9" t="str">
        <f ca="1">IFERROR(__xludf.DUMMYFUNCTION("IF(G325&lt;&gt;"""",G325, IFERROR(TRANSPOSE(FILTER('ซื้อสินค้า'!H:H,'ซื้อสินค้า'!B:B=B325,'ซื้อสินค้า'!I:I&gt;0)),))"),"")</f>
        <v/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spans="1:32">
      <c r="A326" s="5"/>
      <c r="B326" s="6"/>
      <c r="C326" s="20">
        <f>IFERROR(VLOOKUP(B326,ชื่อสินค้า!A:C,3,FALSE),)</f>
        <v>0</v>
      </c>
      <c r="D326" s="8" t="str">
        <f>IFERROR(VLOOKUP(B326,ชื่อสินค้า!A:D,4,FALSE),"")</f>
        <v/>
      </c>
      <c r="E326" s="9"/>
      <c r="F326" s="21" t="str">
        <f t="shared" si="10"/>
        <v/>
      </c>
      <c r="G326" s="22"/>
      <c r="H326" s="8">
        <f>IFERROR(VLOOKUP(G326,ซื้อสินค้า!H:I,2,FALSE),)</f>
        <v>0</v>
      </c>
      <c r="I326" s="21">
        <f>IFERROR(VLOOKUP(G326,ซื้อสินค้า!H:J,3,FALSE),)</f>
        <v>0</v>
      </c>
      <c r="J326" s="21">
        <f t="shared" si="11"/>
        <v>0</v>
      </c>
      <c r="K326" s="21">
        <f t="shared" si="12"/>
        <v>0</v>
      </c>
      <c r="L326" s="12">
        <f t="shared" si="13"/>
        <v>0</v>
      </c>
      <c r="M326" s="21">
        <f t="shared" si="14"/>
        <v>0</v>
      </c>
      <c r="N326" s="9" t="str">
        <f ca="1">IFERROR(__xludf.DUMMYFUNCTION("IF(G326&lt;&gt;"""",G326, IFERROR(TRANSPOSE(FILTER('ซื้อสินค้า'!H:H,'ซื้อสินค้า'!B:B=B326,'ซื้อสินค้า'!I:I&gt;0)),))"),"")</f>
        <v/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spans="1:32">
      <c r="A327" s="5"/>
      <c r="B327" s="6"/>
      <c r="C327" s="20">
        <f>IFERROR(VLOOKUP(B327,ชื่อสินค้า!A:C,3,FALSE),)</f>
        <v>0</v>
      </c>
      <c r="D327" s="8" t="str">
        <f>IFERROR(VLOOKUP(B327,ชื่อสินค้า!A:D,4,FALSE),"")</f>
        <v/>
      </c>
      <c r="E327" s="9"/>
      <c r="F327" s="21" t="str">
        <f t="shared" si="10"/>
        <v/>
      </c>
      <c r="G327" s="22"/>
      <c r="H327" s="8">
        <f>IFERROR(VLOOKUP(G327,ซื้อสินค้า!H:I,2,FALSE),)</f>
        <v>0</v>
      </c>
      <c r="I327" s="21">
        <f>IFERROR(VLOOKUP(G327,ซื้อสินค้า!H:J,3,FALSE),)</f>
        <v>0</v>
      </c>
      <c r="J327" s="21">
        <f t="shared" si="11"/>
        <v>0</v>
      </c>
      <c r="K327" s="21">
        <f t="shared" si="12"/>
        <v>0</v>
      </c>
      <c r="L327" s="12">
        <f t="shared" si="13"/>
        <v>0</v>
      </c>
      <c r="M327" s="21">
        <f t="shared" si="14"/>
        <v>0</v>
      </c>
      <c r="N327" s="9" t="str">
        <f ca="1">IFERROR(__xludf.DUMMYFUNCTION("IF(G327&lt;&gt;"""",G327, IFERROR(TRANSPOSE(FILTER('ซื้อสินค้า'!H:H,'ซื้อสินค้า'!B:B=B327,'ซื้อสินค้า'!I:I&gt;0)),))"),"")</f>
        <v/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spans="1:32">
      <c r="A328" s="5"/>
      <c r="B328" s="6"/>
      <c r="C328" s="20">
        <f>IFERROR(VLOOKUP(B328,ชื่อสินค้า!A:C,3,FALSE),)</f>
        <v>0</v>
      </c>
      <c r="D328" s="8" t="str">
        <f>IFERROR(VLOOKUP(B328,ชื่อสินค้า!A:D,4,FALSE),"")</f>
        <v/>
      </c>
      <c r="E328" s="9"/>
      <c r="F328" s="21" t="str">
        <f t="shared" si="10"/>
        <v/>
      </c>
      <c r="G328" s="22"/>
      <c r="H328" s="8">
        <f>IFERROR(VLOOKUP(G328,ซื้อสินค้า!H:I,2,FALSE),)</f>
        <v>0</v>
      </c>
      <c r="I328" s="21">
        <f>IFERROR(VLOOKUP(G328,ซื้อสินค้า!H:J,3,FALSE),)</f>
        <v>0</v>
      </c>
      <c r="J328" s="21">
        <f t="shared" si="11"/>
        <v>0</v>
      </c>
      <c r="K328" s="21">
        <f t="shared" si="12"/>
        <v>0</v>
      </c>
      <c r="L328" s="12">
        <f t="shared" si="13"/>
        <v>0</v>
      </c>
      <c r="M328" s="21">
        <f t="shared" si="14"/>
        <v>0</v>
      </c>
      <c r="N328" s="9" t="str">
        <f ca="1">IFERROR(__xludf.DUMMYFUNCTION("IF(G328&lt;&gt;"""",G328, IFERROR(TRANSPOSE(FILTER('ซื้อสินค้า'!H:H,'ซื้อสินค้า'!B:B=B328,'ซื้อสินค้า'!I:I&gt;0)),))"),"")</f>
        <v/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spans="1:32">
      <c r="A329" s="5"/>
      <c r="B329" s="6"/>
      <c r="C329" s="20">
        <f>IFERROR(VLOOKUP(B329,ชื่อสินค้า!A:C,3,FALSE),)</f>
        <v>0</v>
      </c>
      <c r="D329" s="8" t="str">
        <f>IFERROR(VLOOKUP(B329,ชื่อสินค้า!A:D,4,FALSE),"")</f>
        <v/>
      </c>
      <c r="E329" s="9"/>
      <c r="F329" s="21" t="str">
        <f t="shared" si="10"/>
        <v/>
      </c>
      <c r="G329" s="22"/>
      <c r="H329" s="8">
        <f>IFERROR(VLOOKUP(G329,ซื้อสินค้า!H:I,2,FALSE),)</f>
        <v>0</v>
      </c>
      <c r="I329" s="21">
        <f>IFERROR(VLOOKUP(G329,ซื้อสินค้า!H:J,3,FALSE),)</f>
        <v>0</v>
      </c>
      <c r="J329" s="21">
        <f t="shared" si="11"/>
        <v>0</v>
      </c>
      <c r="K329" s="21">
        <f t="shared" si="12"/>
        <v>0</v>
      </c>
      <c r="L329" s="12">
        <f t="shared" si="13"/>
        <v>0</v>
      </c>
      <c r="M329" s="21">
        <f t="shared" si="14"/>
        <v>0</v>
      </c>
      <c r="N329" s="9" t="str">
        <f ca="1">IFERROR(__xludf.DUMMYFUNCTION("IF(G329&lt;&gt;"""",G329, IFERROR(TRANSPOSE(FILTER('ซื้อสินค้า'!H:H,'ซื้อสินค้า'!B:B=B329,'ซื้อสินค้า'!I:I&gt;0)),))"),"")</f>
        <v/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spans="1:32">
      <c r="A330" s="5"/>
      <c r="B330" s="6"/>
      <c r="C330" s="20">
        <f>IFERROR(VLOOKUP(B330,ชื่อสินค้า!A:C,3,FALSE),)</f>
        <v>0</v>
      </c>
      <c r="D330" s="8" t="str">
        <f>IFERROR(VLOOKUP(B330,ชื่อสินค้า!A:D,4,FALSE),"")</f>
        <v/>
      </c>
      <c r="E330" s="9"/>
      <c r="F330" s="21" t="str">
        <f t="shared" si="10"/>
        <v/>
      </c>
      <c r="G330" s="22"/>
      <c r="H330" s="8">
        <f>IFERROR(VLOOKUP(G330,ซื้อสินค้า!H:I,2,FALSE),)</f>
        <v>0</v>
      </c>
      <c r="I330" s="21">
        <f>IFERROR(VLOOKUP(G330,ซื้อสินค้า!H:J,3,FALSE),)</f>
        <v>0</v>
      </c>
      <c r="J330" s="21">
        <f t="shared" si="11"/>
        <v>0</v>
      </c>
      <c r="K330" s="21">
        <f t="shared" si="12"/>
        <v>0</v>
      </c>
      <c r="L330" s="12">
        <f t="shared" si="13"/>
        <v>0</v>
      </c>
      <c r="M330" s="21">
        <f t="shared" si="14"/>
        <v>0</v>
      </c>
      <c r="N330" s="9" t="str">
        <f ca="1">IFERROR(__xludf.DUMMYFUNCTION("IF(G330&lt;&gt;"""",G330, IFERROR(TRANSPOSE(FILTER('ซื้อสินค้า'!H:H,'ซื้อสินค้า'!B:B=B330,'ซื้อสินค้า'!I:I&gt;0)),))"),"")</f>
        <v/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spans="1:32">
      <c r="A331" s="5"/>
      <c r="B331" s="6"/>
      <c r="C331" s="20">
        <f>IFERROR(VLOOKUP(B331,ชื่อสินค้า!A:C,3,FALSE),)</f>
        <v>0</v>
      </c>
      <c r="D331" s="8" t="str">
        <f>IFERROR(VLOOKUP(B331,ชื่อสินค้า!A:D,4,FALSE),"")</f>
        <v/>
      </c>
      <c r="E331" s="9"/>
      <c r="F331" s="21" t="str">
        <f t="shared" si="10"/>
        <v/>
      </c>
      <c r="G331" s="22"/>
      <c r="H331" s="8">
        <f>IFERROR(VLOOKUP(G331,ซื้อสินค้า!H:I,2,FALSE),)</f>
        <v>0</v>
      </c>
      <c r="I331" s="21">
        <f>IFERROR(VLOOKUP(G331,ซื้อสินค้า!H:J,3,FALSE),)</f>
        <v>0</v>
      </c>
      <c r="J331" s="21">
        <f t="shared" si="11"/>
        <v>0</v>
      </c>
      <c r="K331" s="21">
        <f t="shared" si="12"/>
        <v>0</v>
      </c>
      <c r="L331" s="12">
        <f t="shared" si="13"/>
        <v>0</v>
      </c>
      <c r="M331" s="21">
        <f t="shared" si="14"/>
        <v>0</v>
      </c>
      <c r="N331" s="9" t="str">
        <f ca="1">IFERROR(__xludf.DUMMYFUNCTION("IF(G331&lt;&gt;"""",G331, IFERROR(TRANSPOSE(FILTER('ซื้อสินค้า'!H:H,'ซื้อสินค้า'!B:B=B331,'ซื้อสินค้า'!I:I&gt;0)),))"),"")</f>
        <v/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spans="1:32">
      <c r="A332" s="5"/>
      <c r="B332" s="6"/>
      <c r="C332" s="20">
        <f>IFERROR(VLOOKUP(B332,ชื่อสินค้า!A:C,3,FALSE),)</f>
        <v>0</v>
      </c>
      <c r="D332" s="8" t="str">
        <f>IFERROR(VLOOKUP(B332,ชื่อสินค้า!A:D,4,FALSE),"")</f>
        <v/>
      </c>
      <c r="E332" s="9"/>
      <c r="F332" s="21" t="str">
        <f t="shared" si="10"/>
        <v/>
      </c>
      <c r="G332" s="22"/>
      <c r="H332" s="8">
        <f>IFERROR(VLOOKUP(G332,ซื้อสินค้า!H:I,2,FALSE),)</f>
        <v>0</v>
      </c>
      <c r="I332" s="21">
        <f>IFERROR(VLOOKUP(G332,ซื้อสินค้า!H:J,3,FALSE),)</f>
        <v>0</v>
      </c>
      <c r="J332" s="21">
        <f t="shared" si="11"/>
        <v>0</v>
      </c>
      <c r="K332" s="21">
        <f t="shared" si="12"/>
        <v>0</v>
      </c>
      <c r="L332" s="12">
        <f t="shared" si="13"/>
        <v>0</v>
      </c>
      <c r="M332" s="21">
        <f t="shared" si="14"/>
        <v>0</v>
      </c>
      <c r="N332" s="9" t="str">
        <f ca="1">IFERROR(__xludf.DUMMYFUNCTION("IF(G332&lt;&gt;"""",G332, IFERROR(TRANSPOSE(FILTER('ซื้อสินค้า'!H:H,'ซื้อสินค้า'!B:B=B332,'ซื้อสินค้า'!I:I&gt;0)),))"),"")</f>
        <v/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spans="1:32">
      <c r="A333" s="5"/>
      <c r="B333" s="6"/>
      <c r="C333" s="20">
        <f>IFERROR(VLOOKUP(B333,ชื่อสินค้า!A:C,3,FALSE),)</f>
        <v>0</v>
      </c>
      <c r="D333" s="8" t="str">
        <f>IFERROR(VLOOKUP(B333,ชื่อสินค้า!A:D,4,FALSE),"")</f>
        <v/>
      </c>
      <c r="E333" s="9"/>
      <c r="F333" s="21" t="str">
        <f t="shared" si="10"/>
        <v/>
      </c>
      <c r="G333" s="22"/>
      <c r="H333" s="8">
        <f>IFERROR(VLOOKUP(G333,ซื้อสินค้า!H:I,2,FALSE),)</f>
        <v>0</v>
      </c>
      <c r="I333" s="21">
        <f>IFERROR(VLOOKUP(G333,ซื้อสินค้า!H:J,3,FALSE),)</f>
        <v>0</v>
      </c>
      <c r="J333" s="21">
        <f t="shared" si="11"/>
        <v>0</v>
      </c>
      <c r="K333" s="21">
        <f t="shared" si="12"/>
        <v>0</v>
      </c>
      <c r="L333" s="12">
        <f t="shared" si="13"/>
        <v>0</v>
      </c>
      <c r="M333" s="21">
        <f t="shared" si="14"/>
        <v>0</v>
      </c>
      <c r="N333" s="9" t="str">
        <f ca="1">IFERROR(__xludf.DUMMYFUNCTION("IF(G333&lt;&gt;"""",G333, IFERROR(TRANSPOSE(FILTER('ซื้อสินค้า'!H:H,'ซื้อสินค้า'!B:B=B333,'ซื้อสินค้า'!I:I&gt;0)),))"),"")</f>
        <v/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spans="1:32">
      <c r="A334" s="5"/>
      <c r="B334" s="6"/>
      <c r="C334" s="20">
        <f>IFERROR(VLOOKUP(B334,ชื่อสินค้า!A:C,3,FALSE),)</f>
        <v>0</v>
      </c>
      <c r="D334" s="8" t="str">
        <f>IFERROR(VLOOKUP(B334,ชื่อสินค้า!A:D,4,FALSE),"")</f>
        <v/>
      </c>
      <c r="E334" s="9"/>
      <c r="F334" s="21" t="str">
        <f t="shared" si="10"/>
        <v/>
      </c>
      <c r="G334" s="22"/>
      <c r="H334" s="8">
        <f>IFERROR(VLOOKUP(G334,ซื้อสินค้า!H:I,2,FALSE),)</f>
        <v>0</v>
      </c>
      <c r="I334" s="21">
        <f>IFERROR(VLOOKUP(G334,ซื้อสินค้า!H:J,3,FALSE),)</f>
        <v>0</v>
      </c>
      <c r="J334" s="21">
        <f t="shared" si="11"/>
        <v>0</v>
      </c>
      <c r="K334" s="21">
        <f t="shared" si="12"/>
        <v>0</v>
      </c>
      <c r="L334" s="12">
        <f t="shared" si="13"/>
        <v>0</v>
      </c>
      <c r="M334" s="21">
        <f t="shared" si="14"/>
        <v>0</v>
      </c>
      <c r="N334" s="9" t="str">
        <f ca="1">IFERROR(__xludf.DUMMYFUNCTION("IF(G334&lt;&gt;"""",G334, IFERROR(TRANSPOSE(FILTER('ซื้อสินค้า'!H:H,'ซื้อสินค้า'!B:B=B334,'ซื้อสินค้า'!I:I&gt;0)),))"),"")</f>
        <v/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spans="1:32">
      <c r="A335" s="5"/>
      <c r="B335" s="6"/>
      <c r="C335" s="20">
        <f>IFERROR(VLOOKUP(B335,ชื่อสินค้า!A:C,3,FALSE),)</f>
        <v>0</v>
      </c>
      <c r="D335" s="8" t="str">
        <f>IFERROR(VLOOKUP(B335,ชื่อสินค้า!A:D,4,FALSE),"")</f>
        <v/>
      </c>
      <c r="E335" s="9"/>
      <c r="F335" s="21" t="str">
        <f t="shared" si="10"/>
        <v/>
      </c>
      <c r="G335" s="22"/>
      <c r="H335" s="8">
        <f>IFERROR(VLOOKUP(G335,ซื้อสินค้า!H:I,2,FALSE),)</f>
        <v>0</v>
      </c>
      <c r="I335" s="21">
        <f>IFERROR(VLOOKUP(G335,ซื้อสินค้า!H:J,3,FALSE),)</f>
        <v>0</v>
      </c>
      <c r="J335" s="21">
        <f t="shared" si="11"/>
        <v>0</v>
      </c>
      <c r="K335" s="21">
        <f t="shared" si="12"/>
        <v>0</v>
      </c>
      <c r="L335" s="12">
        <f t="shared" si="13"/>
        <v>0</v>
      </c>
      <c r="M335" s="21">
        <f t="shared" si="14"/>
        <v>0</v>
      </c>
      <c r="N335" s="9" t="str">
        <f ca="1">IFERROR(__xludf.DUMMYFUNCTION("IF(G335&lt;&gt;"""",G335, IFERROR(TRANSPOSE(FILTER('ซื้อสินค้า'!H:H,'ซื้อสินค้า'!B:B=B335,'ซื้อสินค้า'!I:I&gt;0)),))"),"")</f>
        <v/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spans="1:32">
      <c r="A336" s="5"/>
      <c r="B336" s="6"/>
      <c r="C336" s="20">
        <f>IFERROR(VLOOKUP(B336,ชื่อสินค้า!A:C,3,FALSE),)</f>
        <v>0</v>
      </c>
      <c r="D336" s="8" t="str">
        <f>IFERROR(VLOOKUP(B336,ชื่อสินค้า!A:D,4,FALSE),"")</f>
        <v/>
      </c>
      <c r="E336" s="9"/>
      <c r="F336" s="21" t="str">
        <f t="shared" si="10"/>
        <v/>
      </c>
      <c r="G336" s="22"/>
      <c r="H336" s="8">
        <f>IFERROR(VLOOKUP(G336,ซื้อสินค้า!H:I,2,FALSE),)</f>
        <v>0</v>
      </c>
      <c r="I336" s="21">
        <f>IFERROR(VLOOKUP(G336,ซื้อสินค้า!H:J,3,FALSE),)</f>
        <v>0</v>
      </c>
      <c r="J336" s="21">
        <f t="shared" si="11"/>
        <v>0</v>
      </c>
      <c r="K336" s="21">
        <f t="shared" si="12"/>
        <v>0</v>
      </c>
      <c r="L336" s="12">
        <f t="shared" si="13"/>
        <v>0</v>
      </c>
      <c r="M336" s="21">
        <f t="shared" si="14"/>
        <v>0</v>
      </c>
      <c r="N336" s="9" t="str">
        <f ca="1">IFERROR(__xludf.DUMMYFUNCTION("IF(G336&lt;&gt;"""",G336, IFERROR(TRANSPOSE(FILTER('ซื้อสินค้า'!H:H,'ซื้อสินค้า'!B:B=B336,'ซื้อสินค้า'!I:I&gt;0)),))"),"")</f>
        <v/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spans="1:32">
      <c r="A337" s="5"/>
      <c r="B337" s="6"/>
      <c r="C337" s="20">
        <f>IFERROR(VLOOKUP(B337,ชื่อสินค้า!A:C,3,FALSE),)</f>
        <v>0</v>
      </c>
      <c r="D337" s="8" t="str">
        <f>IFERROR(VLOOKUP(B337,ชื่อสินค้า!A:D,4,FALSE),"")</f>
        <v/>
      </c>
      <c r="E337" s="9"/>
      <c r="F337" s="21" t="str">
        <f t="shared" si="10"/>
        <v/>
      </c>
      <c r="G337" s="22"/>
      <c r="H337" s="8">
        <f>IFERROR(VLOOKUP(G337,ซื้อสินค้า!H:I,2,FALSE),)</f>
        <v>0</v>
      </c>
      <c r="I337" s="21">
        <f>IFERROR(VLOOKUP(G337,ซื้อสินค้า!H:J,3,FALSE),)</f>
        <v>0</v>
      </c>
      <c r="J337" s="21">
        <f t="shared" si="11"/>
        <v>0</v>
      </c>
      <c r="K337" s="21">
        <f t="shared" si="12"/>
        <v>0</v>
      </c>
      <c r="L337" s="12">
        <f t="shared" si="13"/>
        <v>0</v>
      </c>
      <c r="M337" s="21">
        <f t="shared" si="14"/>
        <v>0</v>
      </c>
      <c r="N337" s="9" t="str">
        <f ca="1">IFERROR(__xludf.DUMMYFUNCTION("IF(G337&lt;&gt;"""",G337, IFERROR(TRANSPOSE(FILTER('ซื้อสินค้า'!H:H,'ซื้อสินค้า'!B:B=B337,'ซื้อสินค้า'!I:I&gt;0)),))"),"")</f>
        <v/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spans="1:32">
      <c r="A338" s="5"/>
      <c r="B338" s="6"/>
      <c r="C338" s="20">
        <f>IFERROR(VLOOKUP(B338,ชื่อสินค้า!A:C,3,FALSE),)</f>
        <v>0</v>
      </c>
      <c r="D338" s="8" t="str">
        <f>IFERROR(VLOOKUP(B338,ชื่อสินค้า!A:D,4,FALSE),"")</f>
        <v/>
      </c>
      <c r="E338" s="9"/>
      <c r="F338" s="21" t="str">
        <f t="shared" si="10"/>
        <v/>
      </c>
      <c r="G338" s="22"/>
      <c r="H338" s="8">
        <f>IFERROR(VLOOKUP(G338,ซื้อสินค้า!H:I,2,FALSE),)</f>
        <v>0</v>
      </c>
      <c r="I338" s="21">
        <f>IFERROR(VLOOKUP(G338,ซื้อสินค้า!H:J,3,FALSE),)</f>
        <v>0</v>
      </c>
      <c r="J338" s="21">
        <f t="shared" si="11"/>
        <v>0</v>
      </c>
      <c r="K338" s="21">
        <f t="shared" si="12"/>
        <v>0</v>
      </c>
      <c r="L338" s="12">
        <f t="shared" si="13"/>
        <v>0</v>
      </c>
      <c r="M338" s="21">
        <f t="shared" si="14"/>
        <v>0</v>
      </c>
      <c r="N338" s="9" t="str">
        <f ca="1">IFERROR(__xludf.DUMMYFUNCTION("IF(G338&lt;&gt;"""",G338, IFERROR(TRANSPOSE(FILTER('ซื้อสินค้า'!H:H,'ซื้อสินค้า'!B:B=B338,'ซื้อสินค้า'!I:I&gt;0)),))"),"")</f>
        <v/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spans="1:32">
      <c r="A339" s="5"/>
      <c r="B339" s="6"/>
      <c r="C339" s="20">
        <f>IFERROR(VLOOKUP(B339,ชื่อสินค้า!A:C,3,FALSE),)</f>
        <v>0</v>
      </c>
      <c r="D339" s="8" t="str">
        <f>IFERROR(VLOOKUP(B339,ชื่อสินค้า!A:D,4,FALSE),"")</f>
        <v/>
      </c>
      <c r="E339" s="9"/>
      <c r="F339" s="21" t="str">
        <f t="shared" si="10"/>
        <v/>
      </c>
      <c r="G339" s="22"/>
      <c r="H339" s="8">
        <f>IFERROR(VLOOKUP(G339,ซื้อสินค้า!H:I,2,FALSE),)</f>
        <v>0</v>
      </c>
      <c r="I339" s="21">
        <f>IFERROR(VLOOKUP(G339,ซื้อสินค้า!H:J,3,FALSE),)</f>
        <v>0</v>
      </c>
      <c r="J339" s="21">
        <f t="shared" si="11"/>
        <v>0</v>
      </c>
      <c r="K339" s="21">
        <f t="shared" si="12"/>
        <v>0</v>
      </c>
      <c r="L339" s="12">
        <f t="shared" si="13"/>
        <v>0</v>
      </c>
      <c r="M339" s="21">
        <f t="shared" si="14"/>
        <v>0</v>
      </c>
      <c r="N339" s="9" t="str">
        <f ca="1">IFERROR(__xludf.DUMMYFUNCTION("IF(G339&lt;&gt;"""",G339, IFERROR(TRANSPOSE(FILTER('ซื้อสินค้า'!H:H,'ซื้อสินค้า'!B:B=B339,'ซื้อสินค้า'!I:I&gt;0)),))"),"")</f>
        <v/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spans="1:32">
      <c r="A340" s="5"/>
      <c r="B340" s="6"/>
      <c r="C340" s="20">
        <f>IFERROR(VLOOKUP(B340,ชื่อสินค้า!A:C,3,FALSE),)</f>
        <v>0</v>
      </c>
      <c r="D340" s="8" t="str">
        <f>IFERROR(VLOOKUP(B340,ชื่อสินค้า!A:D,4,FALSE),"")</f>
        <v/>
      </c>
      <c r="E340" s="9"/>
      <c r="F340" s="21" t="str">
        <f t="shared" si="10"/>
        <v/>
      </c>
      <c r="G340" s="22"/>
      <c r="H340" s="8">
        <f>IFERROR(VLOOKUP(G340,ซื้อสินค้า!H:I,2,FALSE),)</f>
        <v>0</v>
      </c>
      <c r="I340" s="21">
        <f>IFERROR(VLOOKUP(G340,ซื้อสินค้า!H:J,3,FALSE),)</f>
        <v>0</v>
      </c>
      <c r="J340" s="21">
        <f t="shared" si="11"/>
        <v>0</v>
      </c>
      <c r="K340" s="21">
        <f t="shared" si="12"/>
        <v>0</v>
      </c>
      <c r="L340" s="12">
        <f t="shared" si="13"/>
        <v>0</v>
      </c>
      <c r="M340" s="21">
        <f t="shared" si="14"/>
        <v>0</v>
      </c>
      <c r="N340" s="9" t="str">
        <f ca="1">IFERROR(__xludf.DUMMYFUNCTION("IF(G340&lt;&gt;"""",G340, IFERROR(TRANSPOSE(FILTER('ซื้อสินค้า'!H:H,'ซื้อสินค้า'!B:B=B340,'ซื้อสินค้า'!I:I&gt;0)),))"),"")</f>
        <v/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spans="1:32">
      <c r="A341" s="5"/>
      <c r="B341" s="6"/>
      <c r="C341" s="20">
        <f>IFERROR(VLOOKUP(B341,ชื่อสินค้า!A:C,3,FALSE),)</f>
        <v>0</v>
      </c>
      <c r="D341" s="8" t="str">
        <f>IFERROR(VLOOKUP(B341,ชื่อสินค้า!A:D,4,FALSE),"")</f>
        <v/>
      </c>
      <c r="E341" s="9"/>
      <c r="F341" s="21" t="str">
        <f t="shared" si="10"/>
        <v/>
      </c>
      <c r="G341" s="22"/>
      <c r="H341" s="8">
        <f>IFERROR(VLOOKUP(G341,ซื้อสินค้า!H:I,2,FALSE),)</f>
        <v>0</v>
      </c>
      <c r="I341" s="21">
        <f>IFERROR(VLOOKUP(G341,ซื้อสินค้า!H:J,3,FALSE),)</f>
        <v>0</v>
      </c>
      <c r="J341" s="21">
        <f t="shared" si="11"/>
        <v>0</v>
      </c>
      <c r="K341" s="21">
        <f t="shared" si="12"/>
        <v>0</v>
      </c>
      <c r="L341" s="12">
        <f t="shared" si="13"/>
        <v>0</v>
      </c>
      <c r="M341" s="21">
        <f t="shared" si="14"/>
        <v>0</v>
      </c>
      <c r="N341" s="9" t="str">
        <f ca="1">IFERROR(__xludf.DUMMYFUNCTION("IF(G341&lt;&gt;"""",G341, IFERROR(TRANSPOSE(FILTER('ซื้อสินค้า'!H:H,'ซื้อสินค้า'!B:B=B341,'ซื้อสินค้า'!I:I&gt;0)),))"),"")</f>
        <v/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spans="1:32">
      <c r="A342" s="5"/>
      <c r="B342" s="6"/>
      <c r="C342" s="20">
        <f>IFERROR(VLOOKUP(B342,ชื่อสินค้า!A:C,3,FALSE),)</f>
        <v>0</v>
      </c>
      <c r="D342" s="8" t="str">
        <f>IFERROR(VLOOKUP(B342,ชื่อสินค้า!A:D,4,FALSE),"")</f>
        <v/>
      </c>
      <c r="E342" s="9"/>
      <c r="F342" s="21" t="str">
        <f t="shared" si="10"/>
        <v/>
      </c>
      <c r="G342" s="22"/>
      <c r="H342" s="8">
        <f>IFERROR(VLOOKUP(G342,ซื้อสินค้า!H:I,2,FALSE),)</f>
        <v>0</v>
      </c>
      <c r="I342" s="21">
        <f>IFERROR(VLOOKUP(G342,ซื้อสินค้า!H:J,3,FALSE),)</f>
        <v>0</v>
      </c>
      <c r="J342" s="21">
        <f t="shared" si="11"/>
        <v>0</v>
      </c>
      <c r="K342" s="21">
        <f t="shared" si="12"/>
        <v>0</v>
      </c>
      <c r="L342" s="12">
        <f t="shared" si="13"/>
        <v>0</v>
      </c>
      <c r="M342" s="21">
        <f t="shared" si="14"/>
        <v>0</v>
      </c>
      <c r="N342" s="9" t="str">
        <f ca="1">IFERROR(__xludf.DUMMYFUNCTION("IF(G342&lt;&gt;"""",G342, IFERROR(TRANSPOSE(FILTER('ซื้อสินค้า'!H:H,'ซื้อสินค้า'!B:B=B342,'ซื้อสินค้า'!I:I&gt;0)),))"),"")</f>
        <v/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spans="1:32">
      <c r="A343" s="5"/>
      <c r="B343" s="6"/>
      <c r="C343" s="20">
        <f>IFERROR(VLOOKUP(B343,ชื่อสินค้า!A:C,3,FALSE),)</f>
        <v>0</v>
      </c>
      <c r="D343" s="8" t="str">
        <f>IFERROR(VLOOKUP(B343,ชื่อสินค้า!A:D,4,FALSE),"")</f>
        <v/>
      </c>
      <c r="E343" s="9"/>
      <c r="F343" s="21" t="str">
        <f t="shared" si="10"/>
        <v/>
      </c>
      <c r="G343" s="22"/>
      <c r="H343" s="8">
        <f>IFERROR(VLOOKUP(G343,ซื้อสินค้า!H:I,2,FALSE),)</f>
        <v>0</v>
      </c>
      <c r="I343" s="21">
        <f>IFERROR(VLOOKUP(G343,ซื้อสินค้า!H:J,3,FALSE),)</f>
        <v>0</v>
      </c>
      <c r="J343" s="21">
        <f t="shared" si="11"/>
        <v>0</v>
      </c>
      <c r="K343" s="21">
        <f t="shared" si="12"/>
        <v>0</v>
      </c>
      <c r="L343" s="12">
        <f t="shared" si="13"/>
        <v>0</v>
      </c>
      <c r="M343" s="21">
        <f t="shared" si="14"/>
        <v>0</v>
      </c>
      <c r="N343" s="9" t="str">
        <f ca="1">IFERROR(__xludf.DUMMYFUNCTION("IF(G343&lt;&gt;"""",G343, IFERROR(TRANSPOSE(FILTER('ซื้อสินค้า'!H:H,'ซื้อสินค้า'!B:B=B343,'ซื้อสินค้า'!I:I&gt;0)),))"),"")</f>
        <v/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spans="1:32">
      <c r="A344" s="5"/>
      <c r="B344" s="6"/>
      <c r="C344" s="20">
        <f>IFERROR(VLOOKUP(B344,ชื่อสินค้า!A:C,3,FALSE),)</f>
        <v>0</v>
      </c>
      <c r="D344" s="8" t="str">
        <f>IFERROR(VLOOKUP(B344,ชื่อสินค้า!A:D,4,FALSE),"")</f>
        <v/>
      </c>
      <c r="E344" s="9"/>
      <c r="F344" s="21" t="str">
        <f t="shared" si="10"/>
        <v/>
      </c>
      <c r="G344" s="22"/>
      <c r="H344" s="8">
        <f>IFERROR(VLOOKUP(G344,ซื้อสินค้า!H:I,2,FALSE),)</f>
        <v>0</v>
      </c>
      <c r="I344" s="21">
        <f>IFERROR(VLOOKUP(G344,ซื้อสินค้า!H:J,3,FALSE),)</f>
        <v>0</v>
      </c>
      <c r="J344" s="21">
        <f t="shared" si="11"/>
        <v>0</v>
      </c>
      <c r="K344" s="21">
        <f t="shared" si="12"/>
        <v>0</v>
      </c>
      <c r="L344" s="12">
        <f t="shared" si="13"/>
        <v>0</v>
      </c>
      <c r="M344" s="21">
        <f t="shared" si="14"/>
        <v>0</v>
      </c>
      <c r="N344" s="9" t="str">
        <f ca="1">IFERROR(__xludf.DUMMYFUNCTION("IF(G344&lt;&gt;"""",G344, IFERROR(TRANSPOSE(FILTER('ซื้อสินค้า'!H:H,'ซื้อสินค้า'!B:B=B344,'ซื้อสินค้า'!I:I&gt;0)),))"),"")</f>
        <v/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spans="1:32">
      <c r="A345" s="5"/>
      <c r="B345" s="6"/>
      <c r="C345" s="20">
        <f>IFERROR(VLOOKUP(B345,ชื่อสินค้า!A:C,3,FALSE),)</f>
        <v>0</v>
      </c>
      <c r="D345" s="8" t="str">
        <f>IFERROR(VLOOKUP(B345,ชื่อสินค้า!A:D,4,FALSE),"")</f>
        <v/>
      </c>
      <c r="E345" s="9"/>
      <c r="F345" s="21" t="str">
        <f t="shared" si="10"/>
        <v/>
      </c>
      <c r="G345" s="22"/>
      <c r="H345" s="8">
        <f>IFERROR(VLOOKUP(G345,ซื้อสินค้า!H:I,2,FALSE),)</f>
        <v>0</v>
      </c>
      <c r="I345" s="21">
        <f>IFERROR(VLOOKUP(G345,ซื้อสินค้า!H:J,3,FALSE),)</f>
        <v>0</v>
      </c>
      <c r="J345" s="21">
        <f t="shared" si="11"/>
        <v>0</v>
      </c>
      <c r="K345" s="21">
        <f t="shared" si="12"/>
        <v>0</v>
      </c>
      <c r="L345" s="12">
        <f t="shared" si="13"/>
        <v>0</v>
      </c>
      <c r="M345" s="21">
        <f t="shared" si="14"/>
        <v>0</v>
      </c>
      <c r="N345" s="9" t="str">
        <f ca="1">IFERROR(__xludf.DUMMYFUNCTION("IF(G345&lt;&gt;"""",G345, IFERROR(TRANSPOSE(FILTER('ซื้อสินค้า'!H:H,'ซื้อสินค้า'!B:B=B345,'ซื้อสินค้า'!I:I&gt;0)),))"),"")</f>
        <v/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spans="1:32">
      <c r="A346" s="5"/>
      <c r="B346" s="6"/>
      <c r="C346" s="20">
        <f>IFERROR(VLOOKUP(B346,ชื่อสินค้า!A:C,3,FALSE),)</f>
        <v>0</v>
      </c>
      <c r="D346" s="8" t="str">
        <f>IFERROR(VLOOKUP(B346,ชื่อสินค้า!A:D,4,FALSE),"")</f>
        <v/>
      </c>
      <c r="E346" s="9"/>
      <c r="F346" s="21" t="str">
        <f t="shared" si="10"/>
        <v/>
      </c>
      <c r="G346" s="22"/>
      <c r="H346" s="8">
        <f>IFERROR(VLOOKUP(G346,ซื้อสินค้า!H:I,2,FALSE),)</f>
        <v>0</v>
      </c>
      <c r="I346" s="21">
        <f>IFERROR(VLOOKUP(G346,ซื้อสินค้า!H:J,3,FALSE),)</f>
        <v>0</v>
      </c>
      <c r="J346" s="21">
        <f t="shared" si="11"/>
        <v>0</v>
      </c>
      <c r="K346" s="21">
        <f t="shared" si="12"/>
        <v>0</v>
      </c>
      <c r="L346" s="12">
        <f t="shared" si="13"/>
        <v>0</v>
      </c>
      <c r="M346" s="21">
        <f t="shared" si="14"/>
        <v>0</v>
      </c>
      <c r="N346" s="9" t="str">
        <f ca="1">IFERROR(__xludf.DUMMYFUNCTION("IF(G346&lt;&gt;"""",G346, IFERROR(TRANSPOSE(FILTER('ซื้อสินค้า'!H:H,'ซื้อสินค้า'!B:B=B346,'ซื้อสินค้า'!I:I&gt;0)),))"),"")</f>
        <v/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spans="1:32">
      <c r="A347" s="5"/>
      <c r="B347" s="6"/>
      <c r="C347" s="20">
        <f>IFERROR(VLOOKUP(B347,ชื่อสินค้า!A:C,3,FALSE),)</f>
        <v>0</v>
      </c>
      <c r="D347" s="8" t="str">
        <f>IFERROR(VLOOKUP(B347,ชื่อสินค้า!A:D,4,FALSE),"")</f>
        <v/>
      </c>
      <c r="E347" s="9"/>
      <c r="F347" s="21" t="str">
        <f t="shared" si="10"/>
        <v/>
      </c>
      <c r="G347" s="22"/>
      <c r="H347" s="8">
        <f>IFERROR(VLOOKUP(G347,ซื้อสินค้า!H:I,2,FALSE),)</f>
        <v>0</v>
      </c>
      <c r="I347" s="21">
        <f>IFERROR(VLOOKUP(G347,ซื้อสินค้า!H:J,3,FALSE),)</f>
        <v>0</v>
      </c>
      <c r="J347" s="21">
        <f t="shared" si="11"/>
        <v>0</v>
      </c>
      <c r="K347" s="21">
        <f t="shared" si="12"/>
        <v>0</v>
      </c>
      <c r="L347" s="12">
        <f t="shared" si="13"/>
        <v>0</v>
      </c>
      <c r="M347" s="21">
        <f t="shared" si="14"/>
        <v>0</v>
      </c>
      <c r="N347" s="9" t="str">
        <f ca="1">IFERROR(__xludf.DUMMYFUNCTION("IF(G347&lt;&gt;"""",G347, IFERROR(TRANSPOSE(FILTER('ซื้อสินค้า'!H:H,'ซื้อสินค้า'!B:B=B347,'ซื้อสินค้า'!I:I&gt;0)),))"),"")</f>
        <v/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spans="1:32">
      <c r="A348" s="5"/>
      <c r="B348" s="6"/>
      <c r="C348" s="20">
        <f>IFERROR(VLOOKUP(B348,ชื่อสินค้า!A:C,3,FALSE),)</f>
        <v>0</v>
      </c>
      <c r="D348" s="8" t="str">
        <f>IFERROR(VLOOKUP(B348,ชื่อสินค้า!A:D,4,FALSE),"")</f>
        <v/>
      </c>
      <c r="E348" s="9"/>
      <c r="F348" s="21" t="str">
        <f t="shared" si="10"/>
        <v/>
      </c>
      <c r="G348" s="22"/>
      <c r="H348" s="8">
        <f>IFERROR(VLOOKUP(G348,ซื้อสินค้า!H:I,2,FALSE),)</f>
        <v>0</v>
      </c>
      <c r="I348" s="21">
        <f>IFERROR(VLOOKUP(G348,ซื้อสินค้า!H:J,3,FALSE),)</f>
        <v>0</v>
      </c>
      <c r="J348" s="21">
        <f t="shared" si="11"/>
        <v>0</v>
      </c>
      <c r="K348" s="21">
        <f t="shared" si="12"/>
        <v>0</v>
      </c>
      <c r="L348" s="12">
        <f t="shared" si="13"/>
        <v>0</v>
      </c>
      <c r="M348" s="21">
        <f t="shared" si="14"/>
        <v>0</v>
      </c>
      <c r="N348" s="9" t="str">
        <f ca="1">IFERROR(__xludf.DUMMYFUNCTION("IF(G348&lt;&gt;"""",G348, IFERROR(TRANSPOSE(FILTER('ซื้อสินค้า'!H:H,'ซื้อสินค้า'!B:B=B348,'ซื้อสินค้า'!I:I&gt;0)),))"),"")</f>
        <v/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spans="1:32">
      <c r="A349" s="5"/>
      <c r="B349" s="6"/>
      <c r="C349" s="20">
        <f>IFERROR(VLOOKUP(B349,ชื่อสินค้า!A:C,3,FALSE),)</f>
        <v>0</v>
      </c>
      <c r="D349" s="8" t="str">
        <f>IFERROR(VLOOKUP(B349,ชื่อสินค้า!A:D,4,FALSE),"")</f>
        <v/>
      </c>
      <c r="E349" s="9"/>
      <c r="F349" s="21" t="str">
        <f t="shared" si="10"/>
        <v/>
      </c>
      <c r="G349" s="22"/>
      <c r="H349" s="8">
        <f>IFERROR(VLOOKUP(G349,ซื้อสินค้า!H:I,2,FALSE),)</f>
        <v>0</v>
      </c>
      <c r="I349" s="21">
        <f>IFERROR(VLOOKUP(G349,ซื้อสินค้า!H:J,3,FALSE),)</f>
        <v>0</v>
      </c>
      <c r="J349" s="21">
        <f t="shared" si="11"/>
        <v>0</v>
      </c>
      <c r="K349" s="21">
        <f t="shared" si="12"/>
        <v>0</v>
      </c>
      <c r="L349" s="12">
        <f t="shared" si="13"/>
        <v>0</v>
      </c>
      <c r="M349" s="21">
        <f t="shared" si="14"/>
        <v>0</v>
      </c>
      <c r="N349" s="9" t="str">
        <f ca="1">IFERROR(__xludf.DUMMYFUNCTION("IF(G349&lt;&gt;"""",G349, IFERROR(TRANSPOSE(FILTER('ซื้อสินค้า'!H:H,'ซื้อสินค้า'!B:B=B349,'ซื้อสินค้า'!I:I&gt;0)),))"),"")</f>
        <v/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spans="1:32">
      <c r="A350" s="5"/>
      <c r="B350" s="6"/>
      <c r="C350" s="20">
        <f>IFERROR(VLOOKUP(B350,ชื่อสินค้า!A:C,3,FALSE),)</f>
        <v>0</v>
      </c>
      <c r="D350" s="8" t="str">
        <f>IFERROR(VLOOKUP(B350,ชื่อสินค้า!A:D,4,FALSE),"")</f>
        <v/>
      </c>
      <c r="E350" s="9"/>
      <c r="F350" s="21" t="str">
        <f t="shared" si="10"/>
        <v/>
      </c>
      <c r="G350" s="22"/>
      <c r="H350" s="8">
        <f>IFERROR(VLOOKUP(G350,ซื้อสินค้า!H:I,2,FALSE),)</f>
        <v>0</v>
      </c>
      <c r="I350" s="21">
        <f>IFERROR(VLOOKUP(G350,ซื้อสินค้า!H:J,3,FALSE),)</f>
        <v>0</v>
      </c>
      <c r="J350" s="21">
        <f t="shared" si="11"/>
        <v>0</v>
      </c>
      <c r="K350" s="21">
        <f t="shared" si="12"/>
        <v>0</v>
      </c>
      <c r="L350" s="12">
        <f t="shared" si="13"/>
        <v>0</v>
      </c>
      <c r="M350" s="21">
        <f t="shared" si="14"/>
        <v>0</v>
      </c>
      <c r="N350" s="9" t="str">
        <f ca="1">IFERROR(__xludf.DUMMYFUNCTION("IF(G350&lt;&gt;"""",G350, IFERROR(TRANSPOSE(FILTER('ซื้อสินค้า'!H:H,'ซื้อสินค้า'!B:B=B350,'ซื้อสินค้า'!I:I&gt;0)),))"),"")</f>
        <v/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spans="1:32">
      <c r="A351" s="5"/>
      <c r="B351" s="6"/>
      <c r="C351" s="20">
        <f>IFERROR(VLOOKUP(B351,ชื่อสินค้า!A:C,3,FALSE),)</f>
        <v>0</v>
      </c>
      <c r="D351" s="8" t="str">
        <f>IFERROR(VLOOKUP(B351,ชื่อสินค้า!A:D,4,FALSE),"")</f>
        <v/>
      </c>
      <c r="E351" s="9"/>
      <c r="F351" s="21" t="str">
        <f t="shared" si="10"/>
        <v/>
      </c>
      <c r="G351" s="22"/>
      <c r="H351" s="8">
        <f>IFERROR(VLOOKUP(G351,ซื้อสินค้า!H:I,2,FALSE),)</f>
        <v>0</v>
      </c>
      <c r="I351" s="21">
        <f>IFERROR(VLOOKUP(G351,ซื้อสินค้า!H:J,3,FALSE),)</f>
        <v>0</v>
      </c>
      <c r="J351" s="21">
        <f t="shared" si="11"/>
        <v>0</v>
      </c>
      <c r="K351" s="21">
        <f t="shared" si="12"/>
        <v>0</v>
      </c>
      <c r="L351" s="12">
        <f t="shared" si="13"/>
        <v>0</v>
      </c>
      <c r="M351" s="21">
        <f t="shared" si="14"/>
        <v>0</v>
      </c>
      <c r="N351" s="9" t="str">
        <f ca="1">IFERROR(__xludf.DUMMYFUNCTION("IF(G351&lt;&gt;"""",G351, IFERROR(TRANSPOSE(FILTER('ซื้อสินค้า'!H:H,'ซื้อสินค้า'!B:B=B351,'ซื้อสินค้า'!I:I&gt;0)),))"),"")</f>
        <v/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spans="1:32">
      <c r="A352" s="5"/>
      <c r="B352" s="6"/>
      <c r="C352" s="20">
        <f>IFERROR(VLOOKUP(B352,ชื่อสินค้า!A:C,3,FALSE),)</f>
        <v>0</v>
      </c>
      <c r="D352" s="8" t="str">
        <f>IFERROR(VLOOKUP(B352,ชื่อสินค้า!A:D,4,FALSE),"")</f>
        <v/>
      </c>
      <c r="E352" s="9"/>
      <c r="F352" s="21" t="str">
        <f t="shared" si="10"/>
        <v/>
      </c>
      <c r="G352" s="22"/>
      <c r="H352" s="8">
        <f>IFERROR(VLOOKUP(G352,ซื้อสินค้า!H:I,2,FALSE),)</f>
        <v>0</v>
      </c>
      <c r="I352" s="21">
        <f>IFERROR(VLOOKUP(G352,ซื้อสินค้า!H:J,3,FALSE),)</f>
        <v>0</v>
      </c>
      <c r="J352" s="21">
        <f t="shared" si="11"/>
        <v>0</v>
      </c>
      <c r="K352" s="21">
        <f t="shared" si="12"/>
        <v>0</v>
      </c>
      <c r="L352" s="12">
        <f t="shared" si="13"/>
        <v>0</v>
      </c>
      <c r="M352" s="21">
        <f t="shared" si="14"/>
        <v>0</v>
      </c>
      <c r="N352" s="9" t="str">
        <f ca="1">IFERROR(__xludf.DUMMYFUNCTION("IF(G352&lt;&gt;"""",G352, IFERROR(TRANSPOSE(FILTER('ซื้อสินค้า'!H:H,'ซื้อสินค้า'!B:B=B352,'ซื้อสินค้า'!I:I&gt;0)),))"),"")</f>
        <v/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spans="1:32">
      <c r="A353" s="5"/>
      <c r="B353" s="6"/>
      <c r="C353" s="20">
        <f>IFERROR(VLOOKUP(B353,ชื่อสินค้า!A:C,3,FALSE),)</f>
        <v>0</v>
      </c>
      <c r="D353" s="8" t="str">
        <f>IFERROR(VLOOKUP(B353,ชื่อสินค้า!A:D,4,FALSE),"")</f>
        <v/>
      </c>
      <c r="E353" s="9"/>
      <c r="F353" s="21" t="str">
        <f t="shared" si="10"/>
        <v/>
      </c>
      <c r="G353" s="22"/>
      <c r="H353" s="8">
        <f>IFERROR(VLOOKUP(G353,ซื้อสินค้า!H:I,2,FALSE),)</f>
        <v>0</v>
      </c>
      <c r="I353" s="21">
        <f>IFERROR(VLOOKUP(G353,ซื้อสินค้า!H:J,3,FALSE),)</f>
        <v>0</v>
      </c>
      <c r="J353" s="21">
        <f t="shared" si="11"/>
        <v>0</v>
      </c>
      <c r="K353" s="21">
        <f t="shared" si="12"/>
        <v>0</v>
      </c>
      <c r="L353" s="12">
        <f t="shared" si="13"/>
        <v>0</v>
      </c>
      <c r="M353" s="21">
        <f t="shared" si="14"/>
        <v>0</v>
      </c>
      <c r="N353" s="9" t="str">
        <f ca="1">IFERROR(__xludf.DUMMYFUNCTION("IF(G353&lt;&gt;"""",G353, IFERROR(TRANSPOSE(FILTER('ซื้อสินค้า'!H:H,'ซื้อสินค้า'!B:B=B353,'ซื้อสินค้า'!I:I&gt;0)),))"),"")</f>
        <v/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spans="1:32">
      <c r="A354" s="5"/>
      <c r="B354" s="6"/>
      <c r="C354" s="20">
        <f>IFERROR(VLOOKUP(B354,ชื่อสินค้า!A:C,3,FALSE),)</f>
        <v>0</v>
      </c>
      <c r="D354" s="8" t="str">
        <f>IFERROR(VLOOKUP(B354,ชื่อสินค้า!A:D,4,FALSE),"")</f>
        <v/>
      </c>
      <c r="E354" s="9"/>
      <c r="F354" s="21" t="str">
        <f t="shared" si="10"/>
        <v/>
      </c>
      <c r="G354" s="22"/>
      <c r="H354" s="8">
        <f>IFERROR(VLOOKUP(G354,ซื้อสินค้า!H:I,2,FALSE),)</f>
        <v>0</v>
      </c>
      <c r="I354" s="21">
        <f>IFERROR(VLOOKUP(G354,ซื้อสินค้า!H:J,3,FALSE),)</f>
        <v>0</v>
      </c>
      <c r="J354" s="21">
        <f t="shared" si="11"/>
        <v>0</v>
      </c>
      <c r="K354" s="21">
        <f t="shared" si="12"/>
        <v>0</v>
      </c>
      <c r="L354" s="12">
        <f t="shared" si="13"/>
        <v>0</v>
      </c>
      <c r="M354" s="21">
        <f t="shared" si="14"/>
        <v>0</v>
      </c>
      <c r="N354" s="9" t="str">
        <f ca="1">IFERROR(__xludf.DUMMYFUNCTION("IF(G354&lt;&gt;"""",G354, IFERROR(TRANSPOSE(FILTER('ซื้อสินค้า'!H:H,'ซื้อสินค้า'!B:B=B354,'ซื้อสินค้า'!I:I&gt;0)),))"),"")</f>
        <v/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spans="1:32">
      <c r="A355" s="5"/>
      <c r="B355" s="6"/>
      <c r="C355" s="20">
        <f>IFERROR(VLOOKUP(B355,ชื่อสินค้า!A:C,3,FALSE),)</f>
        <v>0</v>
      </c>
      <c r="D355" s="8" t="str">
        <f>IFERROR(VLOOKUP(B355,ชื่อสินค้า!A:D,4,FALSE),"")</f>
        <v/>
      </c>
      <c r="E355" s="9"/>
      <c r="F355" s="21" t="str">
        <f t="shared" si="10"/>
        <v/>
      </c>
      <c r="G355" s="22"/>
      <c r="H355" s="8">
        <f>IFERROR(VLOOKUP(G355,ซื้อสินค้า!H:I,2,FALSE),)</f>
        <v>0</v>
      </c>
      <c r="I355" s="21">
        <f>IFERROR(VLOOKUP(G355,ซื้อสินค้า!H:J,3,FALSE),)</f>
        <v>0</v>
      </c>
      <c r="J355" s="21">
        <f t="shared" si="11"/>
        <v>0</v>
      </c>
      <c r="K355" s="21">
        <f t="shared" si="12"/>
        <v>0</v>
      </c>
      <c r="L355" s="12">
        <f t="shared" si="13"/>
        <v>0</v>
      </c>
      <c r="M355" s="21">
        <f t="shared" si="14"/>
        <v>0</v>
      </c>
      <c r="N355" s="9" t="str">
        <f ca="1">IFERROR(__xludf.DUMMYFUNCTION("IF(G355&lt;&gt;"""",G355, IFERROR(TRANSPOSE(FILTER('ซื้อสินค้า'!H:H,'ซื้อสินค้า'!B:B=B355,'ซื้อสินค้า'!I:I&gt;0)),))"),"")</f>
        <v/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spans="1:32">
      <c r="A356" s="5"/>
      <c r="B356" s="6"/>
      <c r="C356" s="20">
        <f>IFERROR(VLOOKUP(B356,ชื่อสินค้า!A:C,3,FALSE),)</f>
        <v>0</v>
      </c>
      <c r="D356" s="8" t="str">
        <f>IFERROR(VLOOKUP(B356,ชื่อสินค้า!A:D,4,FALSE),"")</f>
        <v/>
      </c>
      <c r="E356" s="9"/>
      <c r="F356" s="21" t="str">
        <f t="shared" si="10"/>
        <v/>
      </c>
      <c r="G356" s="22"/>
      <c r="H356" s="8">
        <f>IFERROR(VLOOKUP(G356,ซื้อสินค้า!H:I,2,FALSE),)</f>
        <v>0</v>
      </c>
      <c r="I356" s="21">
        <f>IFERROR(VLOOKUP(G356,ซื้อสินค้า!H:J,3,FALSE),)</f>
        <v>0</v>
      </c>
      <c r="J356" s="21">
        <f t="shared" si="11"/>
        <v>0</v>
      </c>
      <c r="K356" s="21">
        <f t="shared" si="12"/>
        <v>0</v>
      </c>
      <c r="L356" s="12">
        <f t="shared" si="13"/>
        <v>0</v>
      </c>
      <c r="M356" s="21">
        <f t="shared" si="14"/>
        <v>0</v>
      </c>
      <c r="N356" s="9" t="str">
        <f ca="1">IFERROR(__xludf.DUMMYFUNCTION("IF(G356&lt;&gt;"""",G356, IFERROR(TRANSPOSE(FILTER('ซื้อสินค้า'!H:H,'ซื้อสินค้า'!B:B=B356,'ซื้อสินค้า'!I:I&gt;0)),))"),"")</f>
        <v/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spans="1:32">
      <c r="A357" s="5"/>
      <c r="B357" s="6"/>
      <c r="C357" s="20">
        <f>IFERROR(VLOOKUP(B357,ชื่อสินค้า!A:C,3,FALSE),)</f>
        <v>0</v>
      </c>
      <c r="D357" s="8" t="str">
        <f>IFERROR(VLOOKUP(B357,ชื่อสินค้า!A:D,4,FALSE),"")</f>
        <v/>
      </c>
      <c r="E357" s="9"/>
      <c r="F357" s="21" t="str">
        <f t="shared" si="10"/>
        <v/>
      </c>
      <c r="G357" s="22"/>
      <c r="H357" s="8">
        <f>IFERROR(VLOOKUP(G357,ซื้อสินค้า!H:I,2,FALSE),)</f>
        <v>0</v>
      </c>
      <c r="I357" s="21">
        <f>IFERROR(VLOOKUP(G357,ซื้อสินค้า!H:J,3,FALSE),)</f>
        <v>0</v>
      </c>
      <c r="J357" s="21">
        <f t="shared" si="11"/>
        <v>0</v>
      </c>
      <c r="K357" s="21">
        <f t="shared" si="12"/>
        <v>0</v>
      </c>
      <c r="L357" s="12">
        <f t="shared" si="13"/>
        <v>0</v>
      </c>
      <c r="M357" s="21">
        <f t="shared" si="14"/>
        <v>0</v>
      </c>
      <c r="N357" s="9" t="str">
        <f ca="1">IFERROR(__xludf.DUMMYFUNCTION("IF(G357&lt;&gt;"""",G357, IFERROR(TRANSPOSE(FILTER('ซื้อสินค้า'!H:H,'ซื้อสินค้า'!B:B=B357,'ซื้อสินค้า'!I:I&gt;0)),))"),"")</f>
        <v/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spans="1:32">
      <c r="A358" s="5"/>
      <c r="B358" s="6"/>
      <c r="C358" s="20">
        <f>IFERROR(VLOOKUP(B358,ชื่อสินค้า!A:C,3,FALSE),)</f>
        <v>0</v>
      </c>
      <c r="D358" s="8" t="str">
        <f>IFERROR(VLOOKUP(B358,ชื่อสินค้า!A:D,4,FALSE),"")</f>
        <v/>
      </c>
      <c r="E358" s="9"/>
      <c r="F358" s="21" t="str">
        <f t="shared" si="10"/>
        <v/>
      </c>
      <c r="G358" s="22"/>
      <c r="H358" s="8">
        <f>IFERROR(VLOOKUP(G358,ซื้อสินค้า!H:I,2,FALSE),)</f>
        <v>0</v>
      </c>
      <c r="I358" s="21">
        <f>IFERROR(VLOOKUP(G358,ซื้อสินค้า!H:J,3,FALSE),)</f>
        <v>0</v>
      </c>
      <c r="J358" s="21">
        <f t="shared" si="11"/>
        <v>0</v>
      </c>
      <c r="K358" s="21">
        <f t="shared" si="12"/>
        <v>0</v>
      </c>
      <c r="L358" s="12">
        <f t="shared" si="13"/>
        <v>0</v>
      </c>
      <c r="M358" s="21">
        <f t="shared" si="14"/>
        <v>0</v>
      </c>
      <c r="N358" s="9" t="str">
        <f ca="1">IFERROR(__xludf.DUMMYFUNCTION("IF(G358&lt;&gt;"""",G358, IFERROR(TRANSPOSE(FILTER('ซื้อสินค้า'!H:H,'ซื้อสินค้า'!B:B=B358,'ซื้อสินค้า'!I:I&gt;0)),))"),"")</f>
        <v/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spans="1:32">
      <c r="A359" s="5"/>
      <c r="B359" s="6"/>
      <c r="C359" s="20">
        <f>IFERROR(VLOOKUP(B359,ชื่อสินค้า!A:C,3,FALSE),)</f>
        <v>0</v>
      </c>
      <c r="D359" s="8" t="str">
        <f>IFERROR(VLOOKUP(B359,ชื่อสินค้า!A:D,4,FALSE),"")</f>
        <v/>
      </c>
      <c r="E359" s="9"/>
      <c r="F359" s="21" t="str">
        <f t="shared" si="10"/>
        <v/>
      </c>
      <c r="G359" s="22"/>
      <c r="H359" s="8">
        <f>IFERROR(VLOOKUP(G359,ซื้อสินค้า!H:I,2,FALSE),)</f>
        <v>0</v>
      </c>
      <c r="I359" s="21">
        <f>IFERROR(VLOOKUP(G359,ซื้อสินค้า!H:J,3,FALSE),)</f>
        <v>0</v>
      </c>
      <c r="J359" s="21">
        <f t="shared" si="11"/>
        <v>0</v>
      </c>
      <c r="K359" s="21">
        <f t="shared" si="12"/>
        <v>0</v>
      </c>
      <c r="L359" s="12">
        <f t="shared" si="13"/>
        <v>0</v>
      </c>
      <c r="M359" s="21">
        <f t="shared" si="14"/>
        <v>0</v>
      </c>
      <c r="N359" s="9" t="str">
        <f ca="1">IFERROR(__xludf.DUMMYFUNCTION("IF(G359&lt;&gt;"""",G359, IFERROR(TRANSPOSE(FILTER('ซื้อสินค้า'!H:H,'ซื้อสินค้า'!B:B=B359,'ซื้อสินค้า'!I:I&gt;0)),))"),"")</f>
        <v/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spans="1:32">
      <c r="A360" s="5"/>
      <c r="B360" s="6"/>
      <c r="C360" s="20">
        <f>IFERROR(VLOOKUP(B360,ชื่อสินค้า!A:C,3,FALSE),)</f>
        <v>0</v>
      </c>
      <c r="D360" s="8" t="str">
        <f>IFERROR(VLOOKUP(B360,ชื่อสินค้า!A:D,4,FALSE),"")</f>
        <v/>
      </c>
      <c r="E360" s="9"/>
      <c r="F360" s="21" t="str">
        <f t="shared" si="10"/>
        <v/>
      </c>
      <c r="G360" s="22"/>
      <c r="H360" s="8">
        <f>IFERROR(VLOOKUP(G360,ซื้อสินค้า!H:I,2,FALSE),)</f>
        <v>0</v>
      </c>
      <c r="I360" s="21">
        <f>IFERROR(VLOOKUP(G360,ซื้อสินค้า!H:J,3,FALSE),)</f>
        <v>0</v>
      </c>
      <c r="J360" s="21">
        <f t="shared" si="11"/>
        <v>0</v>
      </c>
      <c r="K360" s="21">
        <f t="shared" si="12"/>
        <v>0</v>
      </c>
      <c r="L360" s="12">
        <f t="shared" si="13"/>
        <v>0</v>
      </c>
      <c r="M360" s="21">
        <f t="shared" si="14"/>
        <v>0</v>
      </c>
      <c r="N360" s="9" t="str">
        <f ca="1">IFERROR(__xludf.DUMMYFUNCTION("IF(G360&lt;&gt;"""",G360, IFERROR(TRANSPOSE(FILTER('ซื้อสินค้า'!H:H,'ซื้อสินค้า'!B:B=B360,'ซื้อสินค้า'!I:I&gt;0)),))"),"")</f>
        <v/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spans="1:32">
      <c r="A361" s="5"/>
      <c r="B361" s="6"/>
      <c r="C361" s="20">
        <f>IFERROR(VLOOKUP(B361,ชื่อสินค้า!A:C,3,FALSE),)</f>
        <v>0</v>
      </c>
      <c r="D361" s="8" t="str">
        <f>IFERROR(VLOOKUP(B361,ชื่อสินค้า!A:D,4,FALSE),"")</f>
        <v/>
      </c>
      <c r="E361" s="9"/>
      <c r="F361" s="21" t="str">
        <f t="shared" si="10"/>
        <v/>
      </c>
      <c r="G361" s="22"/>
      <c r="H361" s="8">
        <f>IFERROR(VLOOKUP(G361,ซื้อสินค้า!H:I,2,FALSE),)</f>
        <v>0</v>
      </c>
      <c r="I361" s="21">
        <f>IFERROR(VLOOKUP(G361,ซื้อสินค้า!H:J,3,FALSE),)</f>
        <v>0</v>
      </c>
      <c r="J361" s="21">
        <f t="shared" si="11"/>
        <v>0</v>
      </c>
      <c r="K361" s="21">
        <f t="shared" si="12"/>
        <v>0</v>
      </c>
      <c r="L361" s="12">
        <f t="shared" si="13"/>
        <v>0</v>
      </c>
      <c r="M361" s="21">
        <f t="shared" si="14"/>
        <v>0</v>
      </c>
      <c r="N361" s="9" t="str">
        <f ca="1">IFERROR(__xludf.DUMMYFUNCTION("IF(G361&lt;&gt;"""",G361, IFERROR(TRANSPOSE(FILTER('ซื้อสินค้า'!H:H,'ซื้อสินค้า'!B:B=B361,'ซื้อสินค้า'!I:I&gt;0)),))"),"")</f>
        <v/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spans="1:32">
      <c r="A362" s="5"/>
      <c r="B362" s="6"/>
      <c r="C362" s="20">
        <f>IFERROR(VLOOKUP(B362,ชื่อสินค้า!A:C,3,FALSE),)</f>
        <v>0</v>
      </c>
      <c r="D362" s="8" t="str">
        <f>IFERROR(VLOOKUP(B362,ชื่อสินค้า!A:D,4,FALSE),"")</f>
        <v/>
      </c>
      <c r="E362" s="9"/>
      <c r="F362" s="21" t="str">
        <f t="shared" si="10"/>
        <v/>
      </c>
      <c r="G362" s="22"/>
      <c r="H362" s="8">
        <f>IFERROR(VLOOKUP(G362,ซื้อสินค้า!H:I,2,FALSE),)</f>
        <v>0</v>
      </c>
      <c r="I362" s="21">
        <f>IFERROR(VLOOKUP(G362,ซื้อสินค้า!H:J,3,FALSE),)</f>
        <v>0</v>
      </c>
      <c r="J362" s="21">
        <f t="shared" si="11"/>
        <v>0</v>
      </c>
      <c r="K362" s="21">
        <f t="shared" si="12"/>
        <v>0</v>
      </c>
      <c r="L362" s="12">
        <f t="shared" si="13"/>
        <v>0</v>
      </c>
      <c r="M362" s="21">
        <f t="shared" si="14"/>
        <v>0</v>
      </c>
      <c r="N362" s="9" t="str">
        <f ca="1">IFERROR(__xludf.DUMMYFUNCTION("IF(G362&lt;&gt;"""",G362, IFERROR(TRANSPOSE(FILTER('ซื้อสินค้า'!H:H,'ซื้อสินค้า'!B:B=B362,'ซื้อสินค้า'!I:I&gt;0)),))"),"")</f>
        <v/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spans="1:32">
      <c r="A363" s="5"/>
      <c r="B363" s="6"/>
      <c r="C363" s="20">
        <f>IFERROR(VLOOKUP(B363,ชื่อสินค้า!A:C,3,FALSE),)</f>
        <v>0</v>
      </c>
      <c r="D363" s="8" t="str">
        <f>IFERROR(VLOOKUP(B363,ชื่อสินค้า!A:D,4,FALSE),"")</f>
        <v/>
      </c>
      <c r="E363" s="9"/>
      <c r="F363" s="21" t="str">
        <f t="shared" si="10"/>
        <v/>
      </c>
      <c r="G363" s="22"/>
      <c r="H363" s="8">
        <f>IFERROR(VLOOKUP(G363,ซื้อสินค้า!H:I,2,FALSE),)</f>
        <v>0</v>
      </c>
      <c r="I363" s="21">
        <f>IFERROR(VLOOKUP(G363,ซื้อสินค้า!H:J,3,FALSE),)</f>
        <v>0</v>
      </c>
      <c r="J363" s="21">
        <f t="shared" si="11"/>
        <v>0</v>
      </c>
      <c r="K363" s="21">
        <f t="shared" si="12"/>
        <v>0</v>
      </c>
      <c r="L363" s="12">
        <f t="shared" si="13"/>
        <v>0</v>
      </c>
      <c r="M363" s="21">
        <f t="shared" si="14"/>
        <v>0</v>
      </c>
      <c r="N363" s="9" t="str">
        <f ca="1">IFERROR(__xludf.DUMMYFUNCTION("IF(G363&lt;&gt;"""",G363, IFERROR(TRANSPOSE(FILTER('ซื้อสินค้า'!H:H,'ซื้อสินค้า'!B:B=B363,'ซื้อสินค้า'!I:I&gt;0)),))"),"")</f>
        <v/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>
      <c r="A364" s="5"/>
      <c r="B364" s="6"/>
      <c r="C364" s="20">
        <f>IFERROR(VLOOKUP(B364,ชื่อสินค้า!A:C,3,FALSE),)</f>
        <v>0</v>
      </c>
      <c r="D364" s="8" t="str">
        <f>IFERROR(VLOOKUP(B364,ชื่อสินค้า!A:D,4,FALSE),"")</f>
        <v/>
      </c>
      <c r="E364" s="9"/>
      <c r="F364" s="21" t="str">
        <f t="shared" si="10"/>
        <v/>
      </c>
      <c r="G364" s="22"/>
      <c r="H364" s="8">
        <f>IFERROR(VLOOKUP(G364,ซื้อสินค้า!H:I,2,FALSE),)</f>
        <v>0</v>
      </c>
      <c r="I364" s="21">
        <f>IFERROR(VLOOKUP(G364,ซื้อสินค้า!H:J,3,FALSE),)</f>
        <v>0</v>
      </c>
      <c r="J364" s="21">
        <f t="shared" si="11"/>
        <v>0</v>
      </c>
      <c r="K364" s="21">
        <f t="shared" si="12"/>
        <v>0</v>
      </c>
      <c r="L364" s="12">
        <f t="shared" si="13"/>
        <v>0</v>
      </c>
      <c r="M364" s="21">
        <f t="shared" si="14"/>
        <v>0</v>
      </c>
      <c r="N364" s="9" t="str">
        <f ca="1">IFERROR(__xludf.DUMMYFUNCTION("IF(G364&lt;&gt;"""",G364, IFERROR(TRANSPOSE(FILTER('ซื้อสินค้า'!H:H,'ซื้อสินค้า'!B:B=B364,'ซื้อสินค้า'!I:I&gt;0)),))"),"")</f>
        <v/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>
      <c r="A365" s="5"/>
      <c r="B365" s="6"/>
      <c r="C365" s="20">
        <f>IFERROR(VLOOKUP(B365,ชื่อสินค้า!A:C,3,FALSE),)</f>
        <v>0</v>
      </c>
      <c r="D365" s="8" t="str">
        <f>IFERROR(VLOOKUP(B365,ชื่อสินค้า!A:D,4,FALSE),"")</f>
        <v/>
      </c>
      <c r="E365" s="9"/>
      <c r="F365" s="21" t="str">
        <f t="shared" si="10"/>
        <v/>
      </c>
      <c r="G365" s="22"/>
      <c r="H365" s="8">
        <f>IFERROR(VLOOKUP(G365,ซื้อสินค้า!H:I,2,FALSE),)</f>
        <v>0</v>
      </c>
      <c r="I365" s="21">
        <f>IFERROR(VLOOKUP(G365,ซื้อสินค้า!H:J,3,FALSE),)</f>
        <v>0</v>
      </c>
      <c r="J365" s="21">
        <f t="shared" si="11"/>
        <v>0</v>
      </c>
      <c r="K365" s="21">
        <f t="shared" si="12"/>
        <v>0</v>
      </c>
      <c r="L365" s="12">
        <f t="shared" si="13"/>
        <v>0</v>
      </c>
      <c r="M365" s="21">
        <f t="shared" si="14"/>
        <v>0</v>
      </c>
      <c r="N365" s="9" t="str">
        <f ca="1">IFERROR(__xludf.DUMMYFUNCTION("IF(G365&lt;&gt;"""",G365, IFERROR(TRANSPOSE(FILTER('ซื้อสินค้า'!H:H,'ซื้อสินค้า'!B:B=B365,'ซื้อสินค้า'!I:I&gt;0)),))"),"")</f>
        <v/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>
      <c r="A366" s="5"/>
      <c r="B366" s="6"/>
      <c r="C366" s="20">
        <f>IFERROR(VLOOKUP(B366,ชื่อสินค้า!A:C,3,FALSE),)</f>
        <v>0</v>
      </c>
      <c r="D366" s="8" t="str">
        <f>IFERROR(VLOOKUP(B366,ชื่อสินค้า!A:D,4,FALSE),"")</f>
        <v/>
      </c>
      <c r="E366" s="9"/>
      <c r="F366" s="21" t="str">
        <f t="shared" si="10"/>
        <v/>
      </c>
      <c r="G366" s="22"/>
      <c r="H366" s="8">
        <f>IFERROR(VLOOKUP(G366,ซื้อสินค้า!H:I,2,FALSE),)</f>
        <v>0</v>
      </c>
      <c r="I366" s="21">
        <f>IFERROR(VLOOKUP(G366,ซื้อสินค้า!H:J,3,FALSE),)</f>
        <v>0</v>
      </c>
      <c r="J366" s="21">
        <f t="shared" si="11"/>
        <v>0</v>
      </c>
      <c r="K366" s="21">
        <f t="shared" si="12"/>
        <v>0</v>
      </c>
      <c r="L366" s="12">
        <f t="shared" si="13"/>
        <v>0</v>
      </c>
      <c r="M366" s="21">
        <f t="shared" si="14"/>
        <v>0</v>
      </c>
      <c r="N366" s="9" t="str">
        <f ca="1">IFERROR(__xludf.DUMMYFUNCTION("IF(G366&lt;&gt;"""",G366, IFERROR(TRANSPOSE(FILTER('ซื้อสินค้า'!H:H,'ซื้อสินค้า'!B:B=B366,'ซื้อสินค้า'!I:I&gt;0)),))"),"")</f>
        <v/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>
      <c r="A367" s="5"/>
      <c r="B367" s="6"/>
      <c r="C367" s="20">
        <f>IFERROR(VLOOKUP(B367,ชื่อสินค้า!A:C,3,FALSE),)</f>
        <v>0</v>
      </c>
      <c r="D367" s="8" t="str">
        <f>IFERROR(VLOOKUP(B367,ชื่อสินค้า!A:D,4,FALSE),"")</f>
        <v/>
      </c>
      <c r="E367" s="9"/>
      <c r="F367" s="21" t="str">
        <f t="shared" si="10"/>
        <v/>
      </c>
      <c r="G367" s="22"/>
      <c r="H367" s="8">
        <f>IFERROR(VLOOKUP(G367,ซื้อสินค้า!H:I,2,FALSE),)</f>
        <v>0</v>
      </c>
      <c r="I367" s="21">
        <f>IFERROR(VLOOKUP(G367,ซื้อสินค้า!H:J,3,FALSE),)</f>
        <v>0</v>
      </c>
      <c r="J367" s="21">
        <f t="shared" si="11"/>
        <v>0</v>
      </c>
      <c r="K367" s="21">
        <f t="shared" si="12"/>
        <v>0</v>
      </c>
      <c r="L367" s="12">
        <f t="shared" si="13"/>
        <v>0</v>
      </c>
      <c r="M367" s="21">
        <f t="shared" si="14"/>
        <v>0</v>
      </c>
      <c r="N367" s="9" t="str">
        <f ca="1">IFERROR(__xludf.DUMMYFUNCTION("IF(G367&lt;&gt;"""",G367, IFERROR(TRANSPOSE(FILTER('ซื้อสินค้า'!H:H,'ซื้อสินค้า'!B:B=B367,'ซื้อสินค้า'!I:I&gt;0)),))"),"")</f>
        <v/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>
      <c r="A368" s="5"/>
      <c r="B368" s="6"/>
      <c r="C368" s="20">
        <f>IFERROR(VLOOKUP(B368,ชื่อสินค้า!A:C,3,FALSE),)</f>
        <v>0</v>
      </c>
      <c r="D368" s="8" t="str">
        <f>IFERROR(VLOOKUP(B368,ชื่อสินค้า!A:D,4,FALSE),"")</f>
        <v/>
      </c>
      <c r="E368" s="9"/>
      <c r="F368" s="21" t="str">
        <f t="shared" si="10"/>
        <v/>
      </c>
      <c r="G368" s="22"/>
      <c r="H368" s="8">
        <f>IFERROR(VLOOKUP(G368,ซื้อสินค้า!H:I,2,FALSE),)</f>
        <v>0</v>
      </c>
      <c r="I368" s="21">
        <f>IFERROR(VLOOKUP(G368,ซื้อสินค้า!H:J,3,FALSE),)</f>
        <v>0</v>
      </c>
      <c r="J368" s="21">
        <f t="shared" si="11"/>
        <v>0</v>
      </c>
      <c r="K368" s="21">
        <f t="shared" si="12"/>
        <v>0</v>
      </c>
      <c r="L368" s="12">
        <f t="shared" si="13"/>
        <v>0</v>
      </c>
      <c r="M368" s="21">
        <f t="shared" si="14"/>
        <v>0</v>
      </c>
      <c r="N368" s="9" t="str">
        <f ca="1">IFERROR(__xludf.DUMMYFUNCTION("IF(G368&lt;&gt;"""",G368, IFERROR(TRANSPOSE(FILTER('ซื้อสินค้า'!H:H,'ซื้อสินค้า'!B:B=B368,'ซื้อสินค้า'!I:I&gt;0)),))"),"")</f>
        <v/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>
      <c r="A369" s="5"/>
      <c r="B369" s="6"/>
      <c r="C369" s="20">
        <f>IFERROR(VLOOKUP(B369,ชื่อสินค้า!A:C,3,FALSE),)</f>
        <v>0</v>
      </c>
      <c r="D369" s="8" t="str">
        <f>IFERROR(VLOOKUP(B369,ชื่อสินค้า!A:D,4,FALSE),"")</f>
        <v/>
      </c>
      <c r="E369" s="9"/>
      <c r="F369" s="21" t="str">
        <f t="shared" si="10"/>
        <v/>
      </c>
      <c r="G369" s="22"/>
      <c r="H369" s="8">
        <f>IFERROR(VLOOKUP(G369,ซื้อสินค้า!H:I,2,FALSE),)</f>
        <v>0</v>
      </c>
      <c r="I369" s="21">
        <f>IFERROR(VLOOKUP(G369,ซื้อสินค้า!H:J,3,FALSE),)</f>
        <v>0</v>
      </c>
      <c r="J369" s="21">
        <f t="shared" si="11"/>
        <v>0</v>
      </c>
      <c r="K369" s="21">
        <f t="shared" si="12"/>
        <v>0</v>
      </c>
      <c r="L369" s="12">
        <f t="shared" si="13"/>
        <v>0</v>
      </c>
      <c r="M369" s="21">
        <f t="shared" si="14"/>
        <v>0</v>
      </c>
      <c r="N369" s="9" t="str">
        <f ca="1">IFERROR(__xludf.DUMMYFUNCTION("IF(G369&lt;&gt;"""",G369, IFERROR(TRANSPOSE(FILTER('ซื้อสินค้า'!H:H,'ซื้อสินค้า'!B:B=B369,'ซื้อสินค้า'!I:I&gt;0)),))"),"")</f>
        <v/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>
      <c r="A370" s="5"/>
      <c r="B370" s="6"/>
      <c r="C370" s="20">
        <f>IFERROR(VLOOKUP(B370,ชื่อสินค้า!A:C,3,FALSE),)</f>
        <v>0</v>
      </c>
      <c r="D370" s="8" t="str">
        <f>IFERROR(VLOOKUP(B370,ชื่อสินค้า!A:D,4,FALSE),"")</f>
        <v/>
      </c>
      <c r="E370" s="9"/>
      <c r="F370" s="21" t="str">
        <f t="shared" si="10"/>
        <v/>
      </c>
      <c r="G370" s="22"/>
      <c r="H370" s="8">
        <f>IFERROR(VLOOKUP(G370,ซื้อสินค้า!H:I,2,FALSE),)</f>
        <v>0</v>
      </c>
      <c r="I370" s="21">
        <f>IFERROR(VLOOKUP(G370,ซื้อสินค้า!H:J,3,FALSE),)</f>
        <v>0</v>
      </c>
      <c r="J370" s="21">
        <f t="shared" si="11"/>
        <v>0</v>
      </c>
      <c r="K370" s="21">
        <f t="shared" si="12"/>
        <v>0</v>
      </c>
      <c r="L370" s="12">
        <f t="shared" si="13"/>
        <v>0</v>
      </c>
      <c r="M370" s="21">
        <f t="shared" si="14"/>
        <v>0</v>
      </c>
      <c r="N370" s="9" t="str">
        <f ca="1">IFERROR(__xludf.DUMMYFUNCTION("IF(G370&lt;&gt;"""",G370, IFERROR(TRANSPOSE(FILTER('ซื้อสินค้า'!H:H,'ซื้อสินค้า'!B:B=B370,'ซื้อสินค้า'!I:I&gt;0)),))"),"")</f>
        <v/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>
      <c r="A371" s="5"/>
      <c r="B371" s="6"/>
      <c r="C371" s="20">
        <f>IFERROR(VLOOKUP(B371,ชื่อสินค้า!A:C,3,FALSE),)</f>
        <v>0</v>
      </c>
      <c r="D371" s="8" t="str">
        <f>IFERROR(VLOOKUP(B371,ชื่อสินค้า!A:D,4,FALSE),"")</f>
        <v/>
      </c>
      <c r="E371" s="9"/>
      <c r="F371" s="21" t="str">
        <f t="shared" si="10"/>
        <v/>
      </c>
      <c r="G371" s="22"/>
      <c r="H371" s="8">
        <f>IFERROR(VLOOKUP(G371,ซื้อสินค้า!H:I,2,FALSE),)</f>
        <v>0</v>
      </c>
      <c r="I371" s="21">
        <f>IFERROR(VLOOKUP(G371,ซื้อสินค้า!H:J,3,FALSE),)</f>
        <v>0</v>
      </c>
      <c r="J371" s="21">
        <f t="shared" si="11"/>
        <v>0</v>
      </c>
      <c r="K371" s="21">
        <f t="shared" si="12"/>
        <v>0</v>
      </c>
      <c r="L371" s="12">
        <f t="shared" si="13"/>
        <v>0</v>
      </c>
      <c r="M371" s="21">
        <f t="shared" si="14"/>
        <v>0</v>
      </c>
      <c r="N371" s="9" t="str">
        <f ca="1">IFERROR(__xludf.DUMMYFUNCTION("IF(G371&lt;&gt;"""",G371, IFERROR(TRANSPOSE(FILTER('ซื้อสินค้า'!H:H,'ซื้อสินค้า'!B:B=B371,'ซื้อสินค้า'!I:I&gt;0)),))"),"")</f>
        <v/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>
      <c r="A372" s="5"/>
      <c r="B372" s="6"/>
      <c r="C372" s="20">
        <f>IFERROR(VLOOKUP(B372,ชื่อสินค้า!A:C,3,FALSE),)</f>
        <v>0</v>
      </c>
      <c r="D372" s="8" t="str">
        <f>IFERROR(VLOOKUP(B372,ชื่อสินค้า!A:D,4,FALSE),"")</f>
        <v/>
      </c>
      <c r="E372" s="9"/>
      <c r="F372" s="21" t="str">
        <f t="shared" si="10"/>
        <v/>
      </c>
      <c r="G372" s="22"/>
      <c r="H372" s="8">
        <f>IFERROR(VLOOKUP(G372,ซื้อสินค้า!H:I,2,FALSE),)</f>
        <v>0</v>
      </c>
      <c r="I372" s="21">
        <f>IFERROR(VLOOKUP(G372,ซื้อสินค้า!H:J,3,FALSE),)</f>
        <v>0</v>
      </c>
      <c r="J372" s="21">
        <f t="shared" si="11"/>
        <v>0</v>
      </c>
      <c r="K372" s="21">
        <f t="shared" si="12"/>
        <v>0</v>
      </c>
      <c r="L372" s="12">
        <f t="shared" si="13"/>
        <v>0</v>
      </c>
      <c r="M372" s="21">
        <f t="shared" si="14"/>
        <v>0</v>
      </c>
      <c r="N372" s="9" t="str">
        <f ca="1">IFERROR(__xludf.DUMMYFUNCTION("IF(G372&lt;&gt;"""",G372, IFERROR(TRANSPOSE(FILTER('ซื้อสินค้า'!H:H,'ซื้อสินค้า'!B:B=B372,'ซื้อสินค้า'!I:I&gt;0)),))"),"")</f>
        <v/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>
      <c r="A373" s="5"/>
      <c r="B373" s="6"/>
      <c r="C373" s="20">
        <f>IFERROR(VLOOKUP(B373,ชื่อสินค้า!A:C,3,FALSE),)</f>
        <v>0</v>
      </c>
      <c r="D373" s="8" t="str">
        <f>IFERROR(VLOOKUP(B373,ชื่อสินค้า!A:D,4,FALSE),"")</f>
        <v/>
      </c>
      <c r="E373" s="9"/>
      <c r="F373" s="21" t="str">
        <f t="shared" si="10"/>
        <v/>
      </c>
      <c r="G373" s="22"/>
      <c r="H373" s="8">
        <f>IFERROR(VLOOKUP(G373,ซื้อสินค้า!H:I,2,FALSE),)</f>
        <v>0</v>
      </c>
      <c r="I373" s="21">
        <f>IFERROR(VLOOKUP(G373,ซื้อสินค้า!H:J,3,FALSE),)</f>
        <v>0</v>
      </c>
      <c r="J373" s="21">
        <f t="shared" si="11"/>
        <v>0</v>
      </c>
      <c r="K373" s="21">
        <f t="shared" si="12"/>
        <v>0</v>
      </c>
      <c r="L373" s="12">
        <f t="shared" si="13"/>
        <v>0</v>
      </c>
      <c r="M373" s="21">
        <f t="shared" si="14"/>
        <v>0</v>
      </c>
      <c r="N373" s="9" t="str">
        <f ca="1">IFERROR(__xludf.DUMMYFUNCTION("IF(G373&lt;&gt;"""",G373, IFERROR(TRANSPOSE(FILTER('ซื้อสินค้า'!H:H,'ซื้อสินค้า'!B:B=B373,'ซื้อสินค้า'!I:I&gt;0)),))"),"")</f>
        <v/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>
      <c r="A374" s="5"/>
      <c r="B374" s="6"/>
      <c r="C374" s="20">
        <f>IFERROR(VLOOKUP(B374,ชื่อสินค้า!A:C,3,FALSE),)</f>
        <v>0</v>
      </c>
      <c r="D374" s="8" t="str">
        <f>IFERROR(VLOOKUP(B374,ชื่อสินค้า!A:D,4,FALSE),"")</f>
        <v/>
      </c>
      <c r="E374" s="9"/>
      <c r="F374" s="21" t="str">
        <f t="shared" si="10"/>
        <v/>
      </c>
      <c r="G374" s="22"/>
      <c r="H374" s="8">
        <f>IFERROR(VLOOKUP(G374,ซื้อสินค้า!H:I,2,FALSE),)</f>
        <v>0</v>
      </c>
      <c r="I374" s="21">
        <f>IFERROR(VLOOKUP(G374,ซื้อสินค้า!H:J,3,FALSE),)</f>
        <v>0</v>
      </c>
      <c r="J374" s="21">
        <f t="shared" si="11"/>
        <v>0</v>
      </c>
      <c r="K374" s="21">
        <f t="shared" si="12"/>
        <v>0</v>
      </c>
      <c r="L374" s="12">
        <f t="shared" si="13"/>
        <v>0</v>
      </c>
      <c r="M374" s="21">
        <f t="shared" si="14"/>
        <v>0</v>
      </c>
      <c r="N374" s="9" t="str">
        <f ca="1">IFERROR(__xludf.DUMMYFUNCTION("IF(G374&lt;&gt;"""",G374, IFERROR(TRANSPOSE(FILTER('ซื้อสินค้า'!H:H,'ซื้อสินค้า'!B:B=B374,'ซื้อสินค้า'!I:I&gt;0)),))"),"")</f>
        <v/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>
      <c r="A375" s="5"/>
      <c r="B375" s="6"/>
      <c r="C375" s="20">
        <f>IFERROR(VLOOKUP(B375,ชื่อสินค้า!A:C,3,FALSE),)</f>
        <v>0</v>
      </c>
      <c r="D375" s="8" t="str">
        <f>IFERROR(VLOOKUP(B375,ชื่อสินค้า!A:D,4,FALSE),"")</f>
        <v/>
      </c>
      <c r="E375" s="9"/>
      <c r="F375" s="21" t="str">
        <f t="shared" si="10"/>
        <v/>
      </c>
      <c r="G375" s="22"/>
      <c r="H375" s="8">
        <f>IFERROR(VLOOKUP(G375,ซื้อสินค้า!H:I,2,FALSE),)</f>
        <v>0</v>
      </c>
      <c r="I375" s="21">
        <f>IFERROR(VLOOKUP(G375,ซื้อสินค้า!H:J,3,FALSE),)</f>
        <v>0</v>
      </c>
      <c r="J375" s="21">
        <f t="shared" si="11"/>
        <v>0</v>
      </c>
      <c r="K375" s="21">
        <f t="shared" si="12"/>
        <v>0</v>
      </c>
      <c r="L375" s="12">
        <f t="shared" si="13"/>
        <v>0</v>
      </c>
      <c r="M375" s="21">
        <f t="shared" si="14"/>
        <v>0</v>
      </c>
      <c r="N375" s="9" t="str">
        <f ca="1">IFERROR(__xludf.DUMMYFUNCTION("IF(G375&lt;&gt;"""",G375, IFERROR(TRANSPOSE(FILTER('ซื้อสินค้า'!H:H,'ซื้อสินค้า'!B:B=B375,'ซื้อสินค้า'!I:I&gt;0)),))"),"")</f>
        <v/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>
      <c r="A376" s="5"/>
      <c r="B376" s="6"/>
      <c r="C376" s="20">
        <f>IFERROR(VLOOKUP(B376,ชื่อสินค้า!A:C,3,FALSE),)</f>
        <v>0</v>
      </c>
      <c r="D376" s="8" t="str">
        <f>IFERROR(VLOOKUP(B376,ชื่อสินค้า!A:D,4,FALSE),"")</f>
        <v/>
      </c>
      <c r="E376" s="9"/>
      <c r="F376" s="21" t="str">
        <f t="shared" si="10"/>
        <v/>
      </c>
      <c r="G376" s="22"/>
      <c r="H376" s="8">
        <f>IFERROR(VLOOKUP(G376,ซื้อสินค้า!H:I,2,FALSE),)</f>
        <v>0</v>
      </c>
      <c r="I376" s="21">
        <f>IFERROR(VLOOKUP(G376,ซื้อสินค้า!H:J,3,FALSE),)</f>
        <v>0</v>
      </c>
      <c r="J376" s="21">
        <f t="shared" si="11"/>
        <v>0</v>
      </c>
      <c r="K376" s="21">
        <f t="shared" si="12"/>
        <v>0</v>
      </c>
      <c r="L376" s="12">
        <f t="shared" si="13"/>
        <v>0</v>
      </c>
      <c r="M376" s="21">
        <f t="shared" si="14"/>
        <v>0</v>
      </c>
      <c r="N376" s="9" t="str">
        <f ca="1">IFERROR(__xludf.DUMMYFUNCTION("IF(G376&lt;&gt;"""",G376, IFERROR(TRANSPOSE(FILTER('ซื้อสินค้า'!H:H,'ซื้อสินค้า'!B:B=B376,'ซื้อสินค้า'!I:I&gt;0)),))"),"")</f>
        <v/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>
      <c r="A377" s="5"/>
      <c r="B377" s="6"/>
      <c r="C377" s="20">
        <f>IFERROR(VLOOKUP(B377,ชื่อสินค้า!A:C,3,FALSE),)</f>
        <v>0</v>
      </c>
      <c r="D377" s="8" t="str">
        <f>IFERROR(VLOOKUP(B377,ชื่อสินค้า!A:D,4,FALSE),"")</f>
        <v/>
      </c>
      <c r="E377" s="9"/>
      <c r="F377" s="21" t="str">
        <f t="shared" si="10"/>
        <v/>
      </c>
      <c r="G377" s="22"/>
      <c r="H377" s="8">
        <f>IFERROR(VLOOKUP(G377,ซื้อสินค้า!H:I,2,FALSE),)</f>
        <v>0</v>
      </c>
      <c r="I377" s="21">
        <f>IFERROR(VLOOKUP(G377,ซื้อสินค้า!H:J,3,FALSE),)</f>
        <v>0</v>
      </c>
      <c r="J377" s="21">
        <f t="shared" si="11"/>
        <v>0</v>
      </c>
      <c r="K377" s="21">
        <f t="shared" si="12"/>
        <v>0</v>
      </c>
      <c r="L377" s="12">
        <f t="shared" si="13"/>
        <v>0</v>
      </c>
      <c r="M377" s="21">
        <f t="shared" si="14"/>
        <v>0</v>
      </c>
      <c r="N377" s="9" t="str">
        <f ca="1">IFERROR(__xludf.DUMMYFUNCTION("IF(G377&lt;&gt;"""",G377, IFERROR(TRANSPOSE(FILTER('ซื้อสินค้า'!H:H,'ซื้อสินค้า'!B:B=B377,'ซื้อสินค้า'!I:I&gt;0)),))"),"")</f>
        <v/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>
      <c r="A378" s="5"/>
      <c r="B378" s="6"/>
      <c r="C378" s="20">
        <f>IFERROR(VLOOKUP(B378,ชื่อสินค้า!A:C,3,FALSE),)</f>
        <v>0</v>
      </c>
      <c r="D378" s="8" t="str">
        <f>IFERROR(VLOOKUP(B378,ชื่อสินค้า!A:D,4,FALSE),"")</f>
        <v/>
      </c>
      <c r="E378" s="9"/>
      <c r="F378" s="21" t="str">
        <f t="shared" si="10"/>
        <v/>
      </c>
      <c r="G378" s="22"/>
      <c r="H378" s="8">
        <f>IFERROR(VLOOKUP(G378,ซื้อสินค้า!H:I,2,FALSE),)</f>
        <v>0</v>
      </c>
      <c r="I378" s="21">
        <f>IFERROR(VLOOKUP(G378,ซื้อสินค้า!H:J,3,FALSE),)</f>
        <v>0</v>
      </c>
      <c r="J378" s="21">
        <f t="shared" si="11"/>
        <v>0</v>
      </c>
      <c r="K378" s="21">
        <f t="shared" si="12"/>
        <v>0</v>
      </c>
      <c r="L378" s="12">
        <f t="shared" si="13"/>
        <v>0</v>
      </c>
      <c r="M378" s="21">
        <f t="shared" si="14"/>
        <v>0</v>
      </c>
      <c r="N378" s="9" t="str">
        <f ca="1">IFERROR(__xludf.DUMMYFUNCTION("IF(G378&lt;&gt;"""",G378, IFERROR(TRANSPOSE(FILTER('ซื้อสินค้า'!H:H,'ซื้อสินค้า'!B:B=B378,'ซื้อสินค้า'!I:I&gt;0)),))"),"")</f>
        <v/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>
      <c r="A379" s="5"/>
      <c r="B379" s="6"/>
      <c r="C379" s="20">
        <f>IFERROR(VLOOKUP(B379,ชื่อสินค้า!A:C,3,FALSE),)</f>
        <v>0</v>
      </c>
      <c r="D379" s="8" t="str">
        <f>IFERROR(VLOOKUP(B379,ชื่อสินค้า!A:D,4,FALSE),"")</f>
        <v/>
      </c>
      <c r="E379" s="9"/>
      <c r="F379" s="21" t="str">
        <f t="shared" si="10"/>
        <v/>
      </c>
      <c r="G379" s="22"/>
      <c r="H379" s="8">
        <f>IFERROR(VLOOKUP(G379,ซื้อสินค้า!H:I,2,FALSE),)</f>
        <v>0</v>
      </c>
      <c r="I379" s="21">
        <f>IFERROR(VLOOKUP(G379,ซื้อสินค้า!H:J,3,FALSE),)</f>
        <v>0</v>
      </c>
      <c r="J379" s="21">
        <f t="shared" si="11"/>
        <v>0</v>
      </c>
      <c r="K379" s="21">
        <f t="shared" si="12"/>
        <v>0</v>
      </c>
      <c r="L379" s="12">
        <f t="shared" si="13"/>
        <v>0</v>
      </c>
      <c r="M379" s="21">
        <f t="shared" si="14"/>
        <v>0</v>
      </c>
      <c r="N379" s="9" t="str">
        <f ca="1">IFERROR(__xludf.DUMMYFUNCTION("IF(G379&lt;&gt;"""",G379, IFERROR(TRANSPOSE(FILTER('ซื้อสินค้า'!H:H,'ซื้อสินค้า'!B:B=B379,'ซื้อสินค้า'!I:I&gt;0)),))"),"")</f>
        <v/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>
      <c r="A380" s="5"/>
      <c r="B380" s="6"/>
      <c r="C380" s="20">
        <f>IFERROR(VLOOKUP(B380,ชื่อสินค้า!A:C,3,FALSE),)</f>
        <v>0</v>
      </c>
      <c r="D380" s="8" t="str">
        <f>IFERROR(VLOOKUP(B380,ชื่อสินค้า!A:D,4,FALSE),"")</f>
        <v/>
      </c>
      <c r="E380" s="9"/>
      <c r="F380" s="21" t="str">
        <f t="shared" si="10"/>
        <v/>
      </c>
      <c r="G380" s="22"/>
      <c r="H380" s="8">
        <f>IFERROR(VLOOKUP(G380,ซื้อสินค้า!H:I,2,FALSE),)</f>
        <v>0</v>
      </c>
      <c r="I380" s="21">
        <f>IFERROR(VLOOKUP(G380,ซื้อสินค้า!H:J,3,FALSE),)</f>
        <v>0</v>
      </c>
      <c r="J380" s="21">
        <f t="shared" si="11"/>
        <v>0</v>
      </c>
      <c r="K380" s="21">
        <f t="shared" si="12"/>
        <v>0</v>
      </c>
      <c r="L380" s="12">
        <f t="shared" si="13"/>
        <v>0</v>
      </c>
      <c r="M380" s="21">
        <f t="shared" si="14"/>
        <v>0</v>
      </c>
      <c r="N380" s="9" t="str">
        <f ca="1">IFERROR(__xludf.DUMMYFUNCTION("IF(G380&lt;&gt;"""",G380, IFERROR(TRANSPOSE(FILTER('ซื้อสินค้า'!H:H,'ซื้อสินค้า'!B:B=B380,'ซื้อสินค้า'!I:I&gt;0)),))"),"")</f>
        <v/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>
      <c r="A381" s="5"/>
      <c r="B381" s="6"/>
      <c r="C381" s="20">
        <f>IFERROR(VLOOKUP(B381,ชื่อสินค้า!A:C,3,FALSE),)</f>
        <v>0</v>
      </c>
      <c r="D381" s="8" t="str">
        <f>IFERROR(VLOOKUP(B381,ชื่อสินค้า!A:D,4,FALSE),"")</f>
        <v/>
      </c>
      <c r="E381" s="9"/>
      <c r="F381" s="21" t="str">
        <f t="shared" si="10"/>
        <v/>
      </c>
      <c r="G381" s="22"/>
      <c r="H381" s="8">
        <f>IFERROR(VLOOKUP(G381,ซื้อสินค้า!H:I,2,FALSE),)</f>
        <v>0</v>
      </c>
      <c r="I381" s="21">
        <f>IFERROR(VLOOKUP(G381,ซื้อสินค้า!H:J,3,FALSE),)</f>
        <v>0</v>
      </c>
      <c r="J381" s="21">
        <f t="shared" si="11"/>
        <v>0</v>
      </c>
      <c r="K381" s="21">
        <f t="shared" si="12"/>
        <v>0</v>
      </c>
      <c r="L381" s="12">
        <f t="shared" si="13"/>
        <v>0</v>
      </c>
      <c r="M381" s="21">
        <f t="shared" si="14"/>
        <v>0</v>
      </c>
      <c r="N381" s="9" t="str">
        <f ca="1">IFERROR(__xludf.DUMMYFUNCTION("IF(G381&lt;&gt;"""",G381, IFERROR(TRANSPOSE(FILTER('ซื้อสินค้า'!H:H,'ซื้อสินค้า'!B:B=B381,'ซื้อสินค้า'!I:I&gt;0)),))"),"")</f>
        <v/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>
      <c r="A382" s="5"/>
      <c r="B382" s="6"/>
      <c r="C382" s="20">
        <f>IFERROR(VLOOKUP(B382,ชื่อสินค้า!A:C,3,FALSE),)</f>
        <v>0</v>
      </c>
      <c r="D382" s="8" t="str">
        <f>IFERROR(VLOOKUP(B382,ชื่อสินค้า!A:D,4,FALSE),"")</f>
        <v/>
      </c>
      <c r="E382" s="9"/>
      <c r="F382" s="21" t="str">
        <f t="shared" si="10"/>
        <v/>
      </c>
      <c r="G382" s="22"/>
      <c r="H382" s="8">
        <f>IFERROR(VLOOKUP(G382,ซื้อสินค้า!H:I,2,FALSE),)</f>
        <v>0</v>
      </c>
      <c r="I382" s="21">
        <f>IFERROR(VLOOKUP(G382,ซื้อสินค้า!H:J,3,FALSE),)</f>
        <v>0</v>
      </c>
      <c r="J382" s="21">
        <f t="shared" si="11"/>
        <v>0</v>
      </c>
      <c r="K382" s="21">
        <f t="shared" si="12"/>
        <v>0</v>
      </c>
      <c r="L382" s="12">
        <f t="shared" si="13"/>
        <v>0</v>
      </c>
      <c r="M382" s="21">
        <f t="shared" si="14"/>
        <v>0</v>
      </c>
      <c r="N382" s="9" t="str">
        <f ca="1">IFERROR(__xludf.DUMMYFUNCTION("IF(G382&lt;&gt;"""",G382, IFERROR(TRANSPOSE(FILTER('ซื้อสินค้า'!H:H,'ซื้อสินค้า'!B:B=B382,'ซื้อสินค้า'!I:I&gt;0)),))"),"")</f>
        <v/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>
      <c r="A383" s="5"/>
      <c r="B383" s="6"/>
      <c r="C383" s="20">
        <f>IFERROR(VLOOKUP(B383,ชื่อสินค้า!A:C,3,FALSE),)</f>
        <v>0</v>
      </c>
      <c r="D383" s="8" t="str">
        <f>IFERROR(VLOOKUP(B383,ชื่อสินค้า!A:D,4,FALSE),"")</f>
        <v/>
      </c>
      <c r="E383" s="9"/>
      <c r="F383" s="21" t="str">
        <f t="shared" si="10"/>
        <v/>
      </c>
      <c r="G383" s="22"/>
      <c r="H383" s="8">
        <f>IFERROR(VLOOKUP(G383,ซื้อสินค้า!H:I,2,FALSE),)</f>
        <v>0</v>
      </c>
      <c r="I383" s="21">
        <f>IFERROR(VLOOKUP(G383,ซื้อสินค้า!H:J,3,FALSE),)</f>
        <v>0</v>
      </c>
      <c r="J383" s="21">
        <f t="shared" si="11"/>
        <v>0</v>
      </c>
      <c r="K383" s="21">
        <f t="shared" si="12"/>
        <v>0</v>
      </c>
      <c r="L383" s="12">
        <f t="shared" si="13"/>
        <v>0</v>
      </c>
      <c r="M383" s="21">
        <f t="shared" si="14"/>
        <v>0</v>
      </c>
      <c r="N383" s="9" t="str">
        <f ca="1">IFERROR(__xludf.DUMMYFUNCTION("IF(G383&lt;&gt;"""",G383, IFERROR(TRANSPOSE(FILTER('ซื้อสินค้า'!H:H,'ซื้อสินค้า'!B:B=B383,'ซื้อสินค้า'!I:I&gt;0)),))"),"")</f>
        <v/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>
      <c r="A384" s="5"/>
      <c r="B384" s="6"/>
      <c r="C384" s="20">
        <f>IFERROR(VLOOKUP(B384,ชื่อสินค้า!A:C,3,FALSE),)</f>
        <v>0</v>
      </c>
      <c r="D384" s="8" t="str">
        <f>IFERROR(VLOOKUP(B384,ชื่อสินค้า!A:D,4,FALSE),"")</f>
        <v/>
      </c>
      <c r="E384" s="9"/>
      <c r="F384" s="21" t="str">
        <f t="shared" si="10"/>
        <v/>
      </c>
      <c r="G384" s="22"/>
      <c r="H384" s="8">
        <f>IFERROR(VLOOKUP(G384,ซื้อสินค้า!H:I,2,FALSE),)</f>
        <v>0</v>
      </c>
      <c r="I384" s="21">
        <f>IFERROR(VLOOKUP(G384,ซื้อสินค้า!H:J,3,FALSE),)</f>
        <v>0</v>
      </c>
      <c r="J384" s="21">
        <f t="shared" si="11"/>
        <v>0</v>
      </c>
      <c r="K384" s="21">
        <f t="shared" si="12"/>
        <v>0</v>
      </c>
      <c r="L384" s="12">
        <f t="shared" si="13"/>
        <v>0</v>
      </c>
      <c r="M384" s="21">
        <f t="shared" si="14"/>
        <v>0</v>
      </c>
      <c r="N384" s="9" t="str">
        <f ca="1">IFERROR(__xludf.DUMMYFUNCTION("IF(G384&lt;&gt;"""",G384, IFERROR(TRANSPOSE(FILTER('ซื้อสินค้า'!H:H,'ซื้อสินค้า'!B:B=B384,'ซื้อสินค้า'!I:I&gt;0)),))"),"")</f>
        <v/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>
      <c r="A385" s="5"/>
      <c r="B385" s="6"/>
      <c r="C385" s="20">
        <f>IFERROR(VLOOKUP(B385,ชื่อสินค้า!A:C,3,FALSE),)</f>
        <v>0</v>
      </c>
      <c r="D385" s="8" t="str">
        <f>IFERROR(VLOOKUP(B385,ชื่อสินค้า!A:D,4,FALSE),"")</f>
        <v/>
      </c>
      <c r="E385" s="9"/>
      <c r="F385" s="21" t="str">
        <f t="shared" si="10"/>
        <v/>
      </c>
      <c r="G385" s="22"/>
      <c r="H385" s="8">
        <f>IFERROR(VLOOKUP(G385,ซื้อสินค้า!H:I,2,FALSE),)</f>
        <v>0</v>
      </c>
      <c r="I385" s="21">
        <f>IFERROR(VLOOKUP(G385,ซื้อสินค้า!H:J,3,FALSE),)</f>
        <v>0</v>
      </c>
      <c r="J385" s="21">
        <f t="shared" si="11"/>
        <v>0</v>
      </c>
      <c r="K385" s="21">
        <f t="shared" si="12"/>
        <v>0</v>
      </c>
      <c r="L385" s="12">
        <f t="shared" si="13"/>
        <v>0</v>
      </c>
      <c r="M385" s="21">
        <f t="shared" si="14"/>
        <v>0</v>
      </c>
      <c r="N385" s="9" t="str">
        <f ca="1">IFERROR(__xludf.DUMMYFUNCTION("IF(G385&lt;&gt;"""",G385, IFERROR(TRANSPOSE(FILTER('ซื้อสินค้า'!H:H,'ซื้อสินค้า'!B:B=B385,'ซื้อสินค้า'!I:I&gt;0)),))"),"")</f>
        <v/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>
      <c r="A386" s="5"/>
      <c r="B386" s="6"/>
      <c r="C386" s="20">
        <f>IFERROR(VLOOKUP(B386,ชื่อสินค้า!A:C,3,FALSE),)</f>
        <v>0</v>
      </c>
      <c r="D386" s="8" t="str">
        <f>IFERROR(VLOOKUP(B386,ชื่อสินค้า!A:D,4,FALSE),"")</f>
        <v/>
      </c>
      <c r="E386" s="9"/>
      <c r="F386" s="21" t="str">
        <f t="shared" si="10"/>
        <v/>
      </c>
      <c r="G386" s="22"/>
      <c r="H386" s="8">
        <f>IFERROR(VLOOKUP(G386,ซื้อสินค้า!H:I,2,FALSE),)</f>
        <v>0</v>
      </c>
      <c r="I386" s="21">
        <f>IFERROR(VLOOKUP(G386,ซื้อสินค้า!H:J,3,FALSE),)</f>
        <v>0</v>
      </c>
      <c r="J386" s="21">
        <f t="shared" si="11"/>
        <v>0</v>
      </c>
      <c r="K386" s="21">
        <f t="shared" si="12"/>
        <v>0</v>
      </c>
      <c r="L386" s="12">
        <f t="shared" si="13"/>
        <v>0</v>
      </c>
      <c r="M386" s="21">
        <f t="shared" si="14"/>
        <v>0</v>
      </c>
      <c r="N386" s="9" t="str">
        <f ca="1">IFERROR(__xludf.DUMMYFUNCTION("IF(G386&lt;&gt;"""",G386, IFERROR(TRANSPOSE(FILTER('ซื้อสินค้า'!H:H,'ซื้อสินค้า'!B:B=B386,'ซื้อสินค้า'!I:I&gt;0)),))"),"")</f>
        <v/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>
      <c r="A387" s="5"/>
      <c r="B387" s="6"/>
      <c r="C387" s="20">
        <f>IFERROR(VLOOKUP(B387,ชื่อสินค้า!A:C,3,FALSE),)</f>
        <v>0</v>
      </c>
      <c r="D387" s="8" t="str">
        <f>IFERROR(VLOOKUP(B387,ชื่อสินค้า!A:D,4,FALSE),"")</f>
        <v/>
      </c>
      <c r="E387" s="9"/>
      <c r="F387" s="21" t="str">
        <f t="shared" si="10"/>
        <v/>
      </c>
      <c r="G387" s="22"/>
      <c r="H387" s="8">
        <f>IFERROR(VLOOKUP(G387,ซื้อสินค้า!H:I,2,FALSE),)</f>
        <v>0</v>
      </c>
      <c r="I387" s="21">
        <f>IFERROR(VLOOKUP(G387,ซื้อสินค้า!H:J,3,FALSE),)</f>
        <v>0</v>
      </c>
      <c r="J387" s="21">
        <f t="shared" si="11"/>
        <v>0</v>
      </c>
      <c r="K387" s="21">
        <f t="shared" si="12"/>
        <v>0</v>
      </c>
      <c r="L387" s="12">
        <f t="shared" si="13"/>
        <v>0</v>
      </c>
      <c r="M387" s="21">
        <f t="shared" si="14"/>
        <v>0</v>
      </c>
      <c r="N387" s="9" t="str">
        <f ca="1">IFERROR(__xludf.DUMMYFUNCTION("IF(G387&lt;&gt;"""",G387, IFERROR(TRANSPOSE(FILTER('ซื้อสินค้า'!H:H,'ซื้อสินค้า'!B:B=B387,'ซื้อสินค้า'!I:I&gt;0)),))"),"")</f>
        <v/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>
      <c r="A388" s="5"/>
      <c r="B388" s="6"/>
      <c r="C388" s="20">
        <f>IFERROR(VLOOKUP(B388,ชื่อสินค้า!A:C,3,FALSE),)</f>
        <v>0</v>
      </c>
      <c r="D388" s="8" t="str">
        <f>IFERROR(VLOOKUP(B388,ชื่อสินค้า!A:D,4,FALSE),"")</f>
        <v/>
      </c>
      <c r="E388" s="9"/>
      <c r="F388" s="21" t="str">
        <f t="shared" si="10"/>
        <v/>
      </c>
      <c r="G388" s="22"/>
      <c r="H388" s="8">
        <f>IFERROR(VLOOKUP(G388,ซื้อสินค้า!H:I,2,FALSE),)</f>
        <v>0</v>
      </c>
      <c r="I388" s="21">
        <f>IFERROR(VLOOKUP(G388,ซื้อสินค้า!H:J,3,FALSE),)</f>
        <v>0</v>
      </c>
      <c r="J388" s="21">
        <f t="shared" si="11"/>
        <v>0</v>
      </c>
      <c r="K388" s="21">
        <f t="shared" si="12"/>
        <v>0</v>
      </c>
      <c r="L388" s="12">
        <f t="shared" si="13"/>
        <v>0</v>
      </c>
      <c r="M388" s="21">
        <f t="shared" si="14"/>
        <v>0</v>
      </c>
      <c r="N388" s="9" t="str">
        <f ca="1">IFERROR(__xludf.DUMMYFUNCTION("IF(G388&lt;&gt;"""",G388, IFERROR(TRANSPOSE(FILTER('ซื้อสินค้า'!H:H,'ซื้อสินค้า'!B:B=B388,'ซื้อสินค้า'!I:I&gt;0)),))"),"")</f>
        <v/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>
      <c r="A389" s="5"/>
      <c r="B389" s="6"/>
      <c r="C389" s="20">
        <f>IFERROR(VLOOKUP(B389,ชื่อสินค้า!A:C,3,FALSE),)</f>
        <v>0</v>
      </c>
      <c r="D389" s="8" t="str">
        <f>IFERROR(VLOOKUP(B389,ชื่อสินค้า!A:D,4,FALSE),"")</f>
        <v/>
      </c>
      <c r="E389" s="9"/>
      <c r="F389" s="21" t="str">
        <f t="shared" si="10"/>
        <v/>
      </c>
      <c r="G389" s="22"/>
      <c r="H389" s="8">
        <f>IFERROR(VLOOKUP(G389,ซื้อสินค้า!H:I,2,FALSE),)</f>
        <v>0</v>
      </c>
      <c r="I389" s="21">
        <f>IFERROR(VLOOKUP(G389,ซื้อสินค้า!H:J,3,FALSE),)</f>
        <v>0</v>
      </c>
      <c r="J389" s="21">
        <f t="shared" si="11"/>
        <v>0</v>
      </c>
      <c r="K389" s="21">
        <f t="shared" si="12"/>
        <v>0</v>
      </c>
      <c r="L389" s="12">
        <f t="shared" si="13"/>
        <v>0</v>
      </c>
      <c r="M389" s="21">
        <f t="shared" si="14"/>
        <v>0</v>
      </c>
      <c r="N389" s="9" t="str">
        <f ca="1">IFERROR(__xludf.DUMMYFUNCTION("IF(G389&lt;&gt;"""",G389, IFERROR(TRANSPOSE(FILTER('ซื้อสินค้า'!H:H,'ซื้อสินค้า'!B:B=B389,'ซื้อสินค้า'!I:I&gt;0)),))"),"")</f>
        <v/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>
      <c r="A390" s="5"/>
      <c r="B390" s="6"/>
      <c r="C390" s="20">
        <f>IFERROR(VLOOKUP(B390,ชื่อสินค้า!A:C,3,FALSE),)</f>
        <v>0</v>
      </c>
      <c r="D390" s="8" t="str">
        <f>IFERROR(VLOOKUP(B390,ชื่อสินค้า!A:D,4,FALSE),"")</f>
        <v/>
      </c>
      <c r="E390" s="9"/>
      <c r="F390" s="21" t="str">
        <f t="shared" si="10"/>
        <v/>
      </c>
      <c r="G390" s="22"/>
      <c r="H390" s="8">
        <f>IFERROR(VLOOKUP(G390,ซื้อสินค้า!H:I,2,FALSE),)</f>
        <v>0</v>
      </c>
      <c r="I390" s="21">
        <f>IFERROR(VLOOKUP(G390,ซื้อสินค้า!H:J,3,FALSE),)</f>
        <v>0</v>
      </c>
      <c r="J390" s="21">
        <f t="shared" si="11"/>
        <v>0</v>
      </c>
      <c r="K390" s="21">
        <f t="shared" si="12"/>
        <v>0</v>
      </c>
      <c r="L390" s="12">
        <f t="shared" si="13"/>
        <v>0</v>
      </c>
      <c r="M390" s="21">
        <f t="shared" si="14"/>
        <v>0</v>
      </c>
      <c r="N390" s="9" t="str">
        <f ca="1">IFERROR(__xludf.DUMMYFUNCTION("IF(G390&lt;&gt;"""",G390, IFERROR(TRANSPOSE(FILTER('ซื้อสินค้า'!H:H,'ซื้อสินค้า'!B:B=B390,'ซื้อสินค้า'!I:I&gt;0)),))"),"")</f>
        <v/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>
      <c r="A391" s="5"/>
      <c r="B391" s="6"/>
      <c r="C391" s="20">
        <f>IFERROR(VLOOKUP(B391,ชื่อสินค้า!A:C,3,FALSE),)</f>
        <v>0</v>
      </c>
      <c r="D391" s="8" t="str">
        <f>IFERROR(VLOOKUP(B391,ชื่อสินค้า!A:D,4,FALSE),"")</f>
        <v/>
      </c>
      <c r="E391" s="9"/>
      <c r="F391" s="21" t="str">
        <f t="shared" si="10"/>
        <v/>
      </c>
      <c r="G391" s="22"/>
      <c r="H391" s="8">
        <f>IFERROR(VLOOKUP(G391,ซื้อสินค้า!H:I,2,FALSE),)</f>
        <v>0</v>
      </c>
      <c r="I391" s="21">
        <f>IFERROR(VLOOKUP(G391,ซื้อสินค้า!H:J,3,FALSE),)</f>
        <v>0</v>
      </c>
      <c r="J391" s="21">
        <f t="shared" si="11"/>
        <v>0</v>
      </c>
      <c r="K391" s="21">
        <f t="shared" si="12"/>
        <v>0</v>
      </c>
      <c r="L391" s="12">
        <f t="shared" si="13"/>
        <v>0</v>
      </c>
      <c r="M391" s="21">
        <f t="shared" si="14"/>
        <v>0</v>
      </c>
      <c r="N391" s="9" t="str">
        <f ca="1">IFERROR(__xludf.DUMMYFUNCTION("IF(G391&lt;&gt;"""",G391, IFERROR(TRANSPOSE(FILTER('ซื้อสินค้า'!H:H,'ซื้อสินค้า'!B:B=B391,'ซื้อสินค้า'!I:I&gt;0)),))"),"")</f>
        <v/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>
      <c r="A392" s="5"/>
      <c r="B392" s="6"/>
      <c r="C392" s="20">
        <f>IFERROR(VLOOKUP(B392,ชื่อสินค้า!A:C,3,FALSE),)</f>
        <v>0</v>
      </c>
      <c r="D392" s="8" t="str">
        <f>IFERROR(VLOOKUP(B392,ชื่อสินค้า!A:D,4,FALSE),"")</f>
        <v/>
      </c>
      <c r="E392" s="9"/>
      <c r="F392" s="21" t="str">
        <f t="shared" si="10"/>
        <v/>
      </c>
      <c r="G392" s="22"/>
      <c r="H392" s="8">
        <f>IFERROR(VLOOKUP(G392,ซื้อสินค้า!H:I,2,FALSE),)</f>
        <v>0</v>
      </c>
      <c r="I392" s="21">
        <f>IFERROR(VLOOKUP(G392,ซื้อสินค้า!H:J,3,FALSE),)</f>
        <v>0</v>
      </c>
      <c r="J392" s="21">
        <f t="shared" si="11"/>
        <v>0</v>
      </c>
      <c r="K392" s="21">
        <f t="shared" si="12"/>
        <v>0</v>
      </c>
      <c r="L392" s="12">
        <f t="shared" si="13"/>
        <v>0</v>
      </c>
      <c r="M392" s="21">
        <f t="shared" si="14"/>
        <v>0</v>
      </c>
      <c r="N392" s="9" t="str">
        <f ca="1">IFERROR(__xludf.DUMMYFUNCTION("IF(G392&lt;&gt;"""",G392, IFERROR(TRANSPOSE(FILTER('ซื้อสินค้า'!H:H,'ซื้อสินค้า'!B:B=B392,'ซื้อสินค้า'!I:I&gt;0)),))"),"")</f>
        <v/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>
      <c r="A393" s="5"/>
      <c r="B393" s="6"/>
      <c r="C393" s="20">
        <f>IFERROR(VLOOKUP(B393,ชื่อสินค้า!A:C,3,FALSE),)</f>
        <v>0</v>
      </c>
      <c r="D393" s="8" t="str">
        <f>IFERROR(VLOOKUP(B393,ชื่อสินค้า!A:D,4,FALSE),"")</f>
        <v/>
      </c>
      <c r="E393" s="9"/>
      <c r="F393" s="21" t="str">
        <f t="shared" si="10"/>
        <v/>
      </c>
      <c r="G393" s="22"/>
      <c r="H393" s="8">
        <f>IFERROR(VLOOKUP(G393,ซื้อสินค้า!H:I,2,FALSE),)</f>
        <v>0</v>
      </c>
      <c r="I393" s="21">
        <f>IFERROR(VLOOKUP(G393,ซื้อสินค้า!H:J,3,FALSE),)</f>
        <v>0</v>
      </c>
      <c r="J393" s="21">
        <f t="shared" si="11"/>
        <v>0</v>
      </c>
      <c r="K393" s="21">
        <f t="shared" si="12"/>
        <v>0</v>
      </c>
      <c r="L393" s="12">
        <f t="shared" si="13"/>
        <v>0</v>
      </c>
      <c r="M393" s="21">
        <f t="shared" si="14"/>
        <v>0</v>
      </c>
      <c r="N393" s="9" t="str">
        <f ca="1">IFERROR(__xludf.DUMMYFUNCTION("IF(G393&lt;&gt;"""",G393, IFERROR(TRANSPOSE(FILTER('ซื้อสินค้า'!H:H,'ซื้อสินค้า'!B:B=B393,'ซื้อสินค้า'!I:I&gt;0)),))"),"")</f>
        <v/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>
      <c r="A394" s="5"/>
      <c r="B394" s="6"/>
      <c r="C394" s="20">
        <f>IFERROR(VLOOKUP(B394,ชื่อสินค้า!A:C,3,FALSE),)</f>
        <v>0</v>
      </c>
      <c r="D394" s="8" t="str">
        <f>IFERROR(VLOOKUP(B394,ชื่อสินค้า!A:D,4,FALSE),"")</f>
        <v/>
      </c>
      <c r="E394" s="9"/>
      <c r="F394" s="21" t="str">
        <f t="shared" si="10"/>
        <v/>
      </c>
      <c r="G394" s="22"/>
      <c r="H394" s="8">
        <f>IFERROR(VLOOKUP(G394,ซื้อสินค้า!H:I,2,FALSE),)</f>
        <v>0</v>
      </c>
      <c r="I394" s="21">
        <f>IFERROR(VLOOKUP(G394,ซื้อสินค้า!H:J,3,FALSE),)</f>
        <v>0</v>
      </c>
      <c r="J394" s="21">
        <f t="shared" si="11"/>
        <v>0</v>
      </c>
      <c r="K394" s="21">
        <f t="shared" si="12"/>
        <v>0</v>
      </c>
      <c r="L394" s="12">
        <f t="shared" si="13"/>
        <v>0</v>
      </c>
      <c r="M394" s="21">
        <f t="shared" si="14"/>
        <v>0</v>
      </c>
      <c r="N394" s="9" t="str">
        <f ca="1">IFERROR(__xludf.DUMMYFUNCTION("IF(G394&lt;&gt;"""",G394, IFERROR(TRANSPOSE(FILTER('ซื้อสินค้า'!H:H,'ซื้อสินค้า'!B:B=B394,'ซื้อสินค้า'!I:I&gt;0)),))"),"")</f>
        <v/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>
      <c r="A395" s="5"/>
      <c r="B395" s="6"/>
      <c r="C395" s="20">
        <f>IFERROR(VLOOKUP(B395,ชื่อสินค้า!A:C,3,FALSE),)</f>
        <v>0</v>
      </c>
      <c r="D395" s="8" t="str">
        <f>IFERROR(VLOOKUP(B395,ชื่อสินค้า!A:D,4,FALSE),"")</f>
        <v/>
      </c>
      <c r="E395" s="9"/>
      <c r="F395" s="21" t="str">
        <f t="shared" si="10"/>
        <v/>
      </c>
      <c r="G395" s="22"/>
      <c r="H395" s="8">
        <f>IFERROR(VLOOKUP(G395,ซื้อสินค้า!H:I,2,FALSE),)</f>
        <v>0</v>
      </c>
      <c r="I395" s="21">
        <f>IFERROR(VLOOKUP(G395,ซื้อสินค้า!H:J,3,FALSE),)</f>
        <v>0</v>
      </c>
      <c r="J395" s="21">
        <f t="shared" si="11"/>
        <v>0</v>
      </c>
      <c r="K395" s="21">
        <f t="shared" si="12"/>
        <v>0</v>
      </c>
      <c r="L395" s="12">
        <f t="shared" si="13"/>
        <v>0</v>
      </c>
      <c r="M395" s="21">
        <f t="shared" si="14"/>
        <v>0</v>
      </c>
      <c r="N395" s="9" t="str">
        <f ca="1">IFERROR(__xludf.DUMMYFUNCTION("IF(G395&lt;&gt;"""",G395, IFERROR(TRANSPOSE(FILTER('ซื้อสินค้า'!H:H,'ซื้อสินค้า'!B:B=B395,'ซื้อสินค้า'!I:I&gt;0)),))"),"")</f>
        <v/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>
      <c r="A396" s="5"/>
      <c r="B396" s="6"/>
      <c r="C396" s="20">
        <f>IFERROR(VLOOKUP(B396,ชื่อสินค้า!A:C,3,FALSE),)</f>
        <v>0</v>
      </c>
      <c r="D396" s="8" t="str">
        <f>IFERROR(VLOOKUP(B396,ชื่อสินค้า!A:D,4,FALSE),"")</f>
        <v/>
      </c>
      <c r="E396" s="9"/>
      <c r="F396" s="21" t="str">
        <f t="shared" si="10"/>
        <v/>
      </c>
      <c r="G396" s="22"/>
      <c r="H396" s="8">
        <f>IFERROR(VLOOKUP(G396,ซื้อสินค้า!H:I,2,FALSE),)</f>
        <v>0</v>
      </c>
      <c r="I396" s="21">
        <f>IFERROR(VLOOKUP(G396,ซื้อสินค้า!H:J,3,FALSE),)</f>
        <v>0</v>
      </c>
      <c r="J396" s="21">
        <f t="shared" si="11"/>
        <v>0</v>
      </c>
      <c r="K396" s="21">
        <f t="shared" si="12"/>
        <v>0</v>
      </c>
      <c r="L396" s="12">
        <f t="shared" si="13"/>
        <v>0</v>
      </c>
      <c r="M396" s="21">
        <f t="shared" si="14"/>
        <v>0</v>
      </c>
      <c r="N396" s="9" t="str">
        <f ca="1">IFERROR(__xludf.DUMMYFUNCTION("IF(G396&lt;&gt;"""",G396, IFERROR(TRANSPOSE(FILTER('ซื้อสินค้า'!H:H,'ซื้อสินค้า'!B:B=B396,'ซื้อสินค้า'!I:I&gt;0)),))"),"")</f>
        <v/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>
      <c r="A397" s="5"/>
      <c r="B397" s="6"/>
      <c r="C397" s="20">
        <f>IFERROR(VLOOKUP(B397,ชื่อสินค้า!A:C,3,FALSE),)</f>
        <v>0</v>
      </c>
      <c r="D397" s="8" t="str">
        <f>IFERROR(VLOOKUP(B397,ชื่อสินค้า!A:D,4,FALSE),"")</f>
        <v/>
      </c>
      <c r="E397" s="9"/>
      <c r="F397" s="21" t="str">
        <f t="shared" si="10"/>
        <v/>
      </c>
      <c r="G397" s="22"/>
      <c r="H397" s="8">
        <f>IFERROR(VLOOKUP(G397,ซื้อสินค้า!H:I,2,FALSE),)</f>
        <v>0</v>
      </c>
      <c r="I397" s="21">
        <f>IFERROR(VLOOKUP(G397,ซื้อสินค้า!H:J,3,FALSE),)</f>
        <v>0</v>
      </c>
      <c r="J397" s="21">
        <f t="shared" si="11"/>
        <v>0</v>
      </c>
      <c r="K397" s="21">
        <f t="shared" si="12"/>
        <v>0</v>
      </c>
      <c r="L397" s="12">
        <f t="shared" si="13"/>
        <v>0</v>
      </c>
      <c r="M397" s="21">
        <f t="shared" si="14"/>
        <v>0</v>
      </c>
      <c r="N397" s="9" t="str">
        <f ca="1">IFERROR(__xludf.DUMMYFUNCTION("IF(G397&lt;&gt;"""",G397, IFERROR(TRANSPOSE(FILTER('ซื้อสินค้า'!H:H,'ซื้อสินค้า'!B:B=B397,'ซื้อสินค้า'!I:I&gt;0)),))"),"")</f>
        <v/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>
      <c r="A398" s="5"/>
      <c r="B398" s="6"/>
      <c r="C398" s="20">
        <f>IFERROR(VLOOKUP(B398,ชื่อสินค้า!A:C,3,FALSE),)</f>
        <v>0</v>
      </c>
      <c r="D398" s="8" t="str">
        <f>IFERROR(VLOOKUP(B398,ชื่อสินค้า!A:D,4,FALSE),"")</f>
        <v/>
      </c>
      <c r="E398" s="9"/>
      <c r="F398" s="21" t="str">
        <f t="shared" si="10"/>
        <v/>
      </c>
      <c r="G398" s="22"/>
      <c r="H398" s="8">
        <f>IFERROR(VLOOKUP(G398,ซื้อสินค้า!H:I,2,FALSE),)</f>
        <v>0</v>
      </c>
      <c r="I398" s="21">
        <f>IFERROR(VLOOKUP(G398,ซื้อสินค้า!H:J,3,FALSE),)</f>
        <v>0</v>
      </c>
      <c r="J398" s="21">
        <f t="shared" si="11"/>
        <v>0</v>
      </c>
      <c r="K398" s="21">
        <f t="shared" si="12"/>
        <v>0</v>
      </c>
      <c r="L398" s="12">
        <f t="shared" si="13"/>
        <v>0</v>
      </c>
      <c r="M398" s="21">
        <f t="shared" si="14"/>
        <v>0</v>
      </c>
      <c r="N398" s="9" t="str">
        <f ca="1">IFERROR(__xludf.DUMMYFUNCTION("IF(G398&lt;&gt;"""",G398, IFERROR(TRANSPOSE(FILTER('ซื้อสินค้า'!H:H,'ซื้อสินค้า'!B:B=B398,'ซื้อสินค้า'!I:I&gt;0)),))"),"")</f>
        <v/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>
      <c r="A399" s="5"/>
      <c r="B399" s="6"/>
      <c r="C399" s="20">
        <f>IFERROR(VLOOKUP(B399,ชื่อสินค้า!A:C,3,FALSE),)</f>
        <v>0</v>
      </c>
      <c r="D399" s="8" t="str">
        <f>IFERROR(VLOOKUP(B399,ชื่อสินค้า!A:D,4,FALSE),"")</f>
        <v/>
      </c>
      <c r="E399" s="9"/>
      <c r="F399" s="21" t="str">
        <f t="shared" si="10"/>
        <v/>
      </c>
      <c r="G399" s="22"/>
      <c r="H399" s="8">
        <f>IFERROR(VLOOKUP(G399,ซื้อสินค้า!H:I,2,FALSE),)</f>
        <v>0</v>
      </c>
      <c r="I399" s="21">
        <f>IFERROR(VLOOKUP(G399,ซื้อสินค้า!H:J,3,FALSE),)</f>
        <v>0</v>
      </c>
      <c r="J399" s="21">
        <f t="shared" si="11"/>
        <v>0</v>
      </c>
      <c r="K399" s="21">
        <f t="shared" si="12"/>
        <v>0</v>
      </c>
      <c r="L399" s="12">
        <f t="shared" si="13"/>
        <v>0</v>
      </c>
      <c r="M399" s="21">
        <f t="shared" si="14"/>
        <v>0</v>
      </c>
      <c r="N399" s="9" t="str">
        <f ca="1">IFERROR(__xludf.DUMMYFUNCTION("IF(G399&lt;&gt;"""",G399, IFERROR(TRANSPOSE(FILTER('ซื้อสินค้า'!H:H,'ซื้อสินค้า'!B:B=B399,'ซื้อสินค้า'!I:I&gt;0)),))"),"")</f>
        <v/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>
      <c r="A400" s="5"/>
      <c r="B400" s="6"/>
      <c r="C400" s="20">
        <f>IFERROR(VLOOKUP(B400,ชื่อสินค้า!A:C,3,FALSE),)</f>
        <v>0</v>
      </c>
      <c r="D400" s="8" t="str">
        <f>IFERROR(VLOOKUP(B400,ชื่อสินค้า!A:D,4,FALSE),"")</f>
        <v/>
      </c>
      <c r="E400" s="9"/>
      <c r="F400" s="21" t="str">
        <f t="shared" si="10"/>
        <v/>
      </c>
      <c r="G400" s="22"/>
      <c r="H400" s="8">
        <f>IFERROR(VLOOKUP(G400,ซื้อสินค้า!H:I,2,FALSE),)</f>
        <v>0</v>
      </c>
      <c r="I400" s="21">
        <f>IFERROR(VLOOKUP(G400,ซื้อสินค้า!H:J,3,FALSE),)</f>
        <v>0</v>
      </c>
      <c r="J400" s="21">
        <f t="shared" si="11"/>
        <v>0</v>
      </c>
      <c r="K400" s="21">
        <f t="shared" si="12"/>
        <v>0</v>
      </c>
      <c r="L400" s="12">
        <f t="shared" si="13"/>
        <v>0</v>
      </c>
      <c r="M400" s="21">
        <f t="shared" si="14"/>
        <v>0</v>
      </c>
      <c r="N400" s="9" t="str">
        <f ca="1">IFERROR(__xludf.DUMMYFUNCTION("IF(G400&lt;&gt;"""",G400, IFERROR(TRANSPOSE(FILTER('ซื้อสินค้า'!H:H,'ซื้อสินค้า'!B:B=B400,'ซื้อสินค้า'!I:I&gt;0)),))"),"")</f>
        <v/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>
      <c r="A401" s="5"/>
      <c r="B401" s="6"/>
      <c r="C401" s="20">
        <f>IFERROR(VLOOKUP(B401,ชื่อสินค้า!A:C,3,FALSE),)</f>
        <v>0</v>
      </c>
      <c r="D401" s="8" t="str">
        <f>IFERROR(VLOOKUP(B401,ชื่อสินค้า!A:D,4,FALSE),"")</f>
        <v/>
      </c>
      <c r="E401" s="9"/>
      <c r="F401" s="21" t="str">
        <f t="shared" si="10"/>
        <v/>
      </c>
      <c r="G401" s="22"/>
      <c r="H401" s="8">
        <f>IFERROR(VLOOKUP(G401,ซื้อสินค้า!H:I,2,FALSE),)</f>
        <v>0</v>
      </c>
      <c r="I401" s="21">
        <f>IFERROR(VLOOKUP(G401,ซื้อสินค้า!H:J,3,FALSE),)</f>
        <v>0</v>
      </c>
      <c r="J401" s="21">
        <f t="shared" si="11"/>
        <v>0</v>
      </c>
      <c r="K401" s="21">
        <f t="shared" si="12"/>
        <v>0</v>
      </c>
      <c r="L401" s="12">
        <f t="shared" si="13"/>
        <v>0</v>
      </c>
      <c r="M401" s="21">
        <f t="shared" si="14"/>
        <v>0</v>
      </c>
      <c r="N401" s="9" t="str">
        <f ca="1">IFERROR(__xludf.DUMMYFUNCTION("IF(G401&lt;&gt;"""",G401, IFERROR(TRANSPOSE(FILTER('ซื้อสินค้า'!H:H,'ซื้อสินค้า'!B:B=B401,'ซื้อสินค้า'!I:I&gt;0)),))"),"")</f>
        <v/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>
      <c r="A402" s="5"/>
      <c r="B402" s="6"/>
      <c r="C402" s="20">
        <f>IFERROR(VLOOKUP(B402,ชื่อสินค้า!A:C,3,FALSE),)</f>
        <v>0</v>
      </c>
      <c r="D402" s="8" t="str">
        <f>IFERROR(VLOOKUP(B402,ชื่อสินค้า!A:D,4,FALSE),"")</f>
        <v/>
      </c>
      <c r="E402" s="9"/>
      <c r="F402" s="21" t="str">
        <f t="shared" si="10"/>
        <v/>
      </c>
      <c r="G402" s="22"/>
      <c r="H402" s="8">
        <f>IFERROR(VLOOKUP(G402,ซื้อสินค้า!H:I,2,FALSE),)</f>
        <v>0</v>
      </c>
      <c r="I402" s="21">
        <f>IFERROR(VLOOKUP(G402,ซื้อสินค้า!H:J,3,FALSE),)</f>
        <v>0</v>
      </c>
      <c r="J402" s="21">
        <f t="shared" si="11"/>
        <v>0</v>
      </c>
      <c r="K402" s="21">
        <f t="shared" si="12"/>
        <v>0</v>
      </c>
      <c r="L402" s="12">
        <f t="shared" si="13"/>
        <v>0</v>
      </c>
      <c r="M402" s="21">
        <f t="shared" si="14"/>
        <v>0</v>
      </c>
      <c r="N402" s="9" t="str">
        <f ca="1">IFERROR(__xludf.DUMMYFUNCTION("IF(G402&lt;&gt;"""",G402, IFERROR(TRANSPOSE(FILTER('ซื้อสินค้า'!H:H,'ซื้อสินค้า'!B:B=B402,'ซื้อสินค้า'!I:I&gt;0)),))"),"")</f>
        <v/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>
      <c r="A403" s="5"/>
      <c r="B403" s="6"/>
      <c r="C403" s="20">
        <f>IFERROR(VLOOKUP(B403,ชื่อสินค้า!A:C,3,FALSE),)</f>
        <v>0</v>
      </c>
      <c r="D403" s="8" t="str">
        <f>IFERROR(VLOOKUP(B403,ชื่อสินค้า!A:D,4,FALSE),"")</f>
        <v/>
      </c>
      <c r="E403" s="9"/>
      <c r="F403" s="21" t="str">
        <f t="shared" si="10"/>
        <v/>
      </c>
      <c r="G403" s="22"/>
      <c r="H403" s="8">
        <f>IFERROR(VLOOKUP(G403,ซื้อสินค้า!H:I,2,FALSE),)</f>
        <v>0</v>
      </c>
      <c r="I403" s="21">
        <f>IFERROR(VLOOKUP(G403,ซื้อสินค้า!H:J,3,FALSE),)</f>
        <v>0</v>
      </c>
      <c r="J403" s="21">
        <f t="shared" si="11"/>
        <v>0</v>
      </c>
      <c r="K403" s="21">
        <f t="shared" si="12"/>
        <v>0</v>
      </c>
      <c r="L403" s="12">
        <f t="shared" si="13"/>
        <v>0</v>
      </c>
      <c r="M403" s="21">
        <f t="shared" si="14"/>
        <v>0</v>
      </c>
      <c r="N403" s="9" t="str">
        <f ca="1">IFERROR(__xludf.DUMMYFUNCTION("IF(G403&lt;&gt;"""",G403, IFERROR(TRANSPOSE(FILTER('ซื้อสินค้า'!H:H,'ซื้อสินค้า'!B:B=B403,'ซื้อสินค้า'!I:I&gt;0)),))"),"")</f>
        <v/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>
      <c r="A404" s="5"/>
      <c r="B404" s="6"/>
      <c r="C404" s="20">
        <f>IFERROR(VLOOKUP(B404,ชื่อสินค้า!A:C,3,FALSE),)</f>
        <v>0</v>
      </c>
      <c r="D404" s="8" t="str">
        <f>IFERROR(VLOOKUP(B404,ชื่อสินค้า!A:D,4,FALSE),"")</f>
        <v/>
      </c>
      <c r="E404" s="9"/>
      <c r="F404" s="21" t="str">
        <f t="shared" si="10"/>
        <v/>
      </c>
      <c r="G404" s="22"/>
      <c r="H404" s="8">
        <f>IFERROR(VLOOKUP(G404,ซื้อสินค้า!H:I,2,FALSE),)</f>
        <v>0</v>
      </c>
      <c r="I404" s="21">
        <f>IFERROR(VLOOKUP(G404,ซื้อสินค้า!H:J,3,FALSE),)</f>
        <v>0</v>
      </c>
      <c r="J404" s="21">
        <f t="shared" si="11"/>
        <v>0</v>
      </c>
      <c r="K404" s="21">
        <f t="shared" si="12"/>
        <v>0</v>
      </c>
      <c r="L404" s="12">
        <f t="shared" si="13"/>
        <v>0</v>
      </c>
      <c r="M404" s="21">
        <f t="shared" si="14"/>
        <v>0</v>
      </c>
      <c r="N404" s="9" t="str">
        <f ca="1">IFERROR(__xludf.DUMMYFUNCTION("IF(G404&lt;&gt;"""",G404, IFERROR(TRANSPOSE(FILTER('ซื้อสินค้า'!H:H,'ซื้อสินค้า'!B:B=B404,'ซื้อสินค้า'!I:I&gt;0)),))"),"")</f>
        <v/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>
      <c r="A405" s="5"/>
      <c r="B405" s="6"/>
      <c r="C405" s="20">
        <f>IFERROR(VLOOKUP(B405,ชื่อสินค้า!A:C,3,FALSE),)</f>
        <v>0</v>
      </c>
      <c r="D405" s="8" t="str">
        <f>IFERROR(VLOOKUP(B405,ชื่อสินค้า!A:D,4,FALSE),"")</f>
        <v/>
      </c>
      <c r="E405" s="9"/>
      <c r="F405" s="21" t="str">
        <f t="shared" si="10"/>
        <v/>
      </c>
      <c r="G405" s="22"/>
      <c r="H405" s="8">
        <f>IFERROR(VLOOKUP(G405,ซื้อสินค้า!H:I,2,FALSE),)</f>
        <v>0</v>
      </c>
      <c r="I405" s="21">
        <f>IFERROR(VLOOKUP(G405,ซื้อสินค้า!H:J,3,FALSE),)</f>
        <v>0</v>
      </c>
      <c r="J405" s="21">
        <f t="shared" si="11"/>
        <v>0</v>
      </c>
      <c r="K405" s="21">
        <f t="shared" si="12"/>
        <v>0</v>
      </c>
      <c r="L405" s="12">
        <f t="shared" si="13"/>
        <v>0</v>
      </c>
      <c r="M405" s="21">
        <f t="shared" si="14"/>
        <v>0</v>
      </c>
      <c r="N405" s="9" t="str">
        <f ca="1">IFERROR(__xludf.DUMMYFUNCTION("IF(G405&lt;&gt;"""",G405, IFERROR(TRANSPOSE(FILTER('ซื้อสินค้า'!H:H,'ซื้อสินค้า'!B:B=B405,'ซื้อสินค้า'!I:I&gt;0)),))"),"")</f>
        <v/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>
      <c r="A406" s="5"/>
      <c r="B406" s="6"/>
      <c r="C406" s="20">
        <f>IFERROR(VLOOKUP(B406,ชื่อสินค้า!A:C,3,FALSE),)</f>
        <v>0</v>
      </c>
      <c r="D406" s="8" t="str">
        <f>IFERROR(VLOOKUP(B406,ชื่อสินค้า!A:D,4,FALSE),"")</f>
        <v/>
      </c>
      <c r="E406" s="9"/>
      <c r="F406" s="21" t="str">
        <f t="shared" si="10"/>
        <v/>
      </c>
      <c r="G406" s="22"/>
      <c r="H406" s="8">
        <f>IFERROR(VLOOKUP(G406,ซื้อสินค้า!H:I,2,FALSE),)</f>
        <v>0</v>
      </c>
      <c r="I406" s="21">
        <f>IFERROR(VLOOKUP(G406,ซื้อสินค้า!H:J,3,FALSE),)</f>
        <v>0</v>
      </c>
      <c r="J406" s="21">
        <f t="shared" si="11"/>
        <v>0</v>
      </c>
      <c r="K406" s="21">
        <f t="shared" si="12"/>
        <v>0</v>
      </c>
      <c r="L406" s="12">
        <f t="shared" si="13"/>
        <v>0</v>
      </c>
      <c r="M406" s="21">
        <f t="shared" si="14"/>
        <v>0</v>
      </c>
      <c r="N406" s="9" t="str">
        <f ca="1">IFERROR(__xludf.DUMMYFUNCTION("IF(G406&lt;&gt;"""",G406, IFERROR(TRANSPOSE(FILTER('ซื้อสินค้า'!H:H,'ซื้อสินค้า'!B:B=B406,'ซื้อสินค้า'!I:I&gt;0)),))"),"")</f>
        <v/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>
      <c r="A407" s="5"/>
      <c r="B407" s="6"/>
      <c r="C407" s="20">
        <f>IFERROR(VLOOKUP(B407,ชื่อสินค้า!A:C,3,FALSE),)</f>
        <v>0</v>
      </c>
      <c r="D407" s="8" t="str">
        <f>IFERROR(VLOOKUP(B407,ชื่อสินค้า!A:D,4,FALSE),"")</f>
        <v/>
      </c>
      <c r="E407" s="9"/>
      <c r="F407" s="21" t="str">
        <f t="shared" si="10"/>
        <v/>
      </c>
      <c r="G407" s="22"/>
      <c r="H407" s="8">
        <f>IFERROR(VLOOKUP(G407,ซื้อสินค้า!H:I,2,FALSE),)</f>
        <v>0</v>
      </c>
      <c r="I407" s="21">
        <f>IFERROR(VLOOKUP(G407,ซื้อสินค้า!H:J,3,FALSE),)</f>
        <v>0</v>
      </c>
      <c r="J407" s="21">
        <f t="shared" si="11"/>
        <v>0</v>
      </c>
      <c r="K407" s="21">
        <f t="shared" si="12"/>
        <v>0</v>
      </c>
      <c r="L407" s="12">
        <f t="shared" si="13"/>
        <v>0</v>
      </c>
      <c r="M407" s="21">
        <f t="shared" si="14"/>
        <v>0</v>
      </c>
      <c r="N407" s="9" t="str">
        <f ca="1">IFERROR(__xludf.DUMMYFUNCTION("IF(G407&lt;&gt;"""",G407, IFERROR(TRANSPOSE(FILTER('ซื้อสินค้า'!H:H,'ซื้อสินค้า'!B:B=B407,'ซื้อสินค้า'!I:I&gt;0)),))"),"")</f>
        <v/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>
      <c r="A408" s="5"/>
      <c r="B408" s="6"/>
      <c r="C408" s="20">
        <f>IFERROR(VLOOKUP(B408,ชื่อสินค้า!A:C,3,FALSE),)</f>
        <v>0</v>
      </c>
      <c r="D408" s="8" t="str">
        <f>IFERROR(VLOOKUP(B408,ชื่อสินค้า!A:D,4,FALSE),"")</f>
        <v/>
      </c>
      <c r="E408" s="9"/>
      <c r="F408" s="21" t="str">
        <f t="shared" si="10"/>
        <v/>
      </c>
      <c r="G408" s="22"/>
      <c r="H408" s="8">
        <f>IFERROR(VLOOKUP(G408,ซื้อสินค้า!H:I,2,FALSE),)</f>
        <v>0</v>
      </c>
      <c r="I408" s="21">
        <f>IFERROR(VLOOKUP(G408,ซื้อสินค้า!H:J,3,FALSE),)</f>
        <v>0</v>
      </c>
      <c r="J408" s="21">
        <f t="shared" si="11"/>
        <v>0</v>
      </c>
      <c r="K408" s="21">
        <f t="shared" si="12"/>
        <v>0</v>
      </c>
      <c r="L408" s="12">
        <f t="shared" si="13"/>
        <v>0</v>
      </c>
      <c r="M408" s="21">
        <f t="shared" si="14"/>
        <v>0</v>
      </c>
      <c r="N408" s="9" t="str">
        <f ca="1">IFERROR(__xludf.DUMMYFUNCTION("IF(G408&lt;&gt;"""",G408, IFERROR(TRANSPOSE(FILTER('ซื้อสินค้า'!H:H,'ซื้อสินค้า'!B:B=B408,'ซื้อสินค้า'!I:I&gt;0)),))"),"")</f>
        <v/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>
      <c r="A409" s="5"/>
      <c r="B409" s="6"/>
      <c r="C409" s="20">
        <f>IFERROR(VLOOKUP(B409,ชื่อสินค้า!A:C,3,FALSE),)</f>
        <v>0</v>
      </c>
      <c r="D409" s="8" t="str">
        <f>IFERROR(VLOOKUP(B409,ชื่อสินค้า!A:D,4,FALSE),"")</f>
        <v/>
      </c>
      <c r="E409" s="9"/>
      <c r="F409" s="21" t="str">
        <f t="shared" si="10"/>
        <v/>
      </c>
      <c r="G409" s="22"/>
      <c r="H409" s="8">
        <f>IFERROR(VLOOKUP(G409,ซื้อสินค้า!H:I,2,FALSE),)</f>
        <v>0</v>
      </c>
      <c r="I409" s="21">
        <f>IFERROR(VLOOKUP(G409,ซื้อสินค้า!H:J,3,FALSE),)</f>
        <v>0</v>
      </c>
      <c r="J409" s="21">
        <f t="shared" si="11"/>
        <v>0</v>
      </c>
      <c r="K409" s="21">
        <f t="shared" si="12"/>
        <v>0</v>
      </c>
      <c r="L409" s="12">
        <f t="shared" si="13"/>
        <v>0</v>
      </c>
      <c r="M409" s="21">
        <f t="shared" si="14"/>
        <v>0</v>
      </c>
      <c r="N409" s="9" t="str">
        <f ca="1">IFERROR(__xludf.DUMMYFUNCTION("IF(G409&lt;&gt;"""",G409, IFERROR(TRANSPOSE(FILTER('ซื้อสินค้า'!H:H,'ซื้อสินค้า'!B:B=B409,'ซื้อสินค้า'!I:I&gt;0)),))"),"")</f>
        <v/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>
      <c r="A410" s="5"/>
      <c r="B410" s="6"/>
      <c r="C410" s="20">
        <f>IFERROR(VLOOKUP(B410,ชื่อสินค้า!A:C,3,FALSE),)</f>
        <v>0</v>
      </c>
      <c r="D410" s="8" t="str">
        <f>IFERROR(VLOOKUP(B410,ชื่อสินค้า!A:D,4,FALSE),"")</f>
        <v/>
      </c>
      <c r="E410" s="9"/>
      <c r="F410" s="21" t="str">
        <f t="shared" si="10"/>
        <v/>
      </c>
      <c r="G410" s="22"/>
      <c r="H410" s="8">
        <f>IFERROR(VLOOKUP(G410,ซื้อสินค้า!H:I,2,FALSE),)</f>
        <v>0</v>
      </c>
      <c r="I410" s="21">
        <f>IFERROR(VLOOKUP(G410,ซื้อสินค้า!H:J,3,FALSE),)</f>
        <v>0</v>
      </c>
      <c r="J410" s="21">
        <f t="shared" si="11"/>
        <v>0</v>
      </c>
      <c r="K410" s="21">
        <f t="shared" si="12"/>
        <v>0</v>
      </c>
      <c r="L410" s="12">
        <f t="shared" si="13"/>
        <v>0</v>
      </c>
      <c r="M410" s="21">
        <f t="shared" si="14"/>
        <v>0</v>
      </c>
      <c r="N410" s="9" t="str">
        <f ca="1">IFERROR(__xludf.DUMMYFUNCTION("IF(G410&lt;&gt;"""",G410, IFERROR(TRANSPOSE(FILTER('ซื้อสินค้า'!H:H,'ซื้อสินค้า'!B:B=B410,'ซื้อสินค้า'!I:I&gt;0)),))"),"")</f>
        <v/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>
      <c r="A411" s="5"/>
      <c r="B411" s="6"/>
      <c r="C411" s="20">
        <f>IFERROR(VLOOKUP(B411,ชื่อสินค้า!A:C,3,FALSE),)</f>
        <v>0</v>
      </c>
      <c r="D411" s="8" t="str">
        <f>IFERROR(VLOOKUP(B411,ชื่อสินค้า!A:D,4,FALSE),"")</f>
        <v/>
      </c>
      <c r="E411" s="9"/>
      <c r="F411" s="21" t="str">
        <f t="shared" si="10"/>
        <v/>
      </c>
      <c r="G411" s="22"/>
      <c r="H411" s="8">
        <f>IFERROR(VLOOKUP(G411,ซื้อสินค้า!H:I,2,FALSE),)</f>
        <v>0</v>
      </c>
      <c r="I411" s="21">
        <f>IFERROR(VLOOKUP(G411,ซื้อสินค้า!H:J,3,FALSE),)</f>
        <v>0</v>
      </c>
      <c r="J411" s="21">
        <f t="shared" si="11"/>
        <v>0</v>
      </c>
      <c r="K411" s="21">
        <f t="shared" si="12"/>
        <v>0</v>
      </c>
      <c r="L411" s="12">
        <f t="shared" si="13"/>
        <v>0</v>
      </c>
      <c r="M411" s="21">
        <f t="shared" si="14"/>
        <v>0</v>
      </c>
      <c r="N411" s="9" t="str">
        <f ca="1">IFERROR(__xludf.DUMMYFUNCTION("IF(G411&lt;&gt;"""",G411, IFERROR(TRANSPOSE(FILTER('ซื้อสินค้า'!H:H,'ซื้อสินค้า'!B:B=B411,'ซื้อสินค้า'!I:I&gt;0)),))"),"")</f>
        <v/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>
      <c r="A412" s="5"/>
      <c r="B412" s="6"/>
      <c r="C412" s="20">
        <f>IFERROR(VLOOKUP(B412,ชื่อสินค้า!A:C,3,FALSE),)</f>
        <v>0</v>
      </c>
      <c r="D412" s="8" t="str">
        <f>IFERROR(VLOOKUP(B412,ชื่อสินค้า!A:D,4,FALSE),"")</f>
        <v/>
      </c>
      <c r="E412" s="9"/>
      <c r="F412" s="21" t="str">
        <f t="shared" si="10"/>
        <v/>
      </c>
      <c r="G412" s="22"/>
      <c r="H412" s="8">
        <f>IFERROR(VLOOKUP(G412,ซื้อสินค้า!H:I,2,FALSE),)</f>
        <v>0</v>
      </c>
      <c r="I412" s="21">
        <f>IFERROR(VLOOKUP(G412,ซื้อสินค้า!H:J,3,FALSE),)</f>
        <v>0</v>
      </c>
      <c r="J412" s="21">
        <f t="shared" si="11"/>
        <v>0</v>
      </c>
      <c r="K412" s="21">
        <f t="shared" si="12"/>
        <v>0</v>
      </c>
      <c r="L412" s="12">
        <f t="shared" si="13"/>
        <v>0</v>
      </c>
      <c r="M412" s="21">
        <f t="shared" si="14"/>
        <v>0</v>
      </c>
      <c r="N412" s="9" t="str">
        <f ca="1">IFERROR(__xludf.DUMMYFUNCTION("IF(G412&lt;&gt;"""",G412, IFERROR(TRANSPOSE(FILTER('ซื้อสินค้า'!H:H,'ซื้อสินค้า'!B:B=B412,'ซื้อสินค้า'!I:I&gt;0)),))"),"")</f>
        <v/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>
      <c r="A413" s="5"/>
      <c r="B413" s="6"/>
      <c r="C413" s="20">
        <f>IFERROR(VLOOKUP(B413,ชื่อสินค้า!A:C,3,FALSE),)</f>
        <v>0</v>
      </c>
      <c r="D413" s="8" t="str">
        <f>IFERROR(VLOOKUP(B413,ชื่อสินค้า!A:D,4,FALSE),"")</f>
        <v/>
      </c>
      <c r="E413" s="9"/>
      <c r="F413" s="21" t="str">
        <f t="shared" si="10"/>
        <v/>
      </c>
      <c r="G413" s="22"/>
      <c r="H413" s="8">
        <f>IFERROR(VLOOKUP(G413,ซื้อสินค้า!H:I,2,FALSE),)</f>
        <v>0</v>
      </c>
      <c r="I413" s="21">
        <f>IFERROR(VLOOKUP(G413,ซื้อสินค้า!H:J,3,FALSE),)</f>
        <v>0</v>
      </c>
      <c r="J413" s="21">
        <f t="shared" si="11"/>
        <v>0</v>
      </c>
      <c r="K413" s="21">
        <f t="shared" si="12"/>
        <v>0</v>
      </c>
      <c r="L413" s="12">
        <f t="shared" si="13"/>
        <v>0</v>
      </c>
      <c r="M413" s="21">
        <f t="shared" si="14"/>
        <v>0</v>
      </c>
      <c r="N413" s="9" t="str">
        <f ca="1">IFERROR(__xludf.DUMMYFUNCTION("IF(G413&lt;&gt;"""",G413, IFERROR(TRANSPOSE(FILTER('ซื้อสินค้า'!H:H,'ซื้อสินค้า'!B:B=B413,'ซื้อสินค้า'!I:I&gt;0)),))"),"")</f>
        <v/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>
      <c r="A414" s="5"/>
      <c r="B414" s="6"/>
      <c r="C414" s="20">
        <f>IFERROR(VLOOKUP(B414,ชื่อสินค้า!A:C,3,FALSE),)</f>
        <v>0</v>
      </c>
      <c r="D414" s="8" t="str">
        <f>IFERROR(VLOOKUP(B414,ชื่อสินค้า!A:D,4,FALSE),"")</f>
        <v/>
      </c>
      <c r="E414" s="9"/>
      <c r="F414" s="21" t="str">
        <f t="shared" si="10"/>
        <v/>
      </c>
      <c r="G414" s="22"/>
      <c r="H414" s="8">
        <f>IFERROR(VLOOKUP(G414,ซื้อสินค้า!H:I,2,FALSE),)</f>
        <v>0</v>
      </c>
      <c r="I414" s="21">
        <f>IFERROR(VLOOKUP(G414,ซื้อสินค้า!H:J,3,FALSE),)</f>
        <v>0</v>
      </c>
      <c r="J414" s="21">
        <f t="shared" si="11"/>
        <v>0</v>
      </c>
      <c r="K414" s="21">
        <f t="shared" si="12"/>
        <v>0</v>
      </c>
      <c r="L414" s="12">
        <f t="shared" si="13"/>
        <v>0</v>
      </c>
      <c r="M414" s="21">
        <f t="shared" si="14"/>
        <v>0</v>
      </c>
      <c r="N414" s="9" t="str">
        <f ca="1">IFERROR(__xludf.DUMMYFUNCTION("IF(G414&lt;&gt;"""",G414, IFERROR(TRANSPOSE(FILTER('ซื้อสินค้า'!H:H,'ซื้อสินค้า'!B:B=B414,'ซื้อสินค้า'!I:I&gt;0)),))"),"")</f>
        <v/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>
      <c r="A415" s="5"/>
      <c r="B415" s="6"/>
      <c r="C415" s="20">
        <f>IFERROR(VLOOKUP(B415,ชื่อสินค้า!A:C,3,FALSE),)</f>
        <v>0</v>
      </c>
      <c r="D415" s="8" t="str">
        <f>IFERROR(VLOOKUP(B415,ชื่อสินค้า!A:D,4,FALSE),"")</f>
        <v/>
      </c>
      <c r="E415" s="9"/>
      <c r="F415" s="21" t="str">
        <f t="shared" si="10"/>
        <v/>
      </c>
      <c r="G415" s="22"/>
      <c r="H415" s="8">
        <f>IFERROR(VLOOKUP(G415,ซื้อสินค้า!H:I,2,FALSE),)</f>
        <v>0</v>
      </c>
      <c r="I415" s="21">
        <f>IFERROR(VLOOKUP(G415,ซื้อสินค้า!H:J,3,FALSE),)</f>
        <v>0</v>
      </c>
      <c r="J415" s="21">
        <f t="shared" si="11"/>
        <v>0</v>
      </c>
      <c r="K415" s="21">
        <f t="shared" si="12"/>
        <v>0</v>
      </c>
      <c r="L415" s="12">
        <f t="shared" si="13"/>
        <v>0</v>
      </c>
      <c r="M415" s="21">
        <f t="shared" si="14"/>
        <v>0</v>
      </c>
      <c r="N415" s="9" t="str">
        <f ca="1">IFERROR(__xludf.DUMMYFUNCTION("IF(G415&lt;&gt;"""",G415, IFERROR(TRANSPOSE(FILTER('ซื้อสินค้า'!H:H,'ซื้อสินค้า'!B:B=B415,'ซื้อสินค้า'!I:I&gt;0)),))"),"")</f>
        <v/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>
      <c r="A416" s="5"/>
      <c r="B416" s="6"/>
      <c r="C416" s="20">
        <f>IFERROR(VLOOKUP(B416,ชื่อสินค้า!A:C,3,FALSE),)</f>
        <v>0</v>
      </c>
      <c r="D416" s="8" t="str">
        <f>IFERROR(VLOOKUP(B416,ชื่อสินค้า!A:D,4,FALSE),"")</f>
        <v/>
      </c>
      <c r="E416" s="9"/>
      <c r="F416" s="21" t="str">
        <f t="shared" si="10"/>
        <v/>
      </c>
      <c r="G416" s="22"/>
      <c r="H416" s="8">
        <f>IFERROR(VLOOKUP(G416,ซื้อสินค้า!H:I,2,FALSE),)</f>
        <v>0</v>
      </c>
      <c r="I416" s="21">
        <f>IFERROR(VLOOKUP(G416,ซื้อสินค้า!H:J,3,FALSE),)</f>
        <v>0</v>
      </c>
      <c r="J416" s="21">
        <f t="shared" si="11"/>
        <v>0</v>
      </c>
      <c r="K416" s="21">
        <f t="shared" si="12"/>
        <v>0</v>
      </c>
      <c r="L416" s="12">
        <f t="shared" si="13"/>
        <v>0</v>
      </c>
      <c r="M416" s="21">
        <f t="shared" si="14"/>
        <v>0</v>
      </c>
      <c r="N416" s="9" t="str">
        <f ca="1">IFERROR(__xludf.DUMMYFUNCTION("IF(G416&lt;&gt;"""",G416, IFERROR(TRANSPOSE(FILTER('ซื้อสินค้า'!H:H,'ซื้อสินค้า'!B:B=B416,'ซื้อสินค้า'!I:I&gt;0)),))"),"")</f>
        <v/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>
      <c r="A417" s="5"/>
      <c r="B417" s="6"/>
      <c r="C417" s="20">
        <f>IFERROR(VLOOKUP(B417,ชื่อสินค้า!A:C,3,FALSE),)</f>
        <v>0</v>
      </c>
      <c r="D417" s="8" t="str">
        <f>IFERROR(VLOOKUP(B417,ชื่อสินค้า!A:D,4,FALSE),"")</f>
        <v/>
      </c>
      <c r="E417" s="9"/>
      <c r="F417" s="21" t="str">
        <f t="shared" si="10"/>
        <v/>
      </c>
      <c r="G417" s="22"/>
      <c r="H417" s="8">
        <f>IFERROR(VLOOKUP(G417,ซื้อสินค้า!H:I,2,FALSE),)</f>
        <v>0</v>
      </c>
      <c r="I417" s="21">
        <f>IFERROR(VLOOKUP(G417,ซื้อสินค้า!H:J,3,FALSE),)</f>
        <v>0</v>
      </c>
      <c r="J417" s="21">
        <f t="shared" si="11"/>
        <v>0</v>
      </c>
      <c r="K417" s="21">
        <f t="shared" si="12"/>
        <v>0</v>
      </c>
      <c r="L417" s="12">
        <f t="shared" si="13"/>
        <v>0</v>
      </c>
      <c r="M417" s="21">
        <f t="shared" si="14"/>
        <v>0</v>
      </c>
      <c r="N417" s="9" t="str">
        <f ca="1">IFERROR(__xludf.DUMMYFUNCTION("IF(G417&lt;&gt;"""",G417, IFERROR(TRANSPOSE(FILTER('ซื้อสินค้า'!H:H,'ซื้อสินค้า'!B:B=B417,'ซื้อสินค้า'!I:I&gt;0)),))"),"")</f>
        <v/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>
      <c r="A418" s="5"/>
      <c r="B418" s="6"/>
      <c r="C418" s="20">
        <f>IFERROR(VLOOKUP(B418,ชื่อสินค้า!A:C,3,FALSE),)</f>
        <v>0</v>
      </c>
      <c r="D418" s="8" t="str">
        <f>IFERROR(VLOOKUP(B418,ชื่อสินค้า!A:D,4,FALSE),"")</f>
        <v/>
      </c>
      <c r="E418" s="9"/>
      <c r="F418" s="21" t="str">
        <f t="shared" si="10"/>
        <v/>
      </c>
      <c r="G418" s="22"/>
      <c r="H418" s="8">
        <f>IFERROR(VLOOKUP(G418,ซื้อสินค้า!H:I,2,FALSE),)</f>
        <v>0</v>
      </c>
      <c r="I418" s="21">
        <f>IFERROR(VLOOKUP(G418,ซื้อสินค้า!H:J,3,FALSE),)</f>
        <v>0</v>
      </c>
      <c r="J418" s="21">
        <f t="shared" si="11"/>
        <v>0</v>
      </c>
      <c r="K418" s="21">
        <f t="shared" si="12"/>
        <v>0</v>
      </c>
      <c r="L418" s="12">
        <f t="shared" si="13"/>
        <v>0</v>
      </c>
      <c r="M418" s="21">
        <f t="shared" si="14"/>
        <v>0</v>
      </c>
      <c r="N418" s="9" t="str">
        <f ca="1">IFERROR(__xludf.DUMMYFUNCTION("IF(G418&lt;&gt;"""",G418, IFERROR(TRANSPOSE(FILTER('ซื้อสินค้า'!H:H,'ซื้อสินค้า'!B:B=B418,'ซื้อสินค้า'!I:I&gt;0)),))"),"")</f>
        <v/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>
      <c r="A419" s="5"/>
      <c r="B419" s="6"/>
      <c r="C419" s="20">
        <f>IFERROR(VLOOKUP(B419,ชื่อสินค้า!A:C,3,FALSE),)</f>
        <v>0</v>
      </c>
      <c r="D419" s="8" t="str">
        <f>IFERROR(VLOOKUP(B419,ชื่อสินค้า!A:D,4,FALSE),"")</f>
        <v/>
      </c>
      <c r="E419" s="9"/>
      <c r="F419" s="21" t="str">
        <f t="shared" si="10"/>
        <v/>
      </c>
      <c r="G419" s="22"/>
      <c r="H419" s="8">
        <f>IFERROR(VLOOKUP(G419,ซื้อสินค้า!H:I,2,FALSE),)</f>
        <v>0</v>
      </c>
      <c r="I419" s="21">
        <f>IFERROR(VLOOKUP(G419,ซื้อสินค้า!H:J,3,FALSE),)</f>
        <v>0</v>
      </c>
      <c r="J419" s="21">
        <f t="shared" si="11"/>
        <v>0</v>
      </c>
      <c r="K419" s="21">
        <f t="shared" si="12"/>
        <v>0</v>
      </c>
      <c r="L419" s="12">
        <f t="shared" si="13"/>
        <v>0</v>
      </c>
      <c r="M419" s="21">
        <f t="shared" si="14"/>
        <v>0</v>
      </c>
      <c r="N419" s="9" t="str">
        <f ca="1">IFERROR(__xludf.DUMMYFUNCTION("IF(G419&lt;&gt;"""",G419, IFERROR(TRANSPOSE(FILTER('ซื้อสินค้า'!H:H,'ซื้อสินค้า'!B:B=B419,'ซื้อสินค้า'!I:I&gt;0)),))"),"")</f>
        <v/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>
      <c r="A420" s="5"/>
      <c r="B420" s="6"/>
      <c r="C420" s="20">
        <f>IFERROR(VLOOKUP(B420,ชื่อสินค้า!A:C,3,FALSE),)</f>
        <v>0</v>
      </c>
      <c r="D420" s="8" t="str">
        <f>IFERROR(VLOOKUP(B420,ชื่อสินค้า!A:D,4,FALSE),"")</f>
        <v/>
      </c>
      <c r="E420" s="9"/>
      <c r="F420" s="21" t="str">
        <f t="shared" si="10"/>
        <v/>
      </c>
      <c r="G420" s="22"/>
      <c r="H420" s="8">
        <f>IFERROR(VLOOKUP(G420,ซื้อสินค้า!H:I,2,FALSE),)</f>
        <v>0</v>
      </c>
      <c r="I420" s="21">
        <f>IFERROR(VLOOKUP(G420,ซื้อสินค้า!H:J,3,FALSE),)</f>
        <v>0</v>
      </c>
      <c r="J420" s="21">
        <f t="shared" si="11"/>
        <v>0</v>
      </c>
      <c r="K420" s="21">
        <f t="shared" si="12"/>
        <v>0</v>
      </c>
      <c r="L420" s="12">
        <f t="shared" si="13"/>
        <v>0</v>
      </c>
      <c r="M420" s="21">
        <f t="shared" si="14"/>
        <v>0</v>
      </c>
      <c r="N420" s="9" t="str">
        <f ca="1">IFERROR(__xludf.DUMMYFUNCTION("IF(G420&lt;&gt;"""",G420, IFERROR(TRANSPOSE(FILTER('ซื้อสินค้า'!H:H,'ซื้อสินค้า'!B:B=B420,'ซื้อสินค้า'!I:I&gt;0)),))"),"")</f>
        <v/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>
      <c r="A421" s="5"/>
      <c r="B421" s="6"/>
      <c r="C421" s="20">
        <f>IFERROR(VLOOKUP(B421,ชื่อสินค้า!A:C,3,FALSE),)</f>
        <v>0</v>
      </c>
      <c r="D421" s="8" t="str">
        <f>IFERROR(VLOOKUP(B421,ชื่อสินค้า!A:D,4,FALSE),"")</f>
        <v/>
      </c>
      <c r="E421" s="9"/>
      <c r="F421" s="21" t="str">
        <f t="shared" si="10"/>
        <v/>
      </c>
      <c r="G421" s="22"/>
      <c r="H421" s="8">
        <f>IFERROR(VLOOKUP(G421,ซื้อสินค้า!H:I,2,FALSE),)</f>
        <v>0</v>
      </c>
      <c r="I421" s="21">
        <f>IFERROR(VLOOKUP(G421,ซื้อสินค้า!H:J,3,FALSE),)</f>
        <v>0</v>
      </c>
      <c r="J421" s="21">
        <f t="shared" si="11"/>
        <v>0</v>
      </c>
      <c r="K421" s="21">
        <f t="shared" si="12"/>
        <v>0</v>
      </c>
      <c r="L421" s="12">
        <f t="shared" si="13"/>
        <v>0</v>
      </c>
      <c r="M421" s="21">
        <f t="shared" si="14"/>
        <v>0</v>
      </c>
      <c r="N421" s="9" t="str">
        <f ca="1">IFERROR(__xludf.DUMMYFUNCTION("IF(G421&lt;&gt;"""",G421, IFERROR(TRANSPOSE(FILTER('ซื้อสินค้า'!H:H,'ซื้อสินค้า'!B:B=B421,'ซื้อสินค้า'!I:I&gt;0)),))"),"")</f>
        <v/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>
      <c r="A422" s="5"/>
      <c r="B422" s="6"/>
      <c r="C422" s="20">
        <f>IFERROR(VLOOKUP(B422,ชื่อสินค้า!A:C,3,FALSE),)</f>
        <v>0</v>
      </c>
      <c r="D422" s="8" t="str">
        <f>IFERROR(VLOOKUP(B422,ชื่อสินค้า!A:D,4,FALSE),"")</f>
        <v/>
      </c>
      <c r="E422" s="9"/>
      <c r="F422" s="21" t="str">
        <f t="shared" si="10"/>
        <v/>
      </c>
      <c r="G422" s="22"/>
      <c r="H422" s="8">
        <f>IFERROR(VLOOKUP(G422,ซื้อสินค้า!H:I,2,FALSE),)</f>
        <v>0</v>
      </c>
      <c r="I422" s="21">
        <f>IFERROR(VLOOKUP(G422,ซื้อสินค้า!H:J,3,FALSE),)</f>
        <v>0</v>
      </c>
      <c r="J422" s="21">
        <f t="shared" si="11"/>
        <v>0</v>
      </c>
      <c r="K422" s="21">
        <f t="shared" si="12"/>
        <v>0</v>
      </c>
      <c r="L422" s="12">
        <f t="shared" si="13"/>
        <v>0</v>
      </c>
      <c r="M422" s="21">
        <f t="shared" si="14"/>
        <v>0</v>
      </c>
      <c r="N422" s="9" t="str">
        <f ca="1">IFERROR(__xludf.DUMMYFUNCTION("IF(G422&lt;&gt;"""",G422, IFERROR(TRANSPOSE(FILTER('ซื้อสินค้า'!H:H,'ซื้อสินค้า'!B:B=B422,'ซื้อสินค้า'!I:I&gt;0)),))"),"")</f>
        <v/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>
      <c r="A423" s="5"/>
      <c r="B423" s="6"/>
      <c r="C423" s="20">
        <f>IFERROR(VLOOKUP(B423,ชื่อสินค้า!A:C,3,FALSE),)</f>
        <v>0</v>
      </c>
      <c r="D423" s="8" t="str">
        <f>IFERROR(VLOOKUP(B423,ชื่อสินค้า!A:D,4,FALSE),"")</f>
        <v/>
      </c>
      <c r="E423" s="9"/>
      <c r="F423" s="21" t="str">
        <f t="shared" si="10"/>
        <v/>
      </c>
      <c r="G423" s="22"/>
      <c r="H423" s="8">
        <f>IFERROR(VLOOKUP(G423,ซื้อสินค้า!H:I,2,FALSE),)</f>
        <v>0</v>
      </c>
      <c r="I423" s="21">
        <f>IFERROR(VLOOKUP(G423,ซื้อสินค้า!H:J,3,FALSE),)</f>
        <v>0</v>
      </c>
      <c r="J423" s="21">
        <f t="shared" si="11"/>
        <v>0</v>
      </c>
      <c r="K423" s="21">
        <f t="shared" si="12"/>
        <v>0</v>
      </c>
      <c r="L423" s="12">
        <f t="shared" si="13"/>
        <v>0</v>
      </c>
      <c r="M423" s="21">
        <f t="shared" si="14"/>
        <v>0</v>
      </c>
      <c r="N423" s="9" t="str">
        <f ca="1">IFERROR(__xludf.DUMMYFUNCTION("IF(G423&lt;&gt;"""",G423, IFERROR(TRANSPOSE(FILTER('ซื้อสินค้า'!H:H,'ซื้อสินค้า'!B:B=B423,'ซื้อสินค้า'!I:I&gt;0)),))"),"")</f>
        <v/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>
      <c r="A424" s="5"/>
      <c r="B424" s="6"/>
      <c r="C424" s="20">
        <f>IFERROR(VLOOKUP(B424,ชื่อสินค้า!A:C,3,FALSE),)</f>
        <v>0</v>
      </c>
      <c r="D424" s="8" t="str">
        <f>IFERROR(VLOOKUP(B424,ชื่อสินค้า!A:D,4,FALSE),"")</f>
        <v/>
      </c>
      <c r="E424" s="9"/>
      <c r="F424" s="21" t="str">
        <f t="shared" si="10"/>
        <v/>
      </c>
      <c r="G424" s="22"/>
      <c r="H424" s="8">
        <f>IFERROR(VLOOKUP(G424,ซื้อสินค้า!H:I,2,FALSE),)</f>
        <v>0</v>
      </c>
      <c r="I424" s="21">
        <f>IFERROR(VLOOKUP(G424,ซื้อสินค้า!H:J,3,FALSE),)</f>
        <v>0</v>
      </c>
      <c r="J424" s="21">
        <f t="shared" si="11"/>
        <v>0</v>
      </c>
      <c r="K424" s="21">
        <f t="shared" si="12"/>
        <v>0</v>
      </c>
      <c r="L424" s="12">
        <f t="shared" si="13"/>
        <v>0</v>
      </c>
      <c r="M424" s="21">
        <f t="shared" si="14"/>
        <v>0</v>
      </c>
      <c r="N424" s="9" t="str">
        <f ca="1">IFERROR(__xludf.DUMMYFUNCTION("IF(G424&lt;&gt;"""",G424, IFERROR(TRANSPOSE(FILTER('ซื้อสินค้า'!H:H,'ซื้อสินค้า'!B:B=B424,'ซื้อสินค้า'!I:I&gt;0)),))"),"")</f>
        <v/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>
      <c r="A425" s="5"/>
      <c r="B425" s="6"/>
      <c r="C425" s="20">
        <f>IFERROR(VLOOKUP(B425,ชื่อสินค้า!A:C,3,FALSE),)</f>
        <v>0</v>
      </c>
      <c r="D425" s="8" t="str">
        <f>IFERROR(VLOOKUP(B425,ชื่อสินค้า!A:D,4,FALSE),"")</f>
        <v/>
      </c>
      <c r="E425" s="9"/>
      <c r="F425" s="21" t="str">
        <f t="shared" si="10"/>
        <v/>
      </c>
      <c r="G425" s="22"/>
      <c r="H425" s="8">
        <f>IFERROR(VLOOKUP(G425,ซื้อสินค้า!H:I,2,FALSE),)</f>
        <v>0</v>
      </c>
      <c r="I425" s="21">
        <f>IFERROR(VLOOKUP(G425,ซื้อสินค้า!H:J,3,FALSE),)</f>
        <v>0</v>
      </c>
      <c r="J425" s="21">
        <f t="shared" si="11"/>
        <v>0</v>
      </c>
      <c r="K425" s="21">
        <f t="shared" si="12"/>
        <v>0</v>
      </c>
      <c r="L425" s="12">
        <f t="shared" si="13"/>
        <v>0</v>
      </c>
      <c r="M425" s="21">
        <f t="shared" si="14"/>
        <v>0</v>
      </c>
      <c r="N425" s="9" t="str">
        <f ca="1">IFERROR(__xludf.DUMMYFUNCTION("IF(G425&lt;&gt;"""",G425, IFERROR(TRANSPOSE(FILTER('ซื้อสินค้า'!H:H,'ซื้อสินค้า'!B:B=B425,'ซื้อสินค้า'!I:I&gt;0)),))"),"")</f>
        <v/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>
      <c r="A426" s="5"/>
      <c r="B426" s="6"/>
      <c r="C426" s="20">
        <f>IFERROR(VLOOKUP(B426,ชื่อสินค้า!A:C,3,FALSE),)</f>
        <v>0</v>
      </c>
      <c r="D426" s="8" t="str">
        <f>IFERROR(VLOOKUP(B426,ชื่อสินค้า!A:D,4,FALSE),"")</f>
        <v/>
      </c>
      <c r="E426" s="9"/>
      <c r="F426" s="21" t="str">
        <f t="shared" si="10"/>
        <v/>
      </c>
      <c r="G426" s="22"/>
      <c r="H426" s="8">
        <f>IFERROR(VLOOKUP(G426,ซื้อสินค้า!H:I,2,FALSE),)</f>
        <v>0</v>
      </c>
      <c r="I426" s="21">
        <f>IFERROR(VLOOKUP(G426,ซื้อสินค้า!H:J,3,FALSE),)</f>
        <v>0</v>
      </c>
      <c r="J426" s="21">
        <f t="shared" si="11"/>
        <v>0</v>
      </c>
      <c r="K426" s="21">
        <f t="shared" si="12"/>
        <v>0</v>
      </c>
      <c r="L426" s="12">
        <f t="shared" si="13"/>
        <v>0</v>
      </c>
      <c r="M426" s="21">
        <f t="shared" si="14"/>
        <v>0</v>
      </c>
      <c r="N426" s="9" t="str">
        <f ca="1">IFERROR(__xludf.DUMMYFUNCTION("IF(G426&lt;&gt;"""",G426, IFERROR(TRANSPOSE(FILTER('ซื้อสินค้า'!H:H,'ซื้อสินค้า'!B:B=B426,'ซื้อสินค้า'!I:I&gt;0)),))"),"")</f>
        <v/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>
      <c r="A427" s="5"/>
      <c r="B427" s="6"/>
      <c r="C427" s="20">
        <f>IFERROR(VLOOKUP(B427,ชื่อสินค้า!A:C,3,FALSE),)</f>
        <v>0</v>
      </c>
      <c r="D427" s="8" t="str">
        <f>IFERROR(VLOOKUP(B427,ชื่อสินค้า!A:D,4,FALSE),"")</f>
        <v/>
      </c>
      <c r="E427" s="9"/>
      <c r="F427" s="21" t="str">
        <f t="shared" si="10"/>
        <v/>
      </c>
      <c r="G427" s="22"/>
      <c r="H427" s="8">
        <f>IFERROR(VLOOKUP(G427,ซื้อสินค้า!H:I,2,FALSE),)</f>
        <v>0</v>
      </c>
      <c r="I427" s="21">
        <f>IFERROR(VLOOKUP(G427,ซื้อสินค้า!H:J,3,FALSE),)</f>
        <v>0</v>
      </c>
      <c r="J427" s="21">
        <f t="shared" si="11"/>
        <v>0</v>
      </c>
      <c r="K427" s="21">
        <f t="shared" si="12"/>
        <v>0</v>
      </c>
      <c r="L427" s="12">
        <f t="shared" si="13"/>
        <v>0</v>
      </c>
      <c r="M427" s="21">
        <f t="shared" si="14"/>
        <v>0</v>
      </c>
      <c r="N427" s="9" t="str">
        <f ca="1">IFERROR(__xludf.DUMMYFUNCTION("IF(G427&lt;&gt;"""",G427, IFERROR(TRANSPOSE(FILTER('ซื้อสินค้า'!H:H,'ซื้อสินค้า'!B:B=B427,'ซื้อสินค้า'!I:I&gt;0)),))"),"")</f>
        <v/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>
      <c r="A428" s="5"/>
      <c r="B428" s="6"/>
      <c r="C428" s="20">
        <f>IFERROR(VLOOKUP(B428,ชื่อสินค้า!A:C,3,FALSE),)</f>
        <v>0</v>
      </c>
      <c r="D428" s="8" t="str">
        <f>IFERROR(VLOOKUP(B428,ชื่อสินค้า!A:D,4,FALSE),"")</f>
        <v/>
      </c>
      <c r="E428" s="9"/>
      <c r="F428" s="21" t="str">
        <f t="shared" si="10"/>
        <v/>
      </c>
      <c r="G428" s="22"/>
      <c r="H428" s="8">
        <f>IFERROR(VLOOKUP(G428,ซื้อสินค้า!H:I,2,FALSE),)</f>
        <v>0</v>
      </c>
      <c r="I428" s="21">
        <f>IFERROR(VLOOKUP(G428,ซื้อสินค้า!H:J,3,FALSE),)</f>
        <v>0</v>
      </c>
      <c r="J428" s="21">
        <f t="shared" si="11"/>
        <v>0</v>
      </c>
      <c r="K428" s="21">
        <f t="shared" si="12"/>
        <v>0</v>
      </c>
      <c r="L428" s="12">
        <f t="shared" si="13"/>
        <v>0</v>
      </c>
      <c r="M428" s="21">
        <f t="shared" si="14"/>
        <v>0</v>
      </c>
      <c r="N428" s="9" t="str">
        <f ca="1">IFERROR(__xludf.DUMMYFUNCTION("IF(G428&lt;&gt;"""",G428, IFERROR(TRANSPOSE(FILTER('ซื้อสินค้า'!H:H,'ซื้อสินค้า'!B:B=B428,'ซื้อสินค้า'!I:I&gt;0)),))"),"")</f>
        <v/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>
      <c r="A429" s="5"/>
      <c r="B429" s="6"/>
      <c r="C429" s="20">
        <f>IFERROR(VLOOKUP(B429,ชื่อสินค้า!A:C,3,FALSE),)</f>
        <v>0</v>
      </c>
      <c r="D429" s="8" t="str">
        <f>IFERROR(VLOOKUP(B429,ชื่อสินค้า!A:D,4,FALSE),"")</f>
        <v/>
      </c>
      <c r="E429" s="9"/>
      <c r="F429" s="21" t="str">
        <f t="shared" si="10"/>
        <v/>
      </c>
      <c r="G429" s="22"/>
      <c r="H429" s="8">
        <f>IFERROR(VLOOKUP(G429,ซื้อสินค้า!H:I,2,FALSE),)</f>
        <v>0</v>
      </c>
      <c r="I429" s="21">
        <f>IFERROR(VLOOKUP(G429,ซื้อสินค้า!H:J,3,FALSE),)</f>
        <v>0</v>
      </c>
      <c r="J429" s="21">
        <f t="shared" si="11"/>
        <v>0</v>
      </c>
      <c r="K429" s="21">
        <f t="shared" si="12"/>
        <v>0</v>
      </c>
      <c r="L429" s="12">
        <f t="shared" si="13"/>
        <v>0</v>
      </c>
      <c r="M429" s="21">
        <f t="shared" si="14"/>
        <v>0</v>
      </c>
      <c r="N429" s="9" t="str">
        <f ca="1">IFERROR(__xludf.DUMMYFUNCTION("IF(G429&lt;&gt;"""",G429, IFERROR(TRANSPOSE(FILTER('ซื้อสินค้า'!H:H,'ซื้อสินค้า'!B:B=B429,'ซื้อสินค้า'!I:I&gt;0)),))"),"")</f>
        <v/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>
      <c r="A430" s="5"/>
      <c r="B430" s="6"/>
      <c r="C430" s="20">
        <f>IFERROR(VLOOKUP(B430,ชื่อสินค้า!A:C,3,FALSE),)</f>
        <v>0</v>
      </c>
      <c r="D430" s="8" t="str">
        <f>IFERROR(VLOOKUP(B430,ชื่อสินค้า!A:D,4,FALSE),"")</f>
        <v/>
      </c>
      <c r="E430" s="9"/>
      <c r="F430" s="21" t="str">
        <f t="shared" si="10"/>
        <v/>
      </c>
      <c r="G430" s="22"/>
      <c r="H430" s="8">
        <f>IFERROR(VLOOKUP(G430,ซื้อสินค้า!H:I,2,FALSE),)</f>
        <v>0</v>
      </c>
      <c r="I430" s="21">
        <f>IFERROR(VLOOKUP(G430,ซื้อสินค้า!H:J,3,FALSE),)</f>
        <v>0</v>
      </c>
      <c r="J430" s="21">
        <f t="shared" si="11"/>
        <v>0</v>
      </c>
      <c r="K430" s="21">
        <f t="shared" si="12"/>
        <v>0</v>
      </c>
      <c r="L430" s="12">
        <f t="shared" si="13"/>
        <v>0</v>
      </c>
      <c r="M430" s="21">
        <f t="shared" si="14"/>
        <v>0</v>
      </c>
      <c r="N430" s="9" t="str">
        <f ca="1">IFERROR(__xludf.DUMMYFUNCTION("IF(G430&lt;&gt;"""",G430, IFERROR(TRANSPOSE(FILTER('ซื้อสินค้า'!H:H,'ซื้อสินค้า'!B:B=B430,'ซื้อสินค้า'!I:I&gt;0)),))"),"")</f>
        <v/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>
      <c r="A431" s="5"/>
      <c r="B431" s="6"/>
      <c r="C431" s="20">
        <f>IFERROR(VLOOKUP(B431,ชื่อสินค้า!A:C,3,FALSE),)</f>
        <v>0</v>
      </c>
      <c r="D431" s="8" t="str">
        <f>IFERROR(VLOOKUP(B431,ชื่อสินค้า!A:D,4,FALSE),"")</f>
        <v/>
      </c>
      <c r="E431" s="9"/>
      <c r="F431" s="21" t="str">
        <f t="shared" si="10"/>
        <v/>
      </c>
      <c r="G431" s="22"/>
      <c r="H431" s="8">
        <f>IFERROR(VLOOKUP(G431,ซื้อสินค้า!H:I,2,FALSE),)</f>
        <v>0</v>
      </c>
      <c r="I431" s="21">
        <f>IFERROR(VLOOKUP(G431,ซื้อสินค้า!H:J,3,FALSE),)</f>
        <v>0</v>
      </c>
      <c r="J431" s="21">
        <f t="shared" si="11"/>
        <v>0</v>
      </c>
      <c r="K431" s="21">
        <f t="shared" si="12"/>
        <v>0</v>
      </c>
      <c r="L431" s="12">
        <f t="shared" si="13"/>
        <v>0</v>
      </c>
      <c r="M431" s="21">
        <f t="shared" si="14"/>
        <v>0</v>
      </c>
      <c r="N431" s="9" t="str">
        <f ca="1">IFERROR(__xludf.DUMMYFUNCTION("IF(G431&lt;&gt;"""",G431, IFERROR(TRANSPOSE(FILTER('ซื้อสินค้า'!H:H,'ซื้อสินค้า'!B:B=B431,'ซื้อสินค้า'!I:I&gt;0)),))"),"")</f>
        <v/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>
      <c r="A432" s="5"/>
      <c r="B432" s="6"/>
      <c r="C432" s="20">
        <f>IFERROR(VLOOKUP(B432,ชื่อสินค้า!A:C,3,FALSE),)</f>
        <v>0</v>
      </c>
      <c r="D432" s="8" t="str">
        <f>IFERROR(VLOOKUP(B432,ชื่อสินค้า!A:D,4,FALSE),"")</f>
        <v/>
      </c>
      <c r="E432" s="9"/>
      <c r="F432" s="21" t="str">
        <f t="shared" si="10"/>
        <v/>
      </c>
      <c r="G432" s="22"/>
      <c r="H432" s="8">
        <f>IFERROR(VLOOKUP(G432,ซื้อสินค้า!H:I,2,FALSE),)</f>
        <v>0</v>
      </c>
      <c r="I432" s="21">
        <f>IFERROR(VLOOKUP(G432,ซื้อสินค้า!H:J,3,FALSE),)</f>
        <v>0</v>
      </c>
      <c r="J432" s="21">
        <f t="shared" si="11"/>
        <v>0</v>
      </c>
      <c r="K432" s="21">
        <f t="shared" si="12"/>
        <v>0</v>
      </c>
      <c r="L432" s="12">
        <f t="shared" si="13"/>
        <v>0</v>
      </c>
      <c r="M432" s="21">
        <f t="shared" si="14"/>
        <v>0</v>
      </c>
      <c r="N432" s="9" t="str">
        <f ca="1">IFERROR(__xludf.DUMMYFUNCTION("IF(G432&lt;&gt;"""",G432, IFERROR(TRANSPOSE(FILTER('ซื้อสินค้า'!H:H,'ซื้อสินค้า'!B:B=B432,'ซื้อสินค้า'!I:I&gt;0)),))"),"")</f>
        <v/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>
      <c r="A433" s="5"/>
      <c r="B433" s="6"/>
      <c r="C433" s="20">
        <f>IFERROR(VLOOKUP(B433,ชื่อสินค้า!A:C,3,FALSE),)</f>
        <v>0</v>
      </c>
      <c r="D433" s="8" t="str">
        <f>IFERROR(VLOOKUP(B433,ชื่อสินค้า!A:D,4,FALSE),"")</f>
        <v/>
      </c>
      <c r="E433" s="9"/>
      <c r="F433" s="21" t="str">
        <f t="shared" si="10"/>
        <v/>
      </c>
      <c r="G433" s="22"/>
      <c r="H433" s="8">
        <f>IFERROR(VLOOKUP(G433,ซื้อสินค้า!H:I,2,FALSE),)</f>
        <v>0</v>
      </c>
      <c r="I433" s="21">
        <f>IFERROR(VLOOKUP(G433,ซื้อสินค้า!H:J,3,FALSE),)</f>
        <v>0</v>
      </c>
      <c r="J433" s="21">
        <f t="shared" si="11"/>
        <v>0</v>
      </c>
      <c r="K433" s="21">
        <f t="shared" si="12"/>
        <v>0</v>
      </c>
      <c r="L433" s="12">
        <f t="shared" si="13"/>
        <v>0</v>
      </c>
      <c r="M433" s="21">
        <f t="shared" si="14"/>
        <v>0</v>
      </c>
      <c r="N433" s="9" t="str">
        <f ca="1">IFERROR(__xludf.DUMMYFUNCTION("IF(G433&lt;&gt;"""",G433, IFERROR(TRANSPOSE(FILTER('ซื้อสินค้า'!H:H,'ซื้อสินค้า'!B:B=B433,'ซื้อสินค้า'!I:I&gt;0)),))"),"")</f>
        <v/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>
      <c r="A434" s="5"/>
      <c r="B434" s="6"/>
      <c r="C434" s="20">
        <f>IFERROR(VLOOKUP(B434,ชื่อสินค้า!A:C,3,FALSE),)</f>
        <v>0</v>
      </c>
      <c r="D434" s="8" t="str">
        <f>IFERROR(VLOOKUP(B434,ชื่อสินค้า!A:D,4,FALSE),"")</f>
        <v/>
      </c>
      <c r="E434" s="9"/>
      <c r="F434" s="21" t="str">
        <f t="shared" si="10"/>
        <v/>
      </c>
      <c r="G434" s="22"/>
      <c r="H434" s="8">
        <f>IFERROR(VLOOKUP(G434,ซื้อสินค้า!H:I,2,FALSE),)</f>
        <v>0</v>
      </c>
      <c r="I434" s="21">
        <f>IFERROR(VLOOKUP(G434,ซื้อสินค้า!H:J,3,FALSE),)</f>
        <v>0</v>
      </c>
      <c r="J434" s="21">
        <f t="shared" si="11"/>
        <v>0</v>
      </c>
      <c r="K434" s="21">
        <f t="shared" si="12"/>
        <v>0</v>
      </c>
      <c r="L434" s="12">
        <f t="shared" si="13"/>
        <v>0</v>
      </c>
      <c r="M434" s="21">
        <f t="shared" si="14"/>
        <v>0</v>
      </c>
      <c r="N434" s="9" t="str">
        <f ca="1">IFERROR(__xludf.DUMMYFUNCTION("IF(G434&lt;&gt;"""",G434, IFERROR(TRANSPOSE(FILTER('ซื้อสินค้า'!H:H,'ซื้อสินค้า'!B:B=B434,'ซื้อสินค้า'!I:I&gt;0)),))"),"")</f>
        <v/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>
      <c r="A435" s="5"/>
      <c r="B435" s="6"/>
      <c r="C435" s="20">
        <f>IFERROR(VLOOKUP(B435,ชื่อสินค้า!A:C,3,FALSE),)</f>
        <v>0</v>
      </c>
      <c r="D435" s="8" t="str">
        <f>IFERROR(VLOOKUP(B435,ชื่อสินค้า!A:D,4,FALSE),"")</f>
        <v/>
      </c>
      <c r="E435" s="9"/>
      <c r="F435" s="21" t="str">
        <f t="shared" si="10"/>
        <v/>
      </c>
      <c r="G435" s="22"/>
      <c r="H435" s="8">
        <f>IFERROR(VLOOKUP(G435,ซื้อสินค้า!H:I,2,FALSE),)</f>
        <v>0</v>
      </c>
      <c r="I435" s="21">
        <f>IFERROR(VLOOKUP(G435,ซื้อสินค้า!H:J,3,FALSE),)</f>
        <v>0</v>
      </c>
      <c r="J435" s="21">
        <f t="shared" si="11"/>
        <v>0</v>
      </c>
      <c r="K435" s="21">
        <f t="shared" si="12"/>
        <v>0</v>
      </c>
      <c r="L435" s="12">
        <f t="shared" si="13"/>
        <v>0</v>
      </c>
      <c r="M435" s="21">
        <f t="shared" si="14"/>
        <v>0</v>
      </c>
      <c r="N435" s="9" t="str">
        <f ca="1">IFERROR(__xludf.DUMMYFUNCTION("IF(G435&lt;&gt;"""",G435, IFERROR(TRANSPOSE(FILTER('ซื้อสินค้า'!H:H,'ซื้อสินค้า'!B:B=B435,'ซื้อสินค้า'!I:I&gt;0)),))"),"")</f>
        <v/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>
      <c r="A436" s="5"/>
      <c r="B436" s="6"/>
      <c r="C436" s="20">
        <f>IFERROR(VLOOKUP(B436,ชื่อสินค้า!A:C,3,FALSE),)</f>
        <v>0</v>
      </c>
      <c r="D436" s="8" t="str">
        <f>IFERROR(VLOOKUP(B436,ชื่อสินค้า!A:D,4,FALSE),"")</f>
        <v/>
      </c>
      <c r="E436" s="9"/>
      <c r="F436" s="21" t="str">
        <f t="shared" si="10"/>
        <v/>
      </c>
      <c r="G436" s="22"/>
      <c r="H436" s="8">
        <f>IFERROR(VLOOKUP(G436,ซื้อสินค้า!H:I,2,FALSE),)</f>
        <v>0</v>
      </c>
      <c r="I436" s="21">
        <f>IFERROR(VLOOKUP(G436,ซื้อสินค้า!H:J,3,FALSE),)</f>
        <v>0</v>
      </c>
      <c r="J436" s="21">
        <f t="shared" si="11"/>
        <v>0</v>
      </c>
      <c r="K436" s="21">
        <f t="shared" si="12"/>
        <v>0</v>
      </c>
      <c r="L436" s="12">
        <f t="shared" si="13"/>
        <v>0</v>
      </c>
      <c r="M436" s="21">
        <f t="shared" si="14"/>
        <v>0</v>
      </c>
      <c r="N436" s="9" t="str">
        <f ca="1">IFERROR(__xludf.DUMMYFUNCTION("IF(G436&lt;&gt;"""",G436, IFERROR(TRANSPOSE(FILTER('ซื้อสินค้า'!H:H,'ซื้อสินค้า'!B:B=B436,'ซื้อสินค้า'!I:I&gt;0)),))"),"")</f>
        <v/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>
      <c r="A437" s="5"/>
      <c r="B437" s="6"/>
      <c r="C437" s="20">
        <f>IFERROR(VLOOKUP(B437,ชื่อสินค้า!A:C,3,FALSE),)</f>
        <v>0</v>
      </c>
      <c r="D437" s="8" t="str">
        <f>IFERROR(VLOOKUP(B437,ชื่อสินค้า!A:D,4,FALSE),"")</f>
        <v/>
      </c>
      <c r="E437" s="9"/>
      <c r="F437" s="21" t="str">
        <f t="shared" si="10"/>
        <v/>
      </c>
      <c r="G437" s="22"/>
      <c r="H437" s="8">
        <f>IFERROR(VLOOKUP(G437,ซื้อสินค้า!H:I,2,FALSE),)</f>
        <v>0</v>
      </c>
      <c r="I437" s="21">
        <f>IFERROR(VLOOKUP(G437,ซื้อสินค้า!H:J,3,FALSE),)</f>
        <v>0</v>
      </c>
      <c r="J437" s="21">
        <f t="shared" si="11"/>
        <v>0</v>
      </c>
      <c r="K437" s="21">
        <f t="shared" si="12"/>
        <v>0</v>
      </c>
      <c r="L437" s="12">
        <f t="shared" si="13"/>
        <v>0</v>
      </c>
      <c r="M437" s="21">
        <f t="shared" si="14"/>
        <v>0</v>
      </c>
      <c r="N437" s="9" t="str">
        <f ca="1">IFERROR(__xludf.DUMMYFUNCTION("IF(G437&lt;&gt;"""",G437, IFERROR(TRANSPOSE(FILTER('ซื้อสินค้า'!H:H,'ซื้อสินค้า'!B:B=B437,'ซื้อสินค้า'!I:I&gt;0)),))"),"")</f>
        <v/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>
      <c r="A438" s="5"/>
      <c r="B438" s="6"/>
      <c r="C438" s="20">
        <f>IFERROR(VLOOKUP(B438,ชื่อสินค้า!A:C,3,FALSE),)</f>
        <v>0</v>
      </c>
      <c r="D438" s="8" t="str">
        <f>IFERROR(VLOOKUP(B438,ชื่อสินค้า!A:D,4,FALSE),"")</f>
        <v/>
      </c>
      <c r="E438" s="9"/>
      <c r="F438" s="21" t="str">
        <f t="shared" si="10"/>
        <v/>
      </c>
      <c r="G438" s="22"/>
      <c r="H438" s="8">
        <f>IFERROR(VLOOKUP(G438,ซื้อสินค้า!H:I,2,FALSE),)</f>
        <v>0</v>
      </c>
      <c r="I438" s="21">
        <f>IFERROR(VLOOKUP(G438,ซื้อสินค้า!H:J,3,FALSE),)</f>
        <v>0</v>
      </c>
      <c r="J438" s="21">
        <f t="shared" si="11"/>
        <v>0</v>
      </c>
      <c r="K438" s="21">
        <f t="shared" si="12"/>
        <v>0</v>
      </c>
      <c r="L438" s="12">
        <f t="shared" si="13"/>
        <v>0</v>
      </c>
      <c r="M438" s="21">
        <f t="shared" si="14"/>
        <v>0</v>
      </c>
      <c r="N438" s="9" t="str">
        <f ca="1">IFERROR(__xludf.DUMMYFUNCTION("IF(G438&lt;&gt;"""",G438, IFERROR(TRANSPOSE(FILTER('ซื้อสินค้า'!H:H,'ซื้อสินค้า'!B:B=B438,'ซื้อสินค้า'!I:I&gt;0)),))"),"")</f>
        <v/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>
      <c r="A439" s="5"/>
      <c r="B439" s="6"/>
      <c r="C439" s="20">
        <f>IFERROR(VLOOKUP(B439,ชื่อสินค้า!A:C,3,FALSE),)</f>
        <v>0</v>
      </c>
      <c r="D439" s="8" t="str">
        <f>IFERROR(VLOOKUP(B439,ชื่อสินค้า!A:D,4,FALSE),"")</f>
        <v/>
      </c>
      <c r="E439" s="9"/>
      <c r="F439" s="21" t="str">
        <f t="shared" si="10"/>
        <v/>
      </c>
      <c r="G439" s="22"/>
      <c r="H439" s="8">
        <f>IFERROR(VLOOKUP(G439,ซื้อสินค้า!H:I,2,FALSE),)</f>
        <v>0</v>
      </c>
      <c r="I439" s="21">
        <f>IFERROR(VLOOKUP(G439,ซื้อสินค้า!H:J,3,FALSE),)</f>
        <v>0</v>
      </c>
      <c r="J439" s="21">
        <f t="shared" si="11"/>
        <v>0</v>
      </c>
      <c r="K439" s="21">
        <f t="shared" si="12"/>
        <v>0</v>
      </c>
      <c r="L439" s="12">
        <f t="shared" si="13"/>
        <v>0</v>
      </c>
      <c r="M439" s="21">
        <f t="shared" si="14"/>
        <v>0</v>
      </c>
      <c r="N439" s="9" t="str">
        <f ca="1">IFERROR(__xludf.DUMMYFUNCTION("IF(G439&lt;&gt;"""",G439, IFERROR(TRANSPOSE(FILTER('ซื้อสินค้า'!H:H,'ซื้อสินค้า'!B:B=B439,'ซื้อสินค้า'!I:I&gt;0)),))"),"")</f>
        <v/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>
      <c r="A440" s="5"/>
      <c r="B440" s="6"/>
      <c r="C440" s="20">
        <f>IFERROR(VLOOKUP(B440,ชื่อสินค้า!A:C,3,FALSE),)</f>
        <v>0</v>
      </c>
      <c r="D440" s="8" t="str">
        <f>IFERROR(VLOOKUP(B440,ชื่อสินค้า!A:D,4,FALSE),"")</f>
        <v/>
      </c>
      <c r="E440" s="9"/>
      <c r="F440" s="21" t="str">
        <f t="shared" si="10"/>
        <v/>
      </c>
      <c r="G440" s="22"/>
      <c r="H440" s="8">
        <f>IFERROR(VLOOKUP(G440,ซื้อสินค้า!H:I,2,FALSE),)</f>
        <v>0</v>
      </c>
      <c r="I440" s="21">
        <f>IFERROR(VLOOKUP(G440,ซื้อสินค้า!H:J,3,FALSE),)</f>
        <v>0</v>
      </c>
      <c r="J440" s="21">
        <f t="shared" si="11"/>
        <v>0</v>
      </c>
      <c r="K440" s="21">
        <f t="shared" si="12"/>
        <v>0</v>
      </c>
      <c r="L440" s="12">
        <f t="shared" si="13"/>
        <v>0</v>
      </c>
      <c r="M440" s="21">
        <f t="shared" si="14"/>
        <v>0</v>
      </c>
      <c r="N440" s="9" t="str">
        <f ca="1">IFERROR(__xludf.DUMMYFUNCTION("IF(G440&lt;&gt;"""",G440, IFERROR(TRANSPOSE(FILTER('ซื้อสินค้า'!H:H,'ซื้อสินค้า'!B:B=B440,'ซื้อสินค้า'!I:I&gt;0)),))"),"")</f>
        <v/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>
      <c r="A441" s="5"/>
      <c r="B441" s="6"/>
      <c r="C441" s="20">
        <f>IFERROR(VLOOKUP(B441,ชื่อสินค้า!A:C,3,FALSE),)</f>
        <v>0</v>
      </c>
      <c r="D441" s="8" t="str">
        <f>IFERROR(VLOOKUP(B441,ชื่อสินค้า!A:D,4,FALSE),"")</f>
        <v/>
      </c>
      <c r="E441" s="9"/>
      <c r="F441" s="21" t="str">
        <f t="shared" si="10"/>
        <v/>
      </c>
      <c r="G441" s="22"/>
      <c r="H441" s="8">
        <f>IFERROR(VLOOKUP(G441,ซื้อสินค้า!H:I,2,FALSE),)</f>
        <v>0</v>
      </c>
      <c r="I441" s="21">
        <f>IFERROR(VLOOKUP(G441,ซื้อสินค้า!H:J,3,FALSE),)</f>
        <v>0</v>
      </c>
      <c r="J441" s="21">
        <f t="shared" si="11"/>
        <v>0</v>
      </c>
      <c r="K441" s="21">
        <f t="shared" si="12"/>
        <v>0</v>
      </c>
      <c r="L441" s="12">
        <f t="shared" si="13"/>
        <v>0</v>
      </c>
      <c r="M441" s="21">
        <f t="shared" si="14"/>
        <v>0</v>
      </c>
      <c r="N441" s="9" t="str">
        <f ca="1">IFERROR(__xludf.DUMMYFUNCTION("IF(G441&lt;&gt;"""",G441, IFERROR(TRANSPOSE(FILTER('ซื้อสินค้า'!H:H,'ซื้อสินค้า'!B:B=B441,'ซื้อสินค้า'!I:I&gt;0)),))"),"")</f>
        <v/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>
      <c r="A442" s="5"/>
      <c r="B442" s="6"/>
      <c r="C442" s="20">
        <f>IFERROR(VLOOKUP(B442,ชื่อสินค้า!A:C,3,FALSE),)</f>
        <v>0</v>
      </c>
      <c r="D442" s="8" t="str">
        <f>IFERROR(VLOOKUP(B442,ชื่อสินค้า!A:D,4,FALSE),"")</f>
        <v/>
      </c>
      <c r="E442" s="9"/>
      <c r="F442" s="21" t="str">
        <f t="shared" si="10"/>
        <v/>
      </c>
      <c r="G442" s="22"/>
      <c r="H442" s="8">
        <f>IFERROR(VLOOKUP(G442,ซื้อสินค้า!H:I,2,FALSE),)</f>
        <v>0</v>
      </c>
      <c r="I442" s="21">
        <f>IFERROR(VLOOKUP(G442,ซื้อสินค้า!H:J,3,FALSE),)</f>
        <v>0</v>
      </c>
      <c r="J442" s="21">
        <f t="shared" si="11"/>
        <v>0</v>
      </c>
      <c r="K442" s="21">
        <f t="shared" si="12"/>
        <v>0</v>
      </c>
      <c r="L442" s="12">
        <f t="shared" si="13"/>
        <v>0</v>
      </c>
      <c r="M442" s="21">
        <f t="shared" si="14"/>
        <v>0</v>
      </c>
      <c r="N442" s="9" t="str">
        <f ca="1">IFERROR(__xludf.DUMMYFUNCTION("IF(G442&lt;&gt;"""",G442, IFERROR(TRANSPOSE(FILTER('ซื้อสินค้า'!H:H,'ซื้อสินค้า'!B:B=B442,'ซื้อสินค้า'!I:I&gt;0)),))"),"")</f>
        <v/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>
      <c r="A443" s="5"/>
      <c r="B443" s="6"/>
      <c r="C443" s="20">
        <f>IFERROR(VLOOKUP(B443,ชื่อสินค้า!A:C,3,FALSE),)</f>
        <v>0</v>
      </c>
      <c r="D443" s="8" t="str">
        <f>IFERROR(VLOOKUP(B443,ชื่อสินค้า!A:D,4,FALSE),"")</f>
        <v/>
      </c>
      <c r="E443" s="9"/>
      <c r="F443" s="21" t="str">
        <f t="shared" si="10"/>
        <v/>
      </c>
      <c r="G443" s="22"/>
      <c r="H443" s="8">
        <f>IFERROR(VLOOKUP(G443,ซื้อสินค้า!H:I,2,FALSE),)</f>
        <v>0</v>
      </c>
      <c r="I443" s="21">
        <f>IFERROR(VLOOKUP(G443,ซื้อสินค้า!H:J,3,FALSE),)</f>
        <v>0</v>
      </c>
      <c r="J443" s="21">
        <f t="shared" si="11"/>
        <v>0</v>
      </c>
      <c r="K443" s="21">
        <f t="shared" si="12"/>
        <v>0</v>
      </c>
      <c r="L443" s="12">
        <f t="shared" si="13"/>
        <v>0</v>
      </c>
      <c r="M443" s="21">
        <f t="shared" si="14"/>
        <v>0</v>
      </c>
      <c r="N443" s="9" t="str">
        <f ca="1">IFERROR(__xludf.DUMMYFUNCTION("IF(G443&lt;&gt;"""",G443, IFERROR(TRANSPOSE(FILTER('ซื้อสินค้า'!H:H,'ซื้อสินค้า'!B:B=B443,'ซื้อสินค้า'!I:I&gt;0)),))"),"")</f>
        <v/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>
      <c r="A444" s="5"/>
      <c r="B444" s="6"/>
      <c r="C444" s="20">
        <f>IFERROR(VLOOKUP(B444,ชื่อสินค้า!A:C,3,FALSE),)</f>
        <v>0</v>
      </c>
      <c r="D444" s="8" t="str">
        <f>IFERROR(VLOOKUP(B444,ชื่อสินค้า!A:D,4,FALSE),"")</f>
        <v/>
      </c>
      <c r="E444" s="9"/>
      <c r="F444" s="21" t="str">
        <f t="shared" si="10"/>
        <v/>
      </c>
      <c r="G444" s="22"/>
      <c r="H444" s="8">
        <f>IFERROR(VLOOKUP(G444,ซื้อสินค้า!H:I,2,FALSE),)</f>
        <v>0</v>
      </c>
      <c r="I444" s="21">
        <f>IFERROR(VLOOKUP(G444,ซื้อสินค้า!H:J,3,FALSE),)</f>
        <v>0</v>
      </c>
      <c r="J444" s="21">
        <f t="shared" si="11"/>
        <v>0</v>
      </c>
      <c r="K444" s="21">
        <f t="shared" si="12"/>
        <v>0</v>
      </c>
      <c r="L444" s="12">
        <f t="shared" si="13"/>
        <v>0</v>
      </c>
      <c r="M444" s="21">
        <f t="shared" si="14"/>
        <v>0</v>
      </c>
      <c r="N444" s="9" t="str">
        <f ca="1">IFERROR(__xludf.DUMMYFUNCTION("IF(G444&lt;&gt;"""",G444, IFERROR(TRANSPOSE(FILTER('ซื้อสินค้า'!H:H,'ซื้อสินค้า'!B:B=B444,'ซื้อสินค้า'!I:I&gt;0)),))"),"")</f>
        <v/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>
      <c r="A445" s="5"/>
      <c r="B445" s="6"/>
      <c r="C445" s="20">
        <f>IFERROR(VLOOKUP(B445,ชื่อสินค้า!A:C,3,FALSE),)</f>
        <v>0</v>
      </c>
      <c r="D445" s="8" t="str">
        <f>IFERROR(VLOOKUP(B445,ชื่อสินค้า!A:D,4,FALSE),"")</f>
        <v/>
      </c>
      <c r="E445" s="9"/>
      <c r="F445" s="21" t="str">
        <f t="shared" si="10"/>
        <v/>
      </c>
      <c r="G445" s="22"/>
      <c r="H445" s="8">
        <f>IFERROR(VLOOKUP(G445,ซื้อสินค้า!H:I,2,FALSE),)</f>
        <v>0</v>
      </c>
      <c r="I445" s="21">
        <f>IFERROR(VLOOKUP(G445,ซื้อสินค้า!H:J,3,FALSE),)</f>
        <v>0</v>
      </c>
      <c r="J445" s="21">
        <f t="shared" si="11"/>
        <v>0</v>
      </c>
      <c r="K445" s="21">
        <f t="shared" si="12"/>
        <v>0</v>
      </c>
      <c r="L445" s="12">
        <f t="shared" si="13"/>
        <v>0</v>
      </c>
      <c r="M445" s="21">
        <f t="shared" si="14"/>
        <v>0</v>
      </c>
      <c r="N445" s="9" t="str">
        <f ca="1">IFERROR(__xludf.DUMMYFUNCTION("IF(G445&lt;&gt;"""",G445, IFERROR(TRANSPOSE(FILTER('ซื้อสินค้า'!H:H,'ซื้อสินค้า'!B:B=B445,'ซื้อสินค้า'!I:I&gt;0)),))"),"")</f>
        <v/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>
      <c r="A446" s="5"/>
      <c r="B446" s="6"/>
      <c r="C446" s="20">
        <f>IFERROR(VLOOKUP(B446,ชื่อสินค้า!A:C,3,FALSE),)</f>
        <v>0</v>
      </c>
      <c r="D446" s="8" t="str">
        <f>IFERROR(VLOOKUP(B446,ชื่อสินค้า!A:D,4,FALSE),"")</f>
        <v/>
      </c>
      <c r="E446" s="9"/>
      <c r="F446" s="21" t="str">
        <f t="shared" si="10"/>
        <v/>
      </c>
      <c r="G446" s="22"/>
      <c r="H446" s="8">
        <f>IFERROR(VLOOKUP(G446,ซื้อสินค้า!H:I,2,FALSE),)</f>
        <v>0</v>
      </c>
      <c r="I446" s="21">
        <f>IFERROR(VLOOKUP(G446,ซื้อสินค้า!H:J,3,FALSE),)</f>
        <v>0</v>
      </c>
      <c r="J446" s="21">
        <f t="shared" si="11"/>
        <v>0</v>
      </c>
      <c r="K446" s="21">
        <f t="shared" si="12"/>
        <v>0</v>
      </c>
      <c r="L446" s="12">
        <f t="shared" si="13"/>
        <v>0</v>
      </c>
      <c r="M446" s="21">
        <f t="shared" si="14"/>
        <v>0</v>
      </c>
      <c r="N446" s="9" t="str">
        <f ca="1">IFERROR(__xludf.DUMMYFUNCTION("IF(G446&lt;&gt;"""",G446, IFERROR(TRANSPOSE(FILTER('ซื้อสินค้า'!H:H,'ซื้อสินค้า'!B:B=B446,'ซื้อสินค้า'!I:I&gt;0)),))"),"")</f>
        <v/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>
      <c r="A447" s="5"/>
      <c r="B447" s="6"/>
      <c r="C447" s="20">
        <f>IFERROR(VLOOKUP(B447,ชื่อสินค้า!A:C,3,FALSE),)</f>
        <v>0</v>
      </c>
      <c r="D447" s="8" t="str">
        <f>IFERROR(VLOOKUP(B447,ชื่อสินค้า!A:D,4,FALSE),"")</f>
        <v/>
      </c>
      <c r="E447" s="9"/>
      <c r="F447" s="21" t="str">
        <f t="shared" si="10"/>
        <v/>
      </c>
      <c r="G447" s="22"/>
      <c r="H447" s="8">
        <f>IFERROR(VLOOKUP(G447,ซื้อสินค้า!H:I,2,FALSE),)</f>
        <v>0</v>
      </c>
      <c r="I447" s="21">
        <f>IFERROR(VLOOKUP(G447,ซื้อสินค้า!H:J,3,FALSE),)</f>
        <v>0</v>
      </c>
      <c r="J447" s="21">
        <f t="shared" si="11"/>
        <v>0</v>
      </c>
      <c r="K447" s="21">
        <f t="shared" si="12"/>
        <v>0</v>
      </c>
      <c r="L447" s="12">
        <f t="shared" si="13"/>
        <v>0</v>
      </c>
      <c r="M447" s="21">
        <f t="shared" si="14"/>
        <v>0</v>
      </c>
      <c r="N447" s="9" t="str">
        <f ca="1">IFERROR(__xludf.DUMMYFUNCTION("IF(G447&lt;&gt;"""",G447, IFERROR(TRANSPOSE(FILTER('ซื้อสินค้า'!H:H,'ซื้อสินค้า'!B:B=B447,'ซื้อสินค้า'!I:I&gt;0)),))"),"")</f>
        <v/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>
      <c r="A448" s="5"/>
      <c r="B448" s="6"/>
      <c r="C448" s="20">
        <f>IFERROR(VLOOKUP(B448,ชื่อสินค้า!A:C,3,FALSE),)</f>
        <v>0</v>
      </c>
      <c r="D448" s="8" t="str">
        <f>IFERROR(VLOOKUP(B448,ชื่อสินค้า!A:D,4,FALSE),"")</f>
        <v/>
      </c>
      <c r="E448" s="9"/>
      <c r="F448" s="21" t="str">
        <f t="shared" si="10"/>
        <v/>
      </c>
      <c r="G448" s="22"/>
      <c r="H448" s="8">
        <f>IFERROR(VLOOKUP(G448,ซื้อสินค้า!H:I,2,FALSE),)</f>
        <v>0</v>
      </c>
      <c r="I448" s="21">
        <f>IFERROR(VLOOKUP(G448,ซื้อสินค้า!H:J,3,FALSE),)</f>
        <v>0</v>
      </c>
      <c r="J448" s="21">
        <f t="shared" si="11"/>
        <v>0</v>
      </c>
      <c r="K448" s="21">
        <f t="shared" si="12"/>
        <v>0</v>
      </c>
      <c r="L448" s="12">
        <f t="shared" si="13"/>
        <v>0</v>
      </c>
      <c r="M448" s="21">
        <f t="shared" si="14"/>
        <v>0</v>
      </c>
      <c r="N448" s="9" t="str">
        <f ca="1">IFERROR(__xludf.DUMMYFUNCTION("IF(G448&lt;&gt;"""",G448, IFERROR(TRANSPOSE(FILTER('ซื้อสินค้า'!H:H,'ซื้อสินค้า'!B:B=B448,'ซื้อสินค้า'!I:I&gt;0)),))"),"")</f>
        <v/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>
      <c r="A449" s="5"/>
      <c r="B449" s="6"/>
      <c r="C449" s="20">
        <f>IFERROR(VLOOKUP(B449,ชื่อสินค้า!A:C,3,FALSE),)</f>
        <v>0</v>
      </c>
      <c r="D449" s="8" t="str">
        <f>IFERROR(VLOOKUP(B449,ชื่อสินค้า!A:D,4,FALSE),"")</f>
        <v/>
      </c>
      <c r="E449" s="9"/>
      <c r="F449" s="21" t="str">
        <f t="shared" si="10"/>
        <v/>
      </c>
      <c r="G449" s="22"/>
      <c r="H449" s="8">
        <f>IFERROR(VLOOKUP(G449,ซื้อสินค้า!H:I,2,FALSE),)</f>
        <v>0</v>
      </c>
      <c r="I449" s="21">
        <f>IFERROR(VLOOKUP(G449,ซื้อสินค้า!H:J,3,FALSE),)</f>
        <v>0</v>
      </c>
      <c r="J449" s="21">
        <f t="shared" si="11"/>
        <v>0</v>
      </c>
      <c r="K449" s="21">
        <f t="shared" si="12"/>
        <v>0</v>
      </c>
      <c r="L449" s="12">
        <f t="shared" si="13"/>
        <v>0</v>
      </c>
      <c r="M449" s="21">
        <f t="shared" si="14"/>
        <v>0</v>
      </c>
      <c r="N449" s="9" t="str">
        <f ca="1">IFERROR(__xludf.DUMMYFUNCTION("IF(G449&lt;&gt;"""",G449, IFERROR(TRANSPOSE(FILTER('ซื้อสินค้า'!H:H,'ซื้อสินค้า'!B:B=B449,'ซื้อสินค้า'!I:I&gt;0)),))"),"")</f>
        <v/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>
      <c r="A450" s="5"/>
      <c r="B450" s="6"/>
      <c r="C450" s="20">
        <f>IFERROR(VLOOKUP(B450,ชื่อสินค้า!A:C,3,FALSE),)</f>
        <v>0</v>
      </c>
      <c r="D450" s="8" t="str">
        <f>IFERROR(VLOOKUP(B450,ชื่อสินค้า!A:D,4,FALSE),"")</f>
        <v/>
      </c>
      <c r="E450" s="9"/>
      <c r="F450" s="21" t="str">
        <f t="shared" si="10"/>
        <v/>
      </c>
      <c r="G450" s="22"/>
      <c r="H450" s="8">
        <f>IFERROR(VLOOKUP(G450,ซื้อสินค้า!H:I,2,FALSE),)</f>
        <v>0</v>
      </c>
      <c r="I450" s="21">
        <f>IFERROR(VLOOKUP(G450,ซื้อสินค้า!H:J,3,FALSE),)</f>
        <v>0</v>
      </c>
      <c r="J450" s="21">
        <f t="shared" si="11"/>
        <v>0</v>
      </c>
      <c r="K450" s="21">
        <f t="shared" si="12"/>
        <v>0</v>
      </c>
      <c r="L450" s="12">
        <f t="shared" si="13"/>
        <v>0</v>
      </c>
      <c r="M450" s="21">
        <f t="shared" si="14"/>
        <v>0</v>
      </c>
      <c r="N450" s="9" t="str">
        <f ca="1">IFERROR(__xludf.DUMMYFUNCTION("IF(G450&lt;&gt;"""",G450, IFERROR(TRANSPOSE(FILTER('ซื้อสินค้า'!H:H,'ซื้อสินค้า'!B:B=B450,'ซื้อสินค้า'!I:I&gt;0)),))"),"")</f>
        <v/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>
      <c r="A451" s="5"/>
      <c r="B451" s="6"/>
      <c r="C451" s="20">
        <f>IFERROR(VLOOKUP(B451,ชื่อสินค้า!A:C,3,FALSE),)</f>
        <v>0</v>
      </c>
      <c r="D451" s="8" t="str">
        <f>IFERROR(VLOOKUP(B451,ชื่อสินค้า!A:D,4,FALSE),"")</f>
        <v/>
      </c>
      <c r="E451" s="9"/>
      <c r="F451" s="21" t="str">
        <f t="shared" si="10"/>
        <v/>
      </c>
      <c r="G451" s="22"/>
      <c r="H451" s="8">
        <f>IFERROR(VLOOKUP(G451,ซื้อสินค้า!H:I,2,FALSE),)</f>
        <v>0</v>
      </c>
      <c r="I451" s="21">
        <f>IFERROR(VLOOKUP(G451,ซื้อสินค้า!H:J,3,FALSE),)</f>
        <v>0</v>
      </c>
      <c r="J451" s="21">
        <f t="shared" si="11"/>
        <v>0</v>
      </c>
      <c r="K451" s="21">
        <f t="shared" si="12"/>
        <v>0</v>
      </c>
      <c r="L451" s="12">
        <f t="shared" si="13"/>
        <v>0</v>
      </c>
      <c r="M451" s="21">
        <f t="shared" si="14"/>
        <v>0</v>
      </c>
      <c r="N451" s="9" t="str">
        <f ca="1">IFERROR(__xludf.DUMMYFUNCTION("IF(G451&lt;&gt;"""",G451, IFERROR(TRANSPOSE(FILTER('ซื้อสินค้า'!H:H,'ซื้อสินค้า'!B:B=B451,'ซื้อสินค้า'!I:I&gt;0)),))"),"")</f>
        <v/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>
      <c r="A452" s="5"/>
      <c r="B452" s="6"/>
      <c r="C452" s="20">
        <f>IFERROR(VLOOKUP(B452,ชื่อสินค้า!A:C,3,FALSE),)</f>
        <v>0</v>
      </c>
      <c r="D452" s="8" t="str">
        <f>IFERROR(VLOOKUP(B452,ชื่อสินค้า!A:D,4,FALSE),"")</f>
        <v/>
      </c>
      <c r="E452" s="9"/>
      <c r="F452" s="21" t="str">
        <f t="shared" si="10"/>
        <v/>
      </c>
      <c r="G452" s="22"/>
      <c r="H452" s="8">
        <f>IFERROR(VLOOKUP(G452,ซื้อสินค้า!H:I,2,FALSE),)</f>
        <v>0</v>
      </c>
      <c r="I452" s="21">
        <f>IFERROR(VLOOKUP(G452,ซื้อสินค้า!H:J,3,FALSE),)</f>
        <v>0</v>
      </c>
      <c r="J452" s="21">
        <f t="shared" si="11"/>
        <v>0</v>
      </c>
      <c r="K452" s="21">
        <f t="shared" si="12"/>
        <v>0</v>
      </c>
      <c r="L452" s="12">
        <f t="shared" si="13"/>
        <v>0</v>
      </c>
      <c r="M452" s="21">
        <f t="shared" si="14"/>
        <v>0</v>
      </c>
      <c r="N452" s="9" t="str">
        <f ca="1">IFERROR(__xludf.DUMMYFUNCTION("IF(G452&lt;&gt;"""",G452, IFERROR(TRANSPOSE(FILTER('ซื้อสินค้า'!H:H,'ซื้อสินค้า'!B:B=B452,'ซื้อสินค้า'!I:I&gt;0)),))"),"")</f>
        <v/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>
      <c r="A453" s="5"/>
      <c r="B453" s="6"/>
      <c r="C453" s="20">
        <f>IFERROR(VLOOKUP(B453,ชื่อสินค้า!A:C,3,FALSE),)</f>
        <v>0</v>
      </c>
      <c r="D453" s="8" t="str">
        <f>IFERROR(VLOOKUP(B453,ชื่อสินค้า!A:D,4,FALSE),"")</f>
        <v/>
      </c>
      <c r="E453" s="9"/>
      <c r="F453" s="21" t="str">
        <f t="shared" si="10"/>
        <v/>
      </c>
      <c r="G453" s="22"/>
      <c r="H453" s="8">
        <f>IFERROR(VLOOKUP(G453,ซื้อสินค้า!H:I,2,FALSE),)</f>
        <v>0</v>
      </c>
      <c r="I453" s="21">
        <f>IFERROR(VLOOKUP(G453,ซื้อสินค้า!H:J,3,FALSE),)</f>
        <v>0</v>
      </c>
      <c r="J453" s="21">
        <f t="shared" si="11"/>
        <v>0</v>
      </c>
      <c r="K453" s="21">
        <f t="shared" si="12"/>
        <v>0</v>
      </c>
      <c r="L453" s="12">
        <f t="shared" si="13"/>
        <v>0</v>
      </c>
      <c r="M453" s="21">
        <f t="shared" si="14"/>
        <v>0</v>
      </c>
      <c r="N453" s="9" t="str">
        <f ca="1">IFERROR(__xludf.DUMMYFUNCTION("IF(G453&lt;&gt;"""",G453, IFERROR(TRANSPOSE(FILTER('ซื้อสินค้า'!H:H,'ซื้อสินค้า'!B:B=B453,'ซื้อสินค้า'!I:I&gt;0)),))"),"")</f>
        <v/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>
      <c r="A454" s="5"/>
      <c r="B454" s="6"/>
      <c r="C454" s="20">
        <f>IFERROR(VLOOKUP(B454,ชื่อสินค้า!A:C,3,FALSE),)</f>
        <v>0</v>
      </c>
      <c r="D454" s="8" t="str">
        <f>IFERROR(VLOOKUP(B454,ชื่อสินค้า!A:D,4,FALSE),"")</f>
        <v/>
      </c>
      <c r="E454" s="9"/>
      <c r="F454" s="21" t="str">
        <f t="shared" si="10"/>
        <v/>
      </c>
      <c r="G454" s="22"/>
      <c r="H454" s="8">
        <f>IFERROR(VLOOKUP(G454,ซื้อสินค้า!H:I,2,FALSE),)</f>
        <v>0</v>
      </c>
      <c r="I454" s="21">
        <f>IFERROR(VLOOKUP(G454,ซื้อสินค้า!H:J,3,FALSE),)</f>
        <v>0</v>
      </c>
      <c r="J454" s="21">
        <f t="shared" si="11"/>
        <v>0</v>
      </c>
      <c r="K454" s="21">
        <f t="shared" si="12"/>
        <v>0</v>
      </c>
      <c r="L454" s="12">
        <f t="shared" si="13"/>
        <v>0</v>
      </c>
      <c r="M454" s="21">
        <f t="shared" si="14"/>
        <v>0</v>
      </c>
      <c r="N454" s="9" t="str">
        <f ca="1">IFERROR(__xludf.DUMMYFUNCTION("IF(G454&lt;&gt;"""",G454, IFERROR(TRANSPOSE(FILTER('ซื้อสินค้า'!H:H,'ซื้อสินค้า'!B:B=B454,'ซื้อสินค้า'!I:I&gt;0)),))"),"")</f>
        <v/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>
      <c r="A455" s="5"/>
      <c r="B455" s="6"/>
      <c r="C455" s="20">
        <f>IFERROR(VLOOKUP(B455,ชื่อสินค้า!A:C,3,FALSE),)</f>
        <v>0</v>
      </c>
      <c r="D455" s="8" t="str">
        <f>IFERROR(VLOOKUP(B455,ชื่อสินค้า!A:D,4,FALSE),"")</f>
        <v/>
      </c>
      <c r="E455" s="9"/>
      <c r="F455" s="21" t="str">
        <f t="shared" si="10"/>
        <v/>
      </c>
      <c r="G455" s="22"/>
      <c r="H455" s="8">
        <f>IFERROR(VLOOKUP(G455,ซื้อสินค้า!H:I,2,FALSE),)</f>
        <v>0</v>
      </c>
      <c r="I455" s="21">
        <f>IFERROR(VLOOKUP(G455,ซื้อสินค้า!H:J,3,FALSE),)</f>
        <v>0</v>
      </c>
      <c r="J455" s="21">
        <f t="shared" si="11"/>
        <v>0</v>
      </c>
      <c r="K455" s="21">
        <f t="shared" si="12"/>
        <v>0</v>
      </c>
      <c r="L455" s="12">
        <f t="shared" si="13"/>
        <v>0</v>
      </c>
      <c r="M455" s="21">
        <f t="shared" si="14"/>
        <v>0</v>
      </c>
      <c r="N455" s="9" t="str">
        <f ca="1">IFERROR(__xludf.DUMMYFUNCTION("IF(G455&lt;&gt;"""",G455, IFERROR(TRANSPOSE(FILTER('ซื้อสินค้า'!H:H,'ซื้อสินค้า'!B:B=B455,'ซื้อสินค้า'!I:I&gt;0)),))"),"")</f>
        <v/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>
      <c r="A456" s="5"/>
      <c r="B456" s="6"/>
      <c r="C456" s="20">
        <f>IFERROR(VLOOKUP(B456,ชื่อสินค้า!A:C,3,FALSE),)</f>
        <v>0</v>
      </c>
      <c r="D456" s="8" t="str">
        <f>IFERROR(VLOOKUP(B456,ชื่อสินค้า!A:D,4,FALSE),"")</f>
        <v/>
      </c>
      <c r="E456" s="9"/>
      <c r="F456" s="21" t="str">
        <f t="shared" si="10"/>
        <v/>
      </c>
      <c r="G456" s="22"/>
      <c r="H456" s="8">
        <f>IFERROR(VLOOKUP(G456,ซื้อสินค้า!H:I,2,FALSE),)</f>
        <v>0</v>
      </c>
      <c r="I456" s="21">
        <f>IFERROR(VLOOKUP(G456,ซื้อสินค้า!H:J,3,FALSE),)</f>
        <v>0</v>
      </c>
      <c r="J456" s="21">
        <f t="shared" si="11"/>
        <v>0</v>
      </c>
      <c r="K456" s="21">
        <f t="shared" si="12"/>
        <v>0</v>
      </c>
      <c r="L456" s="12">
        <f t="shared" si="13"/>
        <v>0</v>
      </c>
      <c r="M456" s="21">
        <f t="shared" si="14"/>
        <v>0</v>
      </c>
      <c r="N456" s="9" t="str">
        <f ca="1">IFERROR(__xludf.DUMMYFUNCTION("IF(G456&lt;&gt;"""",G456, IFERROR(TRANSPOSE(FILTER('ซื้อสินค้า'!H:H,'ซื้อสินค้า'!B:B=B456,'ซื้อสินค้า'!I:I&gt;0)),))"),"")</f>
        <v/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>
      <c r="A457" s="5"/>
      <c r="B457" s="6"/>
      <c r="C457" s="20">
        <f>IFERROR(VLOOKUP(B457,ชื่อสินค้า!A:C,3,FALSE),)</f>
        <v>0</v>
      </c>
      <c r="D457" s="8" t="str">
        <f>IFERROR(VLOOKUP(B457,ชื่อสินค้า!A:D,4,FALSE),"")</f>
        <v/>
      </c>
      <c r="E457" s="9"/>
      <c r="F457" s="21" t="str">
        <f t="shared" si="10"/>
        <v/>
      </c>
      <c r="G457" s="22"/>
      <c r="H457" s="8">
        <f>IFERROR(VLOOKUP(G457,ซื้อสินค้า!H:I,2,FALSE),)</f>
        <v>0</v>
      </c>
      <c r="I457" s="21">
        <f>IFERROR(VLOOKUP(G457,ซื้อสินค้า!H:J,3,FALSE),)</f>
        <v>0</v>
      </c>
      <c r="J457" s="21">
        <f t="shared" si="11"/>
        <v>0</v>
      </c>
      <c r="K457" s="21">
        <f t="shared" si="12"/>
        <v>0</v>
      </c>
      <c r="L457" s="12">
        <f t="shared" si="13"/>
        <v>0</v>
      </c>
      <c r="M457" s="21">
        <f t="shared" si="14"/>
        <v>0</v>
      </c>
      <c r="N457" s="9" t="str">
        <f ca="1">IFERROR(__xludf.DUMMYFUNCTION("IF(G457&lt;&gt;"""",G457, IFERROR(TRANSPOSE(FILTER('ซื้อสินค้า'!H:H,'ซื้อสินค้า'!B:B=B457,'ซื้อสินค้า'!I:I&gt;0)),))"),"")</f>
        <v/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>
      <c r="A458" s="5"/>
      <c r="B458" s="6"/>
      <c r="C458" s="20">
        <f>IFERROR(VLOOKUP(B458,ชื่อสินค้า!A:C,3,FALSE),)</f>
        <v>0</v>
      </c>
      <c r="D458" s="8" t="str">
        <f>IFERROR(VLOOKUP(B458,ชื่อสินค้า!A:D,4,FALSE),"")</f>
        <v/>
      </c>
      <c r="E458" s="9"/>
      <c r="F458" s="21" t="str">
        <f t="shared" si="10"/>
        <v/>
      </c>
      <c r="G458" s="22"/>
      <c r="H458" s="8">
        <f>IFERROR(VLOOKUP(G458,ซื้อสินค้า!H:I,2,FALSE),)</f>
        <v>0</v>
      </c>
      <c r="I458" s="21">
        <f>IFERROR(VLOOKUP(G458,ซื้อสินค้า!H:J,3,FALSE),)</f>
        <v>0</v>
      </c>
      <c r="J458" s="21">
        <f t="shared" si="11"/>
        <v>0</v>
      </c>
      <c r="K458" s="21">
        <f t="shared" si="12"/>
        <v>0</v>
      </c>
      <c r="L458" s="12">
        <f t="shared" si="13"/>
        <v>0</v>
      </c>
      <c r="M458" s="21">
        <f t="shared" si="14"/>
        <v>0</v>
      </c>
      <c r="N458" s="9" t="str">
        <f ca="1">IFERROR(__xludf.DUMMYFUNCTION("IF(G458&lt;&gt;"""",G458, IFERROR(TRANSPOSE(FILTER('ซื้อสินค้า'!H:H,'ซื้อสินค้า'!B:B=B458,'ซื้อสินค้า'!I:I&gt;0)),))"),"")</f>
        <v/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>
      <c r="A459" s="5"/>
      <c r="B459" s="6"/>
      <c r="C459" s="20">
        <f>IFERROR(VLOOKUP(B459,ชื่อสินค้า!A:C,3,FALSE),)</f>
        <v>0</v>
      </c>
      <c r="D459" s="8" t="str">
        <f>IFERROR(VLOOKUP(B459,ชื่อสินค้า!A:D,4,FALSE),"")</f>
        <v/>
      </c>
      <c r="E459" s="9"/>
      <c r="F459" s="21" t="str">
        <f t="shared" si="10"/>
        <v/>
      </c>
      <c r="G459" s="22"/>
      <c r="H459" s="8">
        <f>IFERROR(VLOOKUP(G459,ซื้อสินค้า!H:I,2,FALSE),)</f>
        <v>0</v>
      </c>
      <c r="I459" s="21">
        <f>IFERROR(VLOOKUP(G459,ซื้อสินค้า!H:J,3,FALSE),)</f>
        <v>0</v>
      </c>
      <c r="J459" s="21">
        <f t="shared" si="11"/>
        <v>0</v>
      </c>
      <c r="K459" s="21">
        <f t="shared" si="12"/>
        <v>0</v>
      </c>
      <c r="L459" s="12">
        <f t="shared" si="13"/>
        <v>0</v>
      </c>
      <c r="M459" s="21">
        <f t="shared" si="14"/>
        <v>0</v>
      </c>
      <c r="N459" s="9" t="str">
        <f ca="1">IFERROR(__xludf.DUMMYFUNCTION("IF(G459&lt;&gt;"""",G459, IFERROR(TRANSPOSE(FILTER('ซื้อสินค้า'!H:H,'ซื้อสินค้า'!B:B=B459,'ซื้อสินค้า'!I:I&gt;0)),))"),"")</f>
        <v/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>
      <c r="A460" s="5"/>
      <c r="B460" s="6"/>
      <c r="C460" s="20">
        <f>IFERROR(VLOOKUP(B460,ชื่อสินค้า!A:C,3,FALSE),)</f>
        <v>0</v>
      </c>
      <c r="D460" s="8" t="str">
        <f>IFERROR(VLOOKUP(B460,ชื่อสินค้า!A:D,4,FALSE),"")</f>
        <v/>
      </c>
      <c r="E460" s="9"/>
      <c r="F460" s="21" t="str">
        <f t="shared" si="10"/>
        <v/>
      </c>
      <c r="G460" s="22"/>
      <c r="H460" s="8">
        <f>IFERROR(VLOOKUP(G460,ซื้อสินค้า!H:I,2,FALSE),)</f>
        <v>0</v>
      </c>
      <c r="I460" s="21">
        <f>IFERROR(VLOOKUP(G460,ซื้อสินค้า!H:J,3,FALSE),)</f>
        <v>0</v>
      </c>
      <c r="J460" s="21">
        <f t="shared" si="11"/>
        <v>0</v>
      </c>
      <c r="K460" s="21">
        <f t="shared" si="12"/>
        <v>0</v>
      </c>
      <c r="L460" s="12">
        <f t="shared" si="13"/>
        <v>0</v>
      </c>
      <c r="M460" s="21">
        <f t="shared" si="14"/>
        <v>0</v>
      </c>
      <c r="N460" s="9" t="str">
        <f ca="1">IFERROR(__xludf.DUMMYFUNCTION("IF(G460&lt;&gt;"""",G460, IFERROR(TRANSPOSE(FILTER('ซื้อสินค้า'!H:H,'ซื้อสินค้า'!B:B=B460,'ซื้อสินค้า'!I:I&gt;0)),))"),"")</f>
        <v/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>
      <c r="A461" s="5"/>
      <c r="B461" s="6"/>
      <c r="C461" s="20">
        <f>IFERROR(VLOOKUP(B461,ชื่อสินค้า!A:C,3,FALSE),)</f>
        <v>0</v>
      </c>
      <c r="D461" s="8" t="str">
        <f>IFERROR(VLOOKUP(B461,ชื่อสินค้า!A:D,4,FALSE),"")</f>
        <v/>
      </c>
      <c r="E461" s="9"/>
      <c r="F461" s="21" t="str">
        <f t="shared" si="10"/>
        <v/>
      </c>
      <c r="G461" s="22"/>
      <c r="H461" s="8">
        <f>IFERROR(VLOOKUP(G461,ซื้อสินค้า!H:I,2,FALSE),)</f>
        <v>0</v>
      </c>
      <c r="I461" s="21">
        <f>IFERROR(VLOOKUP(G461,ซื้อสินค้า!H:J,3,FALSE),)</f>
        <v>0</v>
      </c>
      <c r="J461" s="21">
        <f t="shared" si="11"/>
        <v>0</v>
      </c>
      <c r="K461" s="21">
        <f t="shared" si="12"/>
        <v>0</v>
      </c>
      <c r="L461" s="12">
        <f t="shared" si="13"/>
        <v>0</v>
      </c>
      <c r="M461" s="21">
        <f t="shared" si="14"/>
        <v>0</v>
      </c>
      <c r="N461" s="9" t="str">
        <f ca="1">IFERROR(__xludf.DUMMYFUNCTION("IF(G461&lt;&gt;"""",G461, IFERROR(TRANSPOSE(FILTER('ซื้อสินค้า'!H:H,'ซื้อสินค้า'!B:B=B461,'ซื้อสินค้า'!I:I&gt;0)),))"),"")</f>
        <v/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>
      <c r="A462" s="5"/>
      <c r="B462" s="6"/>
      <c r="C462" s="20">
        <f>IFERROR(VLOOKUP(B462,ชื่อสินค้า!A:C,3,FALSE),)</f>
        <v>0</v>
      </c>
      <c r="D462" s="8" t="str">
        <f>IFERROR(VLOOKUP(B462,ชื่อสินค้า!A:D,4,FALSE),"")</f>
        <v/>
      </c>
      <c r="E462" s="9"/>
      <c r="F462" s="21" t="str">
        <f t="shared" si="10"/>
        <v/>
      </c>
      <c r="G462" s="22"/>
      <c r="H462" s="8">
        <f>IFERROR(VLOOKUP(G462,ซื้อสินค้า!H:I,2,FALSE),)</f>
        <v>0</v>
      </c>
      <c r="I462" s="21">
        <f>IFERROR(VLOOKUP(G462,ซื้อสินค้า!H:J,3,FALSE),)</f>
        <v>0</v>
      </c>
      <c r="J462" s="21">
        <f t="shared" si="11"/>
        <v>0</v>
      </c>
      <c r="K462" s="21">
        <f t="shared" si="12"/>
        <v>0</v>
      </c>
      <c r="L462" s="12">
        <f t="shared" si="13"/>
        <v>0</v>
      </c>
      <c r="M462" s="21">
        <f t="shared" si="14"/>
        <v>0</v>
      </c>
      <c r="N462" s="9" t="str">
        <f ca="1">IFERROR(__xludf.DUMMYFUNCTION("IF(G462&lt;&gt;"""",G462, IFERROR(TRANSPOSE(FILTER('ซื้อสินค้า'!H:H,'ซื้อสินค้า'!B:B=B462,'ซื้อสินค้า'!I:I&gt;0)),))"),"")</f>
        <v/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>
      <c r="A463" s="5"/>
      <c r="B463" s="6"/>
      <c r="C463" s="20">
        <f>IFERROR(VLOOKUP(B463,ชื่อสินค้า!A:C,3,FALSE),)</f>
        <v>0</v>
      </c>
      <c r="D463" s="8" t="str">
        <f>IFERROR(VLOOKUP(B463,ชื่อสินค้า!A:D,4,FALSE),"")</f>
        <v/>
      </c>
      <c r="E463" s="9"/>
      <c r="F463" s="21" t="str">
        <f t="shared" si="10"/>
        <v/>
      </c>
      <c r="G463" s="22"/>
      <c r="H463" s="8">
        <f>IFERROR(VLOOKUP(G463,ซื้อสินค้า!H:I,2,FALSE),)</f>
        <v>0</v>
      </c>
      <c r="I463" s="21">
        <f>IFERROR(VLOOKUP(G463,ซื้อสินค้า!H:J,3,FALSE),)</f>
        <v>0</v>
      </c>
      <c r="J463" s="21">
        <f t="shared" si="11"/>
        <v>0</v>
      </c>
      <c r="K463" s="21">
        <f t="shared" si="12"/>
        <v>0</v>
      </c>
      <c r="L463" s="12">
        <f t="shared" si="13"/>
        <v>0</v>
      </c>
      <c r="M463" s="21">
        <f t="shared" si="14"/>
        <v>0</v>
      </c>
      <c r="N463" s="9" t="str">
        <f ca="1">IFERROR(__xludf.DUMMYFUNCTION("IF(G463&lt;&gt;"""",G463, IFERROR(TRANSPOSE(FILTER('ซื้อสินค้า'!H:H,'ซื้อสินค้า'!B:B=B463,'ซื้อสินค้า'!I:I&gt;0)),))"),"")</f>
        <v/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>
      <c r="A464" s="5"/>
      <c r="B464" s="6"/>
      <c r="C464" s="20">
        <f>IFERROR(VLOOKUP(B464,ชื่อสินค้า!A:C,3,FALSE),)</f>
        <v>0</v>
      </c>
      <c r="D464" s="8" t="str">
        <f>IFERROR(VLOOKUP(B464,ชื่อสินค้า!A:D,4,FALSE),"")</f>
        <v/>
      </c>
      <c r="E464" s="9"/>
      <c r="F464" s="21" t="str">
        <f t="shared" si="10"/>
        <v/>
      </c>
      <c r="G464" s="22"/>
      <c r="H464" s="8">
        <f>IFERROR(VLOOKUP(G464,ซื้อสินค้า!H:I,2,FALSE),)</f>
        <v>0</v>
      </c>
      <c r="I464" s="21">
        <f>IFERROR(VLOOKUP(G464,ซื้อสินค้า!H:J,3,FALSE),)</f>
        <v>0</v>
      </c>
      <c r="J464" s="21">
        <f t="shared" si="11"/>
        <v>0</v>
      </c>
      <c r="K464" s="21">
        <f t="shared" si="12"/>
        <v>0</v>
      </c>
      <c r="L464" s="12">
        <f t="shared" si="13"/>
        <v>0</v>
      </c>
      <c r="M464" s="21">
        <f t="shared" si="14"/>
        <v>0</v>
      </c>
      <c r="N464" s="9" t="str">
        <f ca="1">IFERROR(__xludf.DUMMYFUNCTION("IF(G464&lt;&gt;"""",G464, IFERROR(TRANSPOSE(FILTER('ซื้อสินค้า'!H:H,'ซื้อสินค้า'!B:B=B464,'ซื้อสินค้า'!I:I&gt;0)),))"),"")</f>
        <v/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>
      <c r="A465" s="5"/>
      <c r="B465" s="6"/>
      <c r="C465" s="20">
        <f>IFERROR(VLOOKUP(B465,ชื่อสินค้า!A:C,3,FALSE),)</f>
        <v>0</v>
      </c>
      <c r="D465" s="8" t="str">
        <f>IFERROR(VLOOKUP(B465,ชื่อสินค้า!A:D,4,FALSE),"")</f>
        <v/>
      </c>
      <c r="E465" s="9"/>
      <c r="F465" s="21" t="str">
        <f t="shared" si="10"/>
        <v/>
      </c>
      <c r="G465" s="22"/>
      <c r="H465" s="8">
        <f>IFERROR(VLOOKUP(G465,ซื้อสินค้า!H:I,2,FALSE),)</f>
        <v>0</v>
      </c>
      <c r="I465" s="21">
        <f>IFERROR(VLOOKUP(G465,ซื้อสินค้า!H:J,3,FALSE),)</f>
        <v>0</v>
      </c>
      <c r="J465" s="21">
        <f t="shared" si="11"/>
        <v>0</v>
      </c>
      <c r="K465" s="21">
        <f t="shared" si="12"/>
        <v>0</v>
      </c>
      <c r="L465" s="12">
        <f t="shared" si="13"/>
        <v>0</v>
      </c>
      <c r="M465" s="21">
        <f t="shared" si="14"/>
        <v>0</v>
      </c>
      <c r="N465" s="9" t="str">
        <f ca="1">IFERROR(__xludf.DUMMYFUNCTION("IF(G465&lt;&gt;"""",G465, IFERROR(TRANSPOSE(FILTER('ซื้อสินค้า'!H:H,'ซื้อสินค้า'!B:B=B465,'ซื้อสินค้า'!I:I&gt;0)),))"),"")</f>
        <v/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>
      <c r="A466" s="5"/>
      <c r="B466" s="6"/>
      <c r="C466" s="20">
        <f>IFERROR(VLOOKUP(B466,ชื่อสินค้า!A:C,3,FALSE),)</f>
        <v>0</v>
      </c>
      <c r="D466" s="8" t="str">
        <f>IFERROR(VLOOKUP(B466,ชื่อสินค้า!A:D,4,FALSE),"")</f>
        <v/>
      </c>
      <c r="E466" s="9"/>
      <c r="F466" s="21" t="str">
        <f t="shared" si="10"/>
        <v/>
      </c>
      <c r="G466" s="22"/>
      <c r="H466" s="8">
        <f>IFERROR(VLOOKUP(G466,ซื้อสินค้า!H:I,2,FALSE),)</f>
        <v>0</v>
      </c>
      <c r="I466" s="21">
        <f>IFERROR(VLOOKUP(G466,ซื้อสินค้า!H:J,3,FALSE),)</f>
        <v>0</v>
      </c>
      <c r="J466" s="21">
        <f t="shared" si="11"/>
        <v>0</v>
      </c>
      <c r="K466" s="21">
        <f t="shared" si="12"/>
        <v>0</v>
      </c>
      <c r="L466" s="12">
        <f t="shared" si="13"/>
        <v>0</v>
      </c>
      <c r="M466" s="21">
        <f t="shared" si="14"/>
        <v>0</v>
      </c>
      <c r="N466" s="9" t="str">
        <f ca="1">IFERROR(__xludf.DUMMYFUNCTION("IF(G466&lt;&gt;"""",G466, IFERROR(TRANSPOSE(FILTER('ซื้อสินค้า'!H:H,'ซื้อสินค้า'!B:B=B466,'ซื้อสินค้า'!I:I&gt;0)),))"),"")</f>
        <v/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>
      <c r="A467" s="5"/>
      <c r="B467" s="6"/>
      <c r="C467" s="20">
        <f>IFERROR(VLOOKUP(B467,ชื่อสินค้า!A:C,3,FALSE),)</f>
        <v>0</v>
      </c>
      <c r="D467" s="8" t="str">
        <f>IFERROR(VLOOKUP(B467,ชื่อสินค้า!A:D,4,FALSE),"")</f>
        <v/>
      </c>
      <c r="E467" s="9"/>
      <c r="F467" s="21" t="str">
        <f t="shared" si="10"/>
        <v/>
      </c>
      <c r="G467" s="22"/>
      <c r="H467" s="8">
        <f>IFERROR(VLOOKUP(G467,ซื้อสินค้า!H:I,2,FALSE),)</f>
        <v>0</v>
      </c>
      <c r="I467" s="21">
        <f>IFERROR(VLOOKUP(G467,ซื้อสินค้า!H:J,3,FALSE),)</f>
        <v>0</v>
      </c>
      <c r="J467" s="21">
        <f t="shared" si="11"/>
        <v>0</v>
      </c>
      <c r="K467" s="21">
        <f t="shared" si="12"/>
        <v>0</v>
      </c>
      <c r="L467" s="12">
        <f t="shared" si="13"/>
        <v>0</v>
      </c>
      <c r="M467" s="21">
        <f t="shared" si="14"/>
        <v>0</v>
      </c>
      <c r="N467" s="9" t="str">
        <f ca="1">IFERROR(__xludf.DUMMYFUNCTION("IF(G467&lt;&gt;"""",G467, IFERROR(TRANSPOSE(FILTER('ซื้อสินค้า'!H:H,'ซื้อสินค้า'!B:B=B467,'ซื้อสินค้า'!I:I&gt;0)),))"),"")</f>
        <v/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>
      <c r="A468" s="5"/>
      <c r="B468" s="6"/>
      <c r="C468" s="20">
        <f>IFERROR(VLOOKUP(B468,ชื่อสินค้า!A:C,3,FALSE),)</f>
        <v>0</v>
      </c>
      <c r="D468" s="8" t="str">
        <f>IFERROR(VLOOKUP(B468,ชื่อสินค้า!A:D,4,FALSE),"")</f>
        <v/>
      </c>
      <c r="E468" s="9"/>
      <c r="F468" s="21" t="str">
        <f t="shared" si="10"/>
        <v/>
      </c>
      <c r="G468" s="22"/>
      <c r="H468" s="8">
        <f>IFERROR(VLOOKUP(G468,ซื้อสินค้า!H:I,2,FALSE),)</f>
        <v>0</v>
      </c>
      <c r="I468" s="21">
        <f>IFERROR(VLOOKUP(G468,ซื้อสินค้า!H:J,3,FALSE),)</f>
        <v>0</v>
      </c>
      <c r="J468" s="21">
        <f t="shared" si="11"/>
        <v>0</v>
      </c>
      <c r="K468" s="21">
        <f t="shared" si="12"/>
        <v>0</v>
      </c>
      <c r="L468" s="12">
        <f t="shared" si="13"/>
        <v>0</v>
      </c>
      <c r="M468" s="21">
        <f t="shared" si="14"/>
        <v>0</v>
      </c>
      <c r="N468" s="9" t="str">
        <f ca="1">IFERROR(__xludf.DUMMYFUNCTION("IF(G468&lt;&gt;"""",G468, IFERROR(TRANSPOSE(FILTER('ซื้อสินค้า'!H:H,'ซื้อสินค้า'!B:B=B468,'ซื้อสินค้า'!I:I&gt;0)),))"),"")</f>
        <v/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>
      <c r="A469" s="5"/>
      <c r="B469" s="6"/>
      <c r="C469" s="20">
        <f>IFERROR(VLOOKUP(B469,ชื่อสินค้า!A:C,3,FALSE),)</f>
        <v>0</v>
      </c>
      <c r="D469" s="8" t="str">
        <f>IFERROR(VLOOKUP(B469,ชื่อสินค้า!A:D,4,FALSE),"")</f>
        <v/>
      </c>
      <c r="E469" s="9"/>
      <c r="F469" s="21" t="str">
        <f t="shared" si="10"/>
        <v/>
      </c>
      <c r="G469" s="22"/>
      <c r="H469" s="8">
        <f>IFERROR(VLOOKUP(G469,ซื้อสินค้า!H:I,2,FALSE),)</f>
        <v>0</v>
      </c>
      <c r="I469" s="21">
        <f>IFERROR(VLOOKUP(G469,ซื้อสินค้า!H:J,3,FALSE),)</f>
        <v>0</v>
      </c>
      <c r="J469" s="21">
        <f t="shared" si="11"/>
        <v>0</v>
      </c>
      <c r="K469" s="21">
        <f t="shared" si="12"/>
        <v>0</v>
      </c>
      <c r="L469" s="12">
        <f t="shared" si="13"/>
        <v>0</v>
      </c>
      <c r="M469" s="21">
        <f t="shared" si="14"/>
        <v>0</v>
      </c>
      <c r="N469" s="9" t="str">
        <f ca="1">IFERROR(__xludf.DUMMYFUNCTION("IF(G469&lt;&gt;"""",G469, IFERROR(TRANSPOSE(FILTER('ซื้อสินค้า'!H:H,'ซื้อสินค้า'!B:B=B469,'ซื้อสินค้า'!I:I&gt;0)),))"),"")</f>
        <v/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>
      <c r="A470" s="5"/>
      <c r="B470" s="6"/>
      <c r="C470" s="20">
        <f>IFERROR(VLOOKUP(B470,ชื่อสินค้า!A:C,3,FALSE),)</f>
        <v>0</v>
      </c>
      <c r="D470" s="8" t="str">
        <f>IFERROR(VLOOKUP(B470,ชื่อสินค้า!A:D,4,FALSE),"")</f>
        <v/>
      </c>
      <c r="E470" s="9"/>
      <c r="F470" s="21" t="str">
        <f t="shared" si="10"/>
        <v/>
      </c>
      <c r="G470" s="22"/>
      <c r="H470" s="8">
        <f>IFERROR(VLOOKUP(G470,ซื้อสินค้า!H:I,2,FALSE),)</f>
        <v>0</v>
      </c>
      <c r="I470" s="21">
        <f>IFERROR(VLOOKUP(G470,ซื้อสินค้า!H:J,3,FALSE),)</f>
        <v>0</v>
      </c>
      <c r="J470" s="21">
        <f t="shared" si="11"/>
        <v>0</v>
      </c>
      <c r="K470" s="21">
        <f t="shared" si="12"/>
        <v>0</v>
      </c>
      <c r="L470" s="12">
        <f t="shared" si="13"/>
        <v>0</v>
      </c>
      <c r="M470" s="21">
        <f t="shared" si="14"/>
        <v>0</v>
      </c>
      <c r="N470" s="9" t="str">
        <f ca="1">IFERROR(__xludf.DUMMYFUNCTION("IF(G470&lt;&gt;"""",G470, IFERROR(TRANSPOSE(FILTER('ซื้อสินค้า'!H:H,'ซื้อสินค้า'!B:B=B470,'ซื้อสินค้า'!I:I&gt;0)),))"),"")</f>
        <v/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>
      <c r="A471" s="5"/>
      <c r="B471" s="6"/>
      <c r="C471" s="20">
        <f>IFERROR(VLOOKUP(B471,ชื่อสินค้า!A:C,3,FALSE),)</f>
        <v>0</v>
      </c>
      <c r="D471" s="8" t="str">
        <f>IFERROR(VLOOKUP(B471,ชื่อสินค้า!A:D,4,FALSE),"")</f>
        <v/>
      </c>
      <c r="E471" s="9"/>
      <c r="F471" s="21" t="str">
        <f t="shared" si="10"/>
        <v/>
      </c>
      <c r="G471" s="22"/>
      <c r="H471" s="8">
        <f>IFERROR(VLOOKUP(G471,ซื้อสินค้า!H:I,2,FALSE),)</f>
        <v>0</v>
      </c>
      <c r="I471" s="21">
        <f>IFERROR(VLOOKUP(G471,ซื้อสินค้า!H:J,3,FALSE),)</f>
        <v>0</v>
      </c>
      <c r="J471" s="21">
        <f t="shared" si="11"/>
        <v>0</v>
      </c>
      <c r="K471" s="21">
        <f t="shared" si="12"/>
        <v>0</v>
      </c>
      <c r="L471" s="12">
        <f t="shared" si="13"/>
        <v>0</v>
      </c>
      <c r="M471" s="21">
        <f t="shared" si="14"/>
        <v>0</v>
      </c>
      <c r="N471" s="9" t="str">
        <f ca="1">IFERROR(__xludf.DUMMYFUNCTION("IF(G471&lt;&gt;"""",G471, IFERROR(TRANSPOSE(FILTER('ซื้อสินค้า'!H:H,'ซื้อสินค้า'!B:B=B471,'ซื้อสินค้า'!I:I&gt;0)),))"),"")</f>
        <v/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>
      <c r="A472" s="5"/>
      <c r="B472" s="6"/>
      <c r="C472" s="20">
        <f>IFERROR(VLOOKUP(B472,ชื่อสินค้า!A:C,3,FALSE),)</f>
        <v>0</v>
      </c>
      <c r="D472" s="8" t="str">
        <f>IFERROR(VLOOKUP(B472,ชื่อสินค้า!A:D,4,FALSE),"")</f>
        <v/>
      </c>
      <c r="E472" s="9"/>
      <c r="F472" s="21" t="str">
        <f t="shared" si="10"/>
        <v/>
      </c>
      <c r="G472" s="22"/>
      <c r="H472" s="8">
        <f>IFERROR(VLOOKUP(G472,ซื้อสินค้า!H:I,2,FALSE),)</f>
        <v>0</v>
      </c>
      <c r="I472" s="21">
        <f>IFERROR(VLOOKUP(G472,ซื้อสินค้า!H:J,3,FALSE),)</f>
        <v>0</v>
      </c>
      <c r="J472" s="21">
        <f t="shared" si="11"/>
        <v>0</v>
      </c>
      <c r="K472" s="21">
        <f t="shared" si="12"/>
        <v>0</v>
      </c>
      <c r="L472" s="12">
        <f t="shared" si="13"/>
        <v>0</v>
      </c>
      <c r="M472" s="21">
        <f t="shared" si="14"/>
        <v>0</v>
      </c>
      <c r="N472" s="9" t="str">
        <f ca="1">IFERROR(__xludf.DUMMYFUNCTION("IF(G472&lt;&gt;"""",G472, IFERROR(TRANSPOSE(FILTER('ซื้อสินค้า'!H:H,'ซื้อสินค้า'!B:B=B472,'ซื้อสินค้า'!I:I&gt;0)),))"),"")</f>
        <v/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>
      <c r="A473" s="5"/>
      <c r="B473" s="6"/>
      <c r="C473" s="20">
        <f>IFERROR(VLOOKUP(B473,ชื่อสินค้า!A:C,3,FALSE),)</f>
        <v>0</v>
      </c>
      <c r="D473" s="8" t="str">
        <f>IFERROR(VLOOKUP(B473,ชื่อสินค้า!A:D,4,FALSE),"")</f>
        <v/>
      </c>
      <c r="E473" s="9"/>
      <c r="F473" s="21" t="str">
        <f t="shared" si="10"/>
        <v/>
      </c>
      <c r="G473" s="22"/>
      <c r="H473" s="8">
        <f>IFERROR(VLOOKUP(G473,ซื้อสินค้า!H:I,2,FALSE),)</f>
        <v>0</v>
      </c>
      <c r="I473" s="21">
        <f>IFERROR(VLOOKUP(G473,ซื้อสินค้า!H:J,3,FALSE),)</f>
        <v>0</v>
      </c>
      <c r="J473" s="21">
        <f t="shared" si="11"/>
        <v>0</v>
      </c>
      <c r="K473" s="21">
        <f t="shared" si="12"/>
        <v>0</v>
      </c>
      <c r="L473" s="12">
        <f t="shared" si="13"/>
        <v>0</v>
      </c>
      <c r="M473" s="21">
        <f t="shared" si="14"/>
        <v>0</v>
      </c>
      <c r="N473" s="9" t="str">
        <f ca="1">IFERROR(__xludf.DUMMYFUNCTION("IF(G473&lt;&gt;"""",G473, IFERROR(TRANSPOSE(FILTER('ซื้อสินค้า'!H:H,'ซื้อสินค้า'!B:B=B473,'ซื้อสินค้า'!I:I&gt;0)),))"),"")</f>
        <v/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>
      <c r="A474" s="5"/>
      <c r="B474" s="6"/>
      <c r="C474" s="20">
        <f>IFERROR(VLOOKUP(B474,ชื่อสินค้า!A:C,3,FALSE),)</f>
        <v>0</v>
      </c>
      <c r="D474" s="8" t="str">
        <f>IFERROR(VLOOKUP(B474,ชื่อสินค้า!A:D,4,FALSE),"")</f>
        <v/>
      </c>
      <c r="E474" s="9"/>
      <c r="F474" s="21" t="str">
        <f t="shared" si="10"/>
        <v/>
      </c>
      <c r="G474" s="22"/>
      <c r="H474" s="8">
        <f>IFERROR(VLOOKUP(G474,ซื้อสินค้า!H:I,2,FALSE),)</f>
        <v>0</v>
      </c>
      <c r="I474" s="21">
        <f>IFERROR(VLOOKUP(G474,ซื้อสินค้า!H:J,3,FALSE),)</f>
        <v>0</v>
      </c>
      <c r="J474" s="21">
        <f t="shared" si="11"/>
        <v>0</v>
      </c>
      <c r="K474" s="21">
        <f t="shared" si="12"/>
        <v>0</v>
      </c>
      <c r="L474" s="12">
        <f t="shared" si="13"/>
        <v>0</v>
      </c>
      <c r="M474" s="21">
        <f t="shared" si="14"/>
        <v>0</v>
      </c>
      <c r="N474" s="9" t="str">
        <f ca="1">IFERROR(__xludf.DUMMYFUNCTION("IF(G474&lt;&gt;"""",G474, IFERROR(TRANSPOSE(FILTER('ซื้อสินค้า'!H:H,'ซื้อสินค้า'!B:B=B474,'ซื้อสินค้า'!I:I&gt;0)),))"),"")</f>
        <v/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>
      <c r="A475" s="5"/>
      <c r="B475" s="6"/>
      <c r="C475" s="20">
        <f>IFERROR(VLOOKUP(B475,ชื่อสินค้า!A:C,3,FALSE),)</f>
        <v>0</v>
      </c>
      <c r="D475" s="8" t="str">
        <f>IFERROR(VLOOKUP(B475,ชื่อสินค้า!A:D,4,FALSE),"")</f>
        <v/>
      </c>
      <c r="E475" s="9"/>
      <c r="F475" s="21" t="str">
        <f t="shared" si="10"/>
        <v/>
      </c>
      <c r="G475" s="22"/>
      <c r="H475" s="8">
        <f>IFERROR(VLOOKUP(G475,ซื้อสินค้า!H:I,2,FALSE),)</f>
        <v>0</v>
      </c>
      <c r="I475" s="21">
        <f>IFERROR(VLOOKUP(G475,ซื้อสินค้า!H:J,3,FALSE),)</f>
        <v>0</v>
      </c>
      <c r="J475" s="21">
        <f t="shared" si="11"/>
        <v>0</v>
      </c>
      <c r="K475" s="21">
        <f t="shared" si="12"/>
        <v>0</v>
      </c>
      <c r="L475" s="12">
        <f t="shared" si="13"/>
        <v>0</v>
      </c>
      <c r="M475" s="21">
        <f t="shared" si="14"/>
        <v>0</v>
      </c>
      <c r="N475" s="9" t="str">
        <f ca="1">IFERROR(__xludf.DUMMYFUNCTION("IF(G475&lt;&gt;"""",G475, IFERROR(TRANSPOSE(FILTER('ซื้อสินค้า'!H:H,'ซื้อสินค้า'!B:B=B475,'ซื้อสินค้า'!I:I&gt;0)),))"),"")</f>
        <v/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>
      <c r="A476" s="5"/>
      <c r="B476" s="6"/>
      <c r="C476" s="20">
        <f>IFERROR(VLOOKUP(B476,ชื่อสินค้า!A:C,3,FALSE),)</f>
        <v>0</v>
      </c>
      <c r="D476" s="8" t="str">
        <f>IFERROR(VLOOKUP(B476,ชื่อสินค้า!A:D,4,FALSE),"")</f>
        <v/>
      </c>
      <c r="E476" s="9"/>
      <c r="F476" s="21" t="str">
        <f t="shared" si="10"/>
        <v/>
      </c>
      <c r="G476" s="22"/>
      <c r="H476" s="8">
        <f>IFERROR(VLOOKUP(G476,ซื้อสินค้า!H:I,2,FALSE),)</f>
        <v>0</v>
      </c>
      <c r="I476" s="21">
        <f>IFERROR(VLOOKUP(G476,ซื้อสินค้า!H:J,3,FALSE),)</f>
        <v>0</v>
      </c>
      <c r="J476" s="21">
        <f t="shared" si="11"/>
        <v>0</v>
      </c>
      <c r="K476" s="21">
        <f t="shared" si="12"/>
        <v>0</v>
      </c>
      <c r="L476" s="12">
        <f t="shared" si="13"/>
        <v>0</v>
      </c>
      <c r="M476" s="21">
        <f t="shared" si="14"/>
        <v>0</v>
      </c>
      <c r="N476" s="9" t="str">
        <f ca="1">IFERROR(__xludf.DUMMYFUNCTION("IF(G476&lt;&gt;"""",G476, IFERROR(TRANSPOSE(FILTER('ซื้อสินค้า'!H:H,'ซื้อสินค้า'!B:B=B476,'ซื้อสินค้า'!I:I&gt;0)),))"),"")</f>
        <v/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>
      <c r="A477" s="5"/>
      <c r="B477" s="6"/>
      <c r="C477" s="20">
        <f>IFERROR(VLOOKUP(B477,ชื่อสินค้า!A:C,3,FALSE),)</f>
        <v>0</v>
      </c>
      <c r="D477" s="8" t="str">
        <f>IFERROR(VLOOKUP(B477,ชื่อสินค้า!A:D,4,FALSE),"")</f>
        <v/>
      </c>
      <c r="E477" s="9"/>
      <c r="F477" s="21" t="str">
        <f t="shared" si="10"/>
        <v/>
      </c>
      <c r="G477" s="22"/>
      <c r="H477" s="8">
        <f>IFERROR(VLOOKUP(G477,ซื้อสินค้า!H:I,2,FALSE),)</f>
        <v>0</v>
      </c>
      <c r="I477" s="21">
        <f>IFERROR(VLOOKUP(G477,ซื้อสินค้า!H:J,3,FALSE),)</f>
        <v>0</v>
      </c>
      <c r="J477" s="21">
        <f t="shared" si="11"/>
        <v>0</v>
      </c>
      <c r="K477" s="21">
        <f t="shared" si="12"/>
        <v>0</v>
      </c>
      <c r="L477" s="12">
        <f t="shared" si="13"/>
        <v>0</v>
      </c>
      <c r="M477" s="21">
        <f t="shared" si="14"/>
        <v>0</v>
      </c>
      <c r="N477" s="9" t="str">
        <f ca="1">IFERROR(__xludf.DUMMYFUNCTION("IF(G477&lt;&gt;"""",G477, IFERROR(TRANSPOSE(FILTER('ซื้อสินค้า'!H:H,'ซื้อสินค้า'!B:B=B477,'ซื้อสินค้า'!I:I&gt;0)),))"),"")</f>
        <v/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>
      <c r="A478" s="5"/>
      <c r="B478" s="6"/>
      <c r="C478" s="20">
        <f>IFERROR(VLOOKUP(B478,ชื่อสินค้า!A:C,3,FALSE),)</f>
        <v>0</v>
      </c>
      <c r="D478" s="8" t="str">
        <f>IFERROR(VLOOKUP(B478,ชื่อสินค้า!A:D,4,FALSE),"")</f>
        <v/>
      </c>
      <c r="E478" s="9"/>
      <c r="F478" s="21" t="str">
        <f t="shared" si="10"/>
        <v/>
      </c>
      <c r="G478" s="22"/>
      <c r="H478" s="8">
        <f>IFERROR(VLOOKUP(G478,ซื้อสินค้า!H:I,2,FALSE),)</f>
        <v>0</v>
      </c>
      <c r="I478" s="21">
        <f>IFERROR(VLOOKUP(G478,ซื้อสินค้า!H:J,3,FALSE),)</f>
        <v>0</v>
      </c>
      <c r="J478" s="21">
        <f t="shared" si="11"/>
        <v>0</v>
      </c>
      <c r="K478" s="21">
        <f t="shared" si="12"/>
        <v>0</v>
      </c>
      <c r="L478" s="12">
        <f t="shared" si="13"/>
        <v>0</v>
      </c>
      <c r="M478" s="21">
        <f t="shared" si="14"/>
        <v>0</v>
      </c>
      <c r="N478" s="9" t="str">
        <f ca="1">IFERROR(__xludf.DUMMYFUNCTION("IF(G478&lt;&gt;"""",G478, IFERROR(TRANSPOSE(FILTER('ซื้อสินค้า'!H:H,'ซื้อสินค้า'!B:B=B478,'ซื้อสินค้า'!I:I&gt;0)),))"),"")</f>
        <v/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>
      <c r="A479" s="5"/>
      <c r="B479" s="6"/>
      <c r="C479" s="20">
        <f>IFERROR(VLOOKUP(B479,ชื่อสินค้า!A:C,3,FALSE),)</f>
        <v>0</v>
      </c>
      <c r="D479" s="8" t="str">
        <f>IFERROR(VLOOKUP(B479,ชื่อสินค้า!A:D,4,FALSE),"")</f>
        <v/>
      </c>
      <c r="E479" s="9"/>
      <c r="F479" s="21" t="str">
        <f t="shared" si="10"/>
        <v/>
      </c>
      <c r="G479" s="22"/>
      <c r="H479" s="8">
        <f>IFERROR(VLOOKUP(G479,ซื้อสินค้า!H:I,2,FALSE),)</f>
        <v>0</v>
      </c>
      <c r="I479" s="21">
        <f>IFERROR(VLOOKUP(G479,ซื้อสินค้า!H:J,3,FALSE),)</f>
        <v>0</v>
      </c>
      <c r="J479" s="21">
        <f t="shared" si="11"/>
        <v>0</v>
      </c>
      <c r="K479" s="21">
        <f t="shared" si="12"/>
        <v>0</v>
      </c>
      <c r="L479" s="12">
        <f t="shared" si="13"/>
        <v>0</v>
      </c>
      <c r="M479" s="21">
        <f t="shared" si="14"/>
        <v>0</v>
      </c>
      <c r="N479" s="9" t="str">
        <f ca="1">IFERROR(__xludf.DUMMYFUNCTION("IF(G479&lt;&gt;"""",G479, IFERROR(TRANSPOSE(FILTER('ซื้อสินค้า'!H:H,'ซื้อสินค้า'!B:B=B479,'ซื้อสินค้า'!I:I&gt;0)),))"),"")</f>
        <v/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>
      <c r="A480" s="5"/>
      <c r="B480" s="6"/>
      <c r="C480" s="20">
        <f>IFERROR(VLOOKUP(B480,ชื่อสินค้า!A:C,3,FALSE),)</f>
        <v>0</v>
      </c>
      <c r="D480" s="8" t="str">
        <f>IFERROR(VLOOKUP(B480,ชื่อสินค้า!A:D,4,FALSE),"")</f>
        <v/>
      </c>
      <c r="E480" s="9"/>
      <c r="F480" s="21" t="str">
        <f t="shared" si="10"/>
        <v/>
      </c>
      <c r="G480" s="22"/>
      <c r="H480" s="8">
        <f>IFERROR(VLOOKUP(G480,ซื้อสินค้า!H:I,2,FALSE),)</f>
        <v>0</v>
      </c>
      <c r="I480" s="21">
        <f>IFERROR(VLOOKUP(G480,ซื้อสินค้า!H:J,3,FALSE),)</f>
        <v>0</v>
      </c>
      <c r="J480" s="21">
        <f t="shared" si="11"/>
        <v>0</v>
      </c>
      <c r="K480" s="21">
        <f t="shared" si="12"/>
        <v>0</v>
      </c>
      <c r="L480" s="12">
        <f t="shared" si="13"/>
        <v>0</v>
      </c>
      <c r="M480" s="21">
        <f t="shared" si="14"/>
        <v>0</v>
      </c>
      <c r="N480" s="9" t="str">
        <f ca="1">IFERROR(__xludf.DUMMYFUNCTION("IF(G480&lt;&gt;"""",G480, IFERROR(TRANSPOSE(FILTER('ซื้อสินค้า'!H:H,'ซื้อสินค้า'!B:B=B480,'ซื้อสินค้า'!I:I&gt;0)),))"),"")</f>
        <v/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>
      <c r="A481" s="5"/>
      <c r="B481" s="6"/>
      <c r="C481" s="20">
        <f>IFERROR(VLOOKUP(B481,ชื่อสินค้า!A:C,3,FALSE),)</f>
        <v>0</v>
      </c>
      <c r="D481" s="8" t="str">
        <f>IFERROR(VLOOKUP(B481,ชื่อสินค้า!A:D,4,FALSE),"")</f>
        <v/>
      </c>
      <c r="E481" s="9"/>
      <c r="F481" s="21" t="str">
        <f t="shared" si="10"/>
        <v/>
      </c>
      <c r="G481" s="22"/>
      <c r="H481" s="8">
        <f>IFERROR(VLOOKUP(G481,ซื้อสินค้า!H:I,2,FALSE),)</f>
        <v>0</v>
      </c>
      <c r="I481" s="21">
        <f>IFERROR(VLOOKUP(G481,ซื้อสินค้า!H:J,3,FALSE),)</f>
        <v>0</v>
      </c>
      <c r="J481" s="21">
        <f t="shared" si="11"/>
        <v>0</v>
      </c>
      <c r="K481" s="21">
        <f t="shared" si="12"/>
        <v>0</v>
      </c>
      <c r="L481" s="12">
        <f t="shared" si="13"/>
        <v>0</v>
      </c>
      <c r="M481" s="21">
        <f t="shared" si="14"/>
        <v>0</v>
      </c>
      <c r="N481" s="9" t="str">
        <f ca="1">IFERROR(__xludf.DUMMYFUNCTION("IF(G481&lt;&gt;"""",G481, IFERROR(TRANSPOSE(FILTER('ซื้อสินค้า'!H:H,'ซื้อสินค้า'!B:B=B481,'ซื้อสินค้า'!I:I&gt;0)),))"),"")</f>
        <v/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>
      <c r="A482" s="5"/>
      <c r="B482" s="6"/>
      <c r="C482" s="20">
        <f>IFERROR(VLOOKUP(B482,ชื่อสินค้า!A:C,3,FALSE),)</f>
        <v>0</v>
      </c>
      <c r="D482" s="8" t="str">
        <f>IFERROR(VLOOKUP(B482,ชื่อสินค้า!A:D,4,FALSE),"")</f>
        <v/>
      </c>
      <c r="E482" s="9"/>
      <c r="F482" s="21" t="str">
        <f t="shared" si="10"/>
        <v/>
      </c>
      <c r="G482" s="22"/>
      <c r="H482" s="8">
        <f>IFERROR(VLOOKUP(G482,ซื้อสินค้า!H:I,2,FALSE),)</f>
        <v>0</v>
      </c>
      <c r="I482" s="21">
        <f>IFERROR(VLOOKUP(G482,ซื้อสินค้า!H:J,3,FALSE),)</f>
        <v>0</v>
      </c>
      <c r="J482" s="21">
        <f t="shared" si="11"/>
        <v>0</v>
      </c>
      <c r="K482" s="21">
        <f t="shared" si="12"/>
        <v>0</v>
      </c>
      <c r="L482" s="12">
        <f t="shared" si="13"/>
        <v>0</v>
      </c>
      <c r="M482" s="21">
        <f t="shared" si="14"/>
        <v>0</v>
      </c>
      <c r="N482" s="9" t="str">
        <f ca="1">IFERROR(__xludf.DUMMYFUNCTION("IF(G482&lt;&gt;"""",G482, IFERROR(TRANSPOSE(FILTER('ซื้อสินค้า'!H:H,'ซื้อสินค้า'!B:B=B482,'ซื้อสินค้า'!I:I&gt;0)),))"),"")</f>
        <v/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>
      <c r="A483" s="5"/>
      <c r="B483" s="6"/>
      <c r="C483" s="20">
        <f>IFERROR(VLOOKUP(B483,ชื่อสินค้า!A:C,3,FALSE),)</f>
        <v>0</v>
      </c>
      <c r="D483" s="8" t="str">
        <f>IFERROR(VLOOKUP(B483,ชื่อสินค้า!A:D,4,FALSE),"")</f>
        <v/>
      </c>
      <c r="E483" s="9"/>
      <c r="F483" s="21" t="str">
        <f t="shared" si="10"/>
        <v/>
      </c>
      <c r="G483" s="22"/>
      <c r="H483" s="8">
        <f>IFERROR(VLOOKUP(G483,ซื้อสินค้า!H:I,2,FALSE),)</f>
        <v>0</v>
      </c>
      <c r="I483" s="21">
        <f>IFERROR(VLOOKUP(G483,ซื้อสินค้า!H:J,3,FALSE),)</f>
        <v>0</v>
      </c>
      <c r="J483" s="21">
        <f t="shared" si="11"/>
        <v>0</v>
      </c>
      <c r="K483" s="21">
        <f t="shared" si="12"/>
        <v>0</v>
      </c>
      <c r="L483" s="12">
        <f t="shared" si="13"/>
        <v>0</v>
      </c>
      <c r="M483" s="21">
        <f t="shared" si="14"/>
        <v>0</v>
      </c>
      <c r="N483" s="9" t="str">
        <f ca="1">IFERROR(__xludf.DUMMYFUNCTION("IF(G483&lt;&gt;"""",G483, IFERROR(TRANSPOSE(FILTER('ซื้อสินค้า'!H:H,'ซื้อสินค้า'!B:B=B483,'ซื้อสินค้า'!I:I&gt;0)),))"),"")</f>
        <v/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>
      <c r="A484" s="5"/>
      <c r="B484" s="6"/>
      <c r="C484" s="20">
        <f>IFERROR(VLOOKUP(B484,ชื่อสินค้า!A:C,3,FALSE),)</f>
        <v>0</v>
      </c>
      <c r="D484" s="8" t="str">
        <f>IFERROR(VLOOKUP(B484,ชื่อสินค้า!A:D,4,FALSE),"")</f>
        <v/>
      </c>
      <c r="E484" s="9"/>
      <c r="F484" s="21" t="str">
        <f t="shared" si="10"/>
        <v/>
      </c>
      <c r="G484" s="22"/>
      <c r="H484" s="8">
        <f>IFERROR(VLOOKUP(G484,ซื้อสินค้า!H:I,2,FALSE),)</f>
        <v>0</v>
      </c>
      <c r="I484" s="21">
        <f>IFERROR(VLOOKUP(G484,ซื้อสินค้า!H:J,3,FALSE),)</f>
        <v>0</v>
      </c>
      <c r="J484" s="21">
        <f t="shared" si="11"/>
        <v>0</v>
      </c>
      <c r="K484" s="21">
        <f t="shared" si="12"/>
        <v>0</v>
      </c>
      <c r="L484" s="12">
        <f t="shared" si="13"/>
        <v>0</v>
      </c>
      <c r="M484" s="21">
        <f t="shared" si="14"/>
        <v>0</v>
      </c>
      <c r="N484" s="9" t="str">
        <f ca="1">IFERROR(__xludf.DUMMYFUNCTION("IF(G484&lt;&gt;"""",G484, IFERROR(TRANSPOSE(FILTER('ซื้อสินค้า'!H:H,'ซื้อสินค้า'!B:B=B484,'ซื้อสินค้า'!I:I&gt;0)),))"),"")</f>
        <v/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>
      <c r="A485" s="5"/>
      <c r="B485" s="6"/>
      <c r="C485" s="20">
        <f>IFERROR(VLOOKUP(B485,ชื่อสินค้า!A:C,3,FALSE),)</f>
        <v>0</v>
      </c>
      <c r="D485" s="8" t="str">
        <f>IFERROR(VLOOKUP(B485,ชื่อสินค้า!A:D,4,FALSE),"")</f>
        <v/>
      </c>
      <c r="E485" s="9"/>
      <c r="F485" s="21" t="str">
        <f t="shared" si="10"/>
        <v/>
      </c>
      <c r="G485" s="22"/>
      <c r="H485" s="8">
        <f>IFERROR(VLOOKUP(G485,ซื้อสินค้า!H:I,2,FALSE),)</f>
        <v>0</v>
      </c>
      <c r="I485" s="21">
        <f>IFERROR(VLOOKUP(G485,ซื้อสินค้า!H:J,3,FALSE),)</f>
        <v>0</v>
      </c>
      <c r="J485" s="21">
        <f t="shared" si="11"/>
        <v>0</v>
      </c>
      <c r="K485" s="21">
        <f t="shared" si="12"/>
        <v>0</v>
      </c>
      <c r="L485" s="12">
        <f t="shared" si="13"/>
        <v>0</v>
      </c>
      <c r="M485" s="21">
        <f t="shared" si="14"/>
        <v>0</v>
      </c>
      <c r="N485" s="9" t="str">
        <f ca="1">IFERROR(__xludf.DUMMYFUNCTION("IF(G485&lt;&gt;"""",G485, IFERROR(TRANSPOSE(FILTER('ซื้อสินค้า'!H:H,'ซื้อสินค้า'!B:B=B485,'ซื้อสินค้า'!I:I&gt;0)),))"),"")</f>
        <v/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>
      <c r="A486" s="5"/>
      <c r="B486" s="6"/>
      <c r="C486" s="20">
        <f>IFERROR(VLOOKUP(B486,ชื่อสินค้า!A:C,3,FALSE),)</f>
        <v>0</v>
      </c>
      <c r="D486" s="8" t="str">
        <f>IFERROR(VLOOKUP(B486,ชื่อสินค้า!A:D,4,FALSE),"")</f>
        <v/>
      </c>
      <c r="E486" s="9"/>
      <c r="F486" s="21" t="str">
        <f t="shared" si="10"/>
        <v/>
      </c>
      <c r="G486" s="22"/>
      <c r="H486" s="8">
        <f>IFERROR(VLOOKUP(G486,ซื้อสินค้า!H:I,2,FALSE),)</f>
        <v>0</v>
      </c>
      <c r="I486" s="21">
        <f>IFERROR(VLOOKUP(G486,ซื้อสินค้า!H:J,3,FALSE),)</f>
        <v>0</v>
      </c>
      <c r="J486" s="21">
        <f t="shared" si="11"/>
        <v>0</v>
      </c>
      <c r="K486" s="21">
        <f t="shared" si="12"/>
        <v>0</v>
      </c>
      <c r="L486" s="12">
        <f t="shared" si="13"/>
        <v>0</v>
      </c>
      <c r="M486" s="21">
        <f t="shared" si="14"/>
        <v>0</v>
      </c>
      <c r="N486" s="9" t="str">
        <f ca="1">IFERROR(__xludf.DUMMYFUNCTION("IF(G486&lt;&gt;"""",G486, IFERROR(TRANSPOSE(FILTER('ซื้อสินค้า'!H:H,'ซื้อสินค้า'!B:B=B486,'ซื้อสินค้า'!I:I&gt;0)),))"),"")</f>
        <v/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>
      <c r="A487" s="5"/>
      <c r="B487" s="6"/>
      <c r="C487" s="20">
        <f>IFERROR(VLOOKUP(B487,ชื่อสินค้า!A:C,3,FALSE),)</f>
        <v>0</v>
      </c>
      <c r="D487" s="8" t="str">
        <f>IFERROR(VLOOKUP(B487,ชื่อสินค้า!A:D,4,FALSE),"")</f>
        <v/>
      </c>
      <c r="E487" s="9"/>
      <c r="F487" s="21" t="str">
        <f t="shared" si="10"/>
        <v/>
      </c>
      <c r="G487" s="22"/>
      <c r="H487" s="8">
        <f>IFERROR(VLOOKUP(G487,ซื้อสินค้า!H:I,2,FALSE),)</f>
        <v>0</v>
      </c>
      <c r="I487" s="21">
        <f>IFERROR(VLOOKUP(G487,ซื้อสินค้า!H:J,3,FALSE),)</f>
        <v>0</v>
      </c>
      <c r="J487" s="21">
        <f t="shared" si="11"/>
        <v>0</v>
      </c>
      <c r="K487" s="21">
        <f t="shared" si="12"/>
        <v>0</v>
      </c>
      <c r="L487" s="12">
        <f t="shared" si="13"/>
        <v>0</v>
      </c>
      <c r="M487" s="21">
        <f t="shared" si="14"/>
        <v>0</v>
      </c>
      <c r="N487" s="9" t="str">
        <f ca="1">IFERROR(__xludf.DUMMYFUNCTION("IF(G487&lt;&gt;"""",G487, IFERROR(TRANSPOSE(FILTER('ซื้อสินค้า'!H:H,'ซื้อสินค้า'!B:B=B487,'ซื้อสินค้า'!I:I&gt;0)),))"),"")</f>
        <v/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>
      <c r="A488" s="5"/>
      <c r="B488" s="6"/>
      <c r="C488" s="20">
        <f>IFERROR(VLOOKUP(B488,ชื่อสินค้า!A:C,3,FALSE),)</f>
        <v>0</v>
      </c>
      <c r="D488" s="8" t="str">
        <f>IFERROR(VLOOKUP(B488,ชื่อสินค้า!A:D,4,FALSE),"")</f>
        <v/>
      </c>
      <c r="E488" s="9"/>
      <c r="F488" s="21" t="str">
        <f t="shared" si="10"/>
        <v/>
      </c>
      <c r="G488" s="22"/>
      <c r="H488" s="8">
        <f>IFERROR(VLOOKUP(G488,ซื้อสินค้า!H:I,2,FALSE),)</f>
        <v>0</v>
      </c>
      <c r="I488" s="21">
        <f>IFERROR(VLOOKUP(G488,ซื้อสินค้า!H:J,3,FALSE),)</f>
        <v>0</v>
      </c>
      <c r="J488" s="21">
        <f t="shared" si="11"/>
        <v>0</v>
      </c>
      <c r="K488" s="21">
        <f t="shared" si="12"/>
        <v>0</v>
      </c>
      <c r="L488" s="12">
        <f t="shared" si="13"/>
        <v>0</v>
      </c>
      <c r="M488" s="21">
        <f t="shared" si="14"/>
        <v>0</v>
      </c>
      <c r="N488" s="9" t="str">
        <f ca="1">IFERROR(__xludf.DUMMYFUNCTION("IF(G488&lt;&gt;"""",G488, IFERROR(TRANSPOSE(FILTER('ซื้อสินค้า'!H:H,'ซื้อสินค้า'!B:B=B488,'ซื้อสินค้า'!I:I&gt;0)),))"),"")</f>
        <v/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>
      <c r="A489" s="5"/>
      <c r="B489" s="6"/>
      <c r="C489" s="20">
        <f>IFERROR(VLOOKUP(B489,ชื่อสินค้า!A:C,3,FALSE),)</f>
        <v>0</v>
      </c>
      <c r="D489" s="8" t="str">
        <f>IFERROR(VLOOKUP(B489,ชื่อสินค้า!A:D,4,FALSE),"")</f>
        <v/>
      </c>
      <c r="E489" s="9"/>
      <c r="F489" s="21" t="str">
        <f t="shared" si="10"/>
        <v/>
      </c>
      <c r="G489" s="22"/>
      <c r="H489" s="8">
        <f>IFERROR(VLOOKUP(G489,ซื้อสินค้า!H:I,2,FALSE),)</f>
        <v>0</v>
      </c>
      <c r="I489" s="21">
        <f>IFERROR(VLOOKUP(G489,ซื้อสินค้า!H:J,3,FALSE),)</f>
        <v>0</v>
      </c>
      <c r="J489" s="21">
        <f t="shared" si="11"/>
        <v>0</v>
      </c>
      <c r="K489" s="21">
        <f t="shared" si="12"/>
        <v>0</v>
      </c>
      <c r="L489" s="12">
        <f t="shared" si="13"/>
        <v>0</v>
      </c>
      <c r="M489" s="21">
        <f t="shared" si="14"/>
        <v>0</v>
      </c>
      <c r="N489" s="9" t="str">
        <f ca="1">IFERROR(__xludf.DUMMYFUNCTION("IF(G489&lt;&gt;"""",G489, IFERROR(TRANSPOSE(FILTER('ซื้อสินค้า'!H:H,'ซื้อสินค้า'!B:B=B489,'ซื้อสินค้า'!I:I&gt;0)),))"),"")</f>
        <v/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spans="1:32">
      <c r="A490" s="5"/>
      <c r="B490" s="6"/>
      <c r="C490" s="20">
        <f>IFERROR(VLOOKUP(B490,ชื่อสินค้า!A:C,3,FALSE),)</f>
        <v>0</v>
      </c>
      <c r="D490" s="8" t="str">
        <f>IFERROR(VLOOKUP(B490,ชื่อสินค้า!A:D,4,FALSE),"")</f>
        <v/>
      </c>
      <c r="E490" s="9"/>
      <c r="F490" s="21" t="str">
        <f t="shared" si="10"/>
        <v/>
      </c>
      <c r="G490" s="22"/>
      <c r="H490" s="8">
        <f>IFERROR(VLOOKUP(G490,ซื้อสินค้า!H:I,2,FALSE),)</f>
        <v>0</v>
      </c>
      <c r="I490" s="21">
        <f>IFERROR(VLOOKUP(G490,ซื้อสินค้า!H:J,3,FALSE),)</f>
        <v>0</v>
      </c>
      <c r="J490" s="21">
        <f t="shared" si="11"/>
        <v>0</v>
      </c>
      <c r="K490" s="21">
        <f t="shared" si="12"/>
        <v>0</v>
      </c>
      <c r="L490" s="12">
        <f t="shared" si="13"/>
        <v>0</v>
      </c>
      <c r="M490" s="21">
        <f t="shared" si="14"/>
        <v>0</v>
      </c>
      <c r="N490" s="9" t="str">
        <f ca="1">IFERROR(__xludf.DUMMYFUNCTION("IF(G490&lt;&gt;"""",G490, IFERROR(TRANSPOSE(FILTER('ซื้อสินค้า'!H:H,'ซื้อสินค้า'!B:B=B490,'ซื้อสินค้า'!I:I&gt;0)),))"),"")</f>
        <v/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spans="1:32">
      <c r="A491" s="5"/>
      <c r="B491" s="6"/>
      <c r="C491" s="20">
        <f>IFERROR(VLOOKUP(B491,ชื่อสินค้า!A:C,3,FALSE),)</f>
        <v>0</v>
      </c>
      <c r="D491" s="8" t="str">
        <f>IFERROR(VLOOKUP(B491,ชื่อสินค้า!A:D,4,FALSE),"")</f>
        <v/>
      </c>
      <c r="E491" s="9"/>
      <c r="F491" s="21" t="str">
        <f t="shared" si="10"/>
        <v/>
      </c>
      <c r="G491" s="22"/>
      <c r="H491" s="8">
        <f>IFERROR(VLOOKUP(G491,ซื้อสินค้า!H:I,2,FALSE),)</f>
        <v>0</v>
      </c>
      <c r="I491" s="21">
        <f>IFERROR(VLOOKUP(G491,ซื้อสินค้า!H:J,3,FALSE),)</f>
        <v>0</v>
      </c>
      <c r="J491" s="21">
        <f t="shared" si="11"/>
        <v>0</v>
      </c>
      <c r="K491" s="21">
        <f t="shared" si="12"/>
        <v>0</v>
      </c>
      <c r="L491" s="12">
        <f t="shared" si="13"/>
        <v>0</v>
      </c>
      <c r="M491" s="21">
        <f t="shared" si="14"/>
        <v>0</v>
      </c>
      <c r="N491" s="9" t="str">
        <f ca="1">IFERROR(__xludf.DUMMYFUNCTION("IF(G491&lt;&gt;"""",G491, IFERROR(TRANSPOSE(FILTER('ซื้อสินค้า'!H:H,'ซื้อสินค้า'!B:B=B491,'ซื้อสินค้า'!I:I&gt;0)),))"),"")</f>
        <v/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spans="1:32">
      <c r="A492" s="5"/>
      <c r="B492" s="6"/>
      <c r="C492" s="20">
        <f>IFERROR(VLOOKUP(B492,ชื่อสินค้า!A:C,3,FALSE),)</f>
        <v>0</v>
      </c>
      <c r="D492" s="8" t="str">
        <f>IFERROR(VLOOKUP(B492,ชื่อสินค้า!A:D,4,FALSE),"")</f>
        <v/>
      </c>
      <c r="E492" s="9"/>
      <c r="F492" s="21" t="str">
        <f t="shared" si="10"/>
        <v/>
      </c>
      <c r="G492" s="22"/>
      <c r="H492" s="8">
        <f>IFERROR(VLOOKUP(G492,ซื้อสินค้า!H:I,2,FALSE),)</f>
        <v>0</v>
      </c>
      <c r="I492" s="21">
        <f>IFERROR(VLOOKUP(G492,ซื้อสินค้า!H:J,3,FALSE),)</f>
        <v>0</v>
      </c>
      <c r="J492" s="21">
        <f t="shared" si="11"/>
        <v>0</v>
      </c>
      <c r="K492" s="21">
        <f t="shared" si="12"/>
        <v>0</v>
      </c>
      <c r="L492" s="12">
        <f t="shared" si="13"/>
        <v>0</v>
      </c>
      <c r="M492" s="21">
        <f t="shared" si="14"/>
        <v>0</v>
      </c>
      <c r="N492" s="9" t="str">
        <f ca="1">IFERROR(__xludf.DUMMYFUNCTION("IF(G492&lt;&gt;"""",G492, IFERROR(TRANSPOSE(FILTER('ซื้อสินค้า'!H:H,'ซื้อสินค้า'!B:B=B492,'ซื้อสินค้า'!I:I&gt;0)),))"),"")</f>
        <v/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spans="1:32">
      <c r="A493" s="5"/>
      <c r="B493" s="6"/>
      <c r="C493" s="20">
        <f>IFERROR(VLOOKUP(B493,ชื่อสินค้า!A:C,3,FALSE),)</f>
        <v>0</v>
      </c>
      <c r="D493" s="8" t="str">
        <f>IFERROR(VLOOKUP(B493,ชื่อสินค้า!A:D,4,FALSE),"")</f>
        <v/>
      </c>
      <c r="E493" s="9"/>
      <c r="F493" s="21" t="str">
        <f t="shared" si="10"/>
        <v/>
      </c>
      <c r="G493" s="22"/>
      <c r="H493" s="8">
        <f>IFERROR(VLOOKUP(G493,ซื้อสินค้า!H:I,2,FALSE),)</f>
        <v>0</v>
      </c>
      <c r="I493" s="21">
        <f>IFERROR(VLOOKUP(G493,ซื้อสินค้า!H:J,3,FALSE),)</f>
        <v>0</v>
      </c>
      <c r="J493" s="21">
        <f t="shared" si="11"/>
        <v>0</v>
      </c>
      <c r="K493" s="21">
        <f t="shared" si="12"/>
        <v>0</v>
      </c>
      <c r="L493" s="12">
        <f t="shared" si="13"/>
        <v>0</v>
      </c>
      <c r="M493" s="21">
        <f t="shared" si="14"/>
        <v>0</v>
      </c>
      <c r="N493" s="9" t="str">
        <f ca="1">IFERROR(__xludf.DUMMYFUNCTION("IF(G493&lt;&gt;"""",G493, IFERROR(TRANSPOSE(FILTER('ซื้อสินค้า'!H:H,'ซื้อสินค้า'!B:B=B493,'ซื้อสินค้า'!I:I&gt;0)),))"),"")</f>
        <v/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spans="1:32">
      <c r="A494" s="5"/>
      <c r="B494" s="6"/>
      <c r="C494" s="20">
        <f>IFERROR(VLOOKUP(B494,ชื่อสินค้า!A:C,3,FALSE),)</f>
        <v>0</v>
      </c>
      <c r="D494" s="8" t="str">
        <f>IFERROR(VLOOKUP(B494,ชื่อสินค้า!A:D,4,FALSE),"")</f>
        <v/>
      </c>
      <c r="E494" s="9"/>
      <c r="F494" s="21" t="str">
        <f t="shared" si="10"/>
        <v/>
      </c>
      <c r="G494" s="22"/>
      <c r="H494" s="8">
        <f>IFERROR(VLOOKUP(G494,ซื้อสินค้า!H:I,2,FALSE),)</f>
        <v>0</v>
      </c>
      <c r="I494" s="21">
        <f>IFERROR(VLOOKUP(G494,ซื้อสินค้า!H:J,3,FALSE),)</f>
        <v>0</v>
      </c>
      <c r="J494" s="21">
        <f t="shared" si="11"/>
        <v>0</v>
      </c>
      <c r="K494" s="21">
        <f t="shared" si="12"/>
        <v>0</v>
      </c>
      <c r="L494" s="12">
        <f t="shared" si="13"/>
        <v>0</v>
      </c>
      <c r="M494" s="21">
        <f t="shared" si="14"/>
        <v>0</v>
      </c>
      <c r="N494" s="9" t="str">
        <f ca="1">IFERROR(__xludf.DUMMYFUNCTION("IF(G494&lt;&gt;"""",G494, IFERROR(TRANSPOSE(FILTER('ซื้อสินค้า'!H:H,'ซื้อสินค้า'!B:B=B494,'ซื้อสินค้า'!I:I&gt;0)),))"),"")</f>
        <v/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spans="1:32">
      <c r="A495" s="5"/>
      <c r="B495" s="6"/>
      <c r="C495" s="20">
        <f>IFERROR(VLOOKUP(B495,ชื่อสินค้า!A:C,3,FALSE),)</f>
        <v>0</v>
      </c>
      <c r="D495" s="8" t="str">
        <f>IFERROR(VLOOKUP(B495,ชื่อสินค้า!A:D,4,FALSE),"")</f>
        <v/>
      </c>
      <c r="E495" s="9"/>
      <c r="F495" s="21" t="str">
        <f t="shared" si="10"/>
        <v/>
      </c>
      <c r="G495" s="22"/>
      <c r="H495" s="8">
        <f>IFERROR(VLOOKUP(G495,ซื้อสินค้า!H:I,2,FALSE),)</f>
        <v>0</v>
      </c>
      <c r="I495" s="21">
        <f>IFERROR(VLOOKUP(G495,ซื้อสินค้า!H:J,3,FALSE),)</f>
        <v>0</v>
      </c>
      <c r="J495" s="21">
        <f t="shared" si="11"/>
        <v>0</v>
      </c>
      <c r="K495" s="21">
        <f t="shared" si="12"/>
        <v>0</v>
      </c>
      <c r="L495" s="12">
        <f t="shared" si="13"/>
        <v>0</v>
      </c>
      <c r="M495" s="21">
        <f t="shared" si="14"/>
        <v>0</v>
      </c>
      <c r="N495" s="9" t="str">
        <f ca="1">IFERROR(__xludf.DUMMYFUNCTION("IF(G495&lt;&gt;"""",G495, IFERROR(TRANSPOSE(FILTER('ซื้อสินค้า'!H:H,'ซื้อสินค้า'!B:B=B495,'ซื้อสินค้า'!I:I&gt;0)),))"),"")</f>
        <v/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spans="1:32">
      <c r="A496" s="5"/>
      <c r="B496" s="6"/>
      <c r="C496" s="20">
        <f>IFERROR(VLOOKUP(B496,ชื่อสินค้า!A:C,3,FALSE),)</f>
        <v>0</v>
      </c>
      <c r="D496" s="8" t="str">
        <f>IFERROR(VLOOKUP(B496,ชื่อสินค้า!A:D,4,FALSE),"")</f>
        <v/>
      </c>
      <c r="E496" s="9"/>
      <c r="F496" s="21" t="str">
        <f t="shared" si="10"/>
        <v/>
      </c>
      <c r="G496" s="22"/>
      <c r="H496" s="8">
        <f>IFERROR(VLOOKUP(G496,ซื้อสินค้า!H:I,2,FALSE),)</f>
        <v>0</v>
      </c>
      <c r="I496" s="21">
        <f>IFERROR(VLOOKUP(G496,ซื้อสินค้า!H:J,3,FALSE),)</f>
        <v>0</v>
      </c>
      <c r="J496" s="21">
        <f t="shared" si="11"/>
        <v>0</v>
      </c>
      <c r="K496" s="21">
        <f t="shared" si="12"/>
        <v>0</v>
      </c>
      <c r="L496" s="12">
        <f t="shared" si="13"/>
        <v>0</v>
      </c>
      <c r="M496" s="21">
        <f t="shared" si="14"/>
        <v>0</v>
      </c>
      <c r="N496" s="9" t="str">
        <f ca="1">IFERROR(__xludf.DUMMYFUNCTION("IF(G496&lt;&gt;"""",G496, IFERROR(TRANSPOSE(FILTER('ซื้อสินค้า'!H:H,'ซื้อสินค้า'!B:B=B496,'ซื้อสินค้า'!I:I&gt;0)),))"),"")</f>
        <v/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spans="1:32">
      <c r="A497" s="5"/>
      <c r="B497" s="6"/>
      <c r="C497" s="20">
        <f>IFERROR(VLOOKUP(B497,ชื่อสินค้า!A:C,3,FALSE),)</f>
        <v>0</v>
      </c>
      <c r="D497" s="8" t="str">
        <f>IFERROR(VLOOKUP(B497,ชื่อสินค้า!A:D,4,FALSE),"")</f>
        <v/>
      </c>
      <c r="E497" s="9"/>
      <c r="F497" s="21" t="str">
        <f t="shared" si="10"/>
        <v/>
      </c>
      <c r="G497" s="22"/>
      <c r="H497" s="8">
        <f>IFERROR(VLOOKUP(G497,ซื้อสินค้า!H:I,2,FALSE),)</f>
        <v>0</v>
      </c>
      <c r="I497" s="21">
        <f>IFERROR(VLOOKUP(G497,ซื้อสินค้า!H:J,3,FALSE),)</f>
        <v>0</v>
      </c>
      <c r="J497" s="21">
        <f t="shared" si="11"/>
        <v>0</v>
      </c>
      <c r="K497" s="21">
        <f t="shared" si="12"/>
        <v>0</v>
      </c>
      <c r="L497" s="12">
        <f t="shared" si="13"/>
        <v>0</v>
      </c>
      <c r="M497" s="21">
        <f t="shared" si="14"/>
        <v>0</v>
      </c>
      <c r="N497" s="9" t="str">
        <f ca="1">IFERROR(__xludf.DUMMYFUNCTION("IF(G497&lt;&gt;"""",G497, IFERROR(TRANSPOSE(FILTER('ซื้อสินค้า'!H:H,'ซื้อสินค้า'!B:B=B497,'ซื้อสินค้า'!I:I&gt;0)),))"),"")</f>
        <v/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spans="1:32">
      <c r="A498" s="5"/>
      <c r="B498" s="6"/>
      <c r="C498" s="20">
        <f>IFERROR(VLOOKUP(B498,ชื่อสินค้า!A:C,3,FALSE),)</f>
        <v>0</v>
      </c>
      <c r="D498" s="8" t="str">
        <f>IFERROR(VLOOKUP(B498,ชื่อสินค้า!A:D,4,FALSE),"")</f>
        <v/>
      </c>
      <c r="E498" s="9"/>
      <c r="F498" s="21" t="str">
        <f t="shared" si="10"/>
        <v/>
      </c>
      <c r="G498" s="22"/>
      <c r="H498" s="8">
        <f>IFERROR(VLOOKUP(G498,ซื้อสินค้า!H:I,2,FALSE),)</f>
        <v>0</v>
      </c>
      <c r="I498" s="21">
        <f>IFERROR(VLOOKUP(G498,ซื้อสินค้า!H:J,3,FALSE),)</f>
        <v>0</v>
      </c>
      <c r="J498" s="21">
        <f t="shared" si="11"/>
        <v>0</v>
      </c>
      <c r="K498" s="21">
        <f t="shared" si="12"/>
        <v>0</v>
      </c>
      <c r="L498" s="12">
        <f t="shared" si="13"/>
        <v>0</v>
      </c>
      <c r="M498" s="21">
        <f t="shared" si="14"/>
        <v>0</v>
      </c>
      <c r="N498" s="9" t="str">
        <f ca="1">IFERROR(__xludf.DUMMYFUNCTION("IF(G498&lt;&gt;"""",G498, IFERROR(TRANSPOSE(FILTER('ซื้อสินค้า'!H:H,'ซื้อสินค้า'!B:B=B498,'ซื้อสินค้า'!I:I&gt;0)),))"),"")</f>
        <v/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spans="1:32">
      <c r="A499" s="5"/>
      <c r="B499" s="6"/>
      <c r="C499" s="20">
        <f>IFERROR(VLOOKUP(B499,ชื่อสินค้า!A:C,3,FALSE),)</f>
        <v>0</v>
      </c>
      <c r="D499" s="8" t="str">
        <f>IFERROR(VLOOKUP(B499,ชื่อสินค้า!A:D,4,FALSE),"")</f>
        <v/>
      </c>
      <c r="E499" s="9"/>
      <c r="F499" s="21" t="str">
        <f t="shared" si="10"/>
        <v/>
      </c>
      <c r="G499" s="22"/>
      <c r="H499" s="8">
        <f>IFERROR(VLOOKUP(G499,ซื้อสินค้า!H:I,2,FALSE),)</f>
        <v>0</v>
      </c>
      <c r="I499" s="21">
        <f>IFERROR(VLOOKUP(G499,ซื้อสินค้า!H:J,3,FALSE),)</f>
        <v>0</v>
      </c>
      <c r="J499" s="21">
        <f t="shared" si="11"/>
        <v>0</v>
      </c>
      <c r="K499" s="21">
        <f t="shared" si="12"/>
        <v>0</v>
      </c>
      <c r="L499" s="12">
        <f t="shared" si="13"/>
        <v>0</v>
      </c>
      <c r="M499" s="21">
        <f t="shared" si="14"/>
        <v>0</v>
      </c>
      <c r="N499" s="9" t="str">
        <f ca="1">IFERROR(__xludf.DUMMYFUNCTION("IF(G499&lt;&gt;"""",G499, IFERROR(TRANSPOSE(FILTER('ซื้อสินค้า'!H:H,'ซื้อสินค้า'!B:B=B499,'ซื้อสินค้า'!I:I&gt;0)),))"),"")</f>
        <v/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spans="1:32">
      <c r="A500" s="5"/>
      <c r="B500" s="6"/>
      <c r="C500" s="20">
        <f>IFERROR(VLOOKUP(B500,ชื่อสินค้า!A:C,3,FALSE),)</f>
        <v>0</v>
      </c>
      <c r="D500" s="8" t="str">
        <f>IFERROR(VLOOKUP(B500,ชื่อสินค้า!A:D,4,FALSE),"")</f>
        <v/>
      </c>
      <c r="E500" s="9"/>
      <c r="F500" s="21" t="str">
        <f t="shared" si="10"/>
        <v/>
      </c>
      <c r="G500" s="22"/>
      <c r="H500" s="8">
        <f>IFERROR(VLOOKUP(G500,ซื้อสินค้า!H:I,2,FALSE),)</f>
        <v>0</v>
      </c>
      <c r="I500" s="21">
        <f>IFERROR(VLOOKUP(G500,ซื้อสินค้า!H:J,3,FALSE),)</f>
        <v>0</v>
      </c>
      <c r="J500" s="21">
        <f t="shared" si="11"/>
        <v>0</v>
      </c>
      <c r="K500" s="21">
        <f t="shared" si="12"/>
        <v>0</v>
      </c>
      <c r="L500" s="12">
        <f t="shared" si="13"/>
        <v>0</v>
      </c>
      <c r="M500" s="21">
        <f t="shared" si="14"/>
        <v>0</v>
      </c>
      <c r="N500" s="9" t="str">
        <f ca="1">IFERROR(__xludf.DUMMYFUNCTION("IF(G500&lt;&gt;"""",G500, IFERROR(TRANSPOSE(FILTER('ซื้อสินค้า'!H:H,'ซื้อสินค้า'!B:B=B500,'ซื้อสินค้า'!I:I&gt;0)),))"),"")</f>
        <v/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spans="1:32">
      <c r="A501" s="5"/>
      <c r="B501" s="6"/>
      <c r="C501" s="20">
        <f>IFERROR(VLOOKUP(B501,ชื่อสินค้า!A:C,3,FALSE),)</f>
        <v>0</v>
      </c>
      <c r="D501" s="8" t="str">
        <f>IFERROR(VLOOKUP(B501,ชื่อสินค้า!A:D,4,FALSE),"")</f>
        <v/>
      </c>
      <c r="E501" s="9"/>
      <c r="F501" s="21" t="str">
        <f t="shared" si="10"/>
        <v/>
      </c>
      <c r="G501" s="22"/>
      <c r="H501" s="8">
        <f>IFERROR(VLOOKUP(G501,ซื้อสินค้า!H:I,2,FALSE),)</f>
        <v>0</v>
      </c>
      <c r="I501" s="21">
        <f>IFERROR(VLOOKUP(G501,ซื้อสินค้า!H:J,3,FALSE),)</f>
        <v>0</v>
      </c>
      <c r="J501" s="21">
        <f t="shared" si="11"/>
        <v>0</v>
      </c>
      <c r="K501" s="21">
        <f t="shared" si="12"/>
        <v>0</v>
      </c>
      <c r="L501" s="12">
        <f t="shared" si="13"/>
        <v>0</v>
      </c>
      <c r="M501" s="21">
        <f t="shared" si="14"/>
        <v>0</v>
      </c>
      <c r="N501" s="9" t="str">
        <f ca="1">IFERROR(__xludf.DUMMYFUNCTION("IF(G501&lt;&gt;"""",G501, IFERROR(TRANSPOSE(FILTER('ซื้อสินค้า'!H:H,'ซื้อสินค้า'!B:B=B501,'ซื้อสินค้า'!I:I&gt;0)),))"),"")</f>
        <v/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spans="1:32">
      <c r="A502" s="5"/>
      <c r="B502" s="6"/>
      <c r="C502" s="20">
        <f>IFERROR(VLOOKUP(B502,ชื่อสินค้า!A:C,3,FALSE),)</f>
        <v>0</v>
      </c>
      <c r="D502" s="8" t="str">
        <f>IFERROR(VLOOKUP(B502,ชื่อสินค้า!A:D,4,FALSE),"")</f>
        <v/>
      </c>
      <c r="E502" s="9"/>
      <c r="F502" s="21" t="str">
        <f t="shared" si="10"/>
        <v/>
      </c>
      <c r="G502" s="22"/>
      <c r="H502" s="8">
        <f>IFERROR(VLOOKUP(G502,ซื้อสินค้า!H:I,2,FALSE),)</f>
        <v>0</v>
      </c>
      <c r="I502" s="21">
        <f>IFERROR(VLOOKUP(G502,ซื้อสินค้า!H:J,3,FALSE),)</f>
        <v>0</v>
      </c>
      <c r="J502" s="21">
        <f t="shared" si="11"/>
        <v>0</v>
      </c>
      <c r="K502" s="21">
        <f t="shared" si="12"/>
        <v>0</v>
      </c>
      <c r="L502" s="12">
        <f t="shared" si="13"/>
        <v>0</v>
      </c>
      <c r="M502" s="21">
        <f t="shared" si="14"/>
        <v>0</v>
      </c>
      <c r="N502" s="9" t="str">
        <f ca="1">IFERROR(__xludf.DUMMYFUNCTION("IF(G502&lt;&gt;"""",G502, IFERROR(TRANSPOSE(FILTER('ซื้อสินค้า'!H:H,'ซื้อสินค้า'!B:B=B502,'ซื้อสินค้า'!I:I&gt;0)),))"),"")</f>
        <v/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spans="1:32">
      <c r="A503" s="5"/>
      <c r="B503" s="6"/>
      <c r="C503" s="20">
        <f>IFERROR(VLOOKUP(B503,ชื่อสินค้า!A:C,3,FALSE),)</f>
        <v>0</v>
      </c>
      <c r="D503" s="8" t="str">
        <f>IFERROR(VLOOKUP(B503,ชื่อสินค้า!A:D,4,FALSE),"")</f>
        <v/>
      </c>
      <c r="E503" s="9"/>
      <c r="F503" s="21" t="str">
        <f t="shared" si="10"/>
        <v/>
      </c>
      <c r="G503" s="22"/>
      <c r="H503" s="8">
        <f>IFERROR(VLOOKUP(G503,ซื้อสินค้า!H:I,2,FALSE),)</f>
        <v>0</v>
      </c>
      <c r="I503" s="21">
        <f>IFERROR(VLOOKUP(G503,ซื้อสินค้า!H:J,3,FALSE),)</f>
        <v>0</v>
      </c>
      <c r="J503" s="21">
        <f t="shared" si="11"/>
        <v>0</v>
      </c>
      <c r="K503" s="21">
        <f t="shared" si="12"/>
        <v>0</v>
      </c>
      <c r="L503" s="12">
        <f t="shared" si="13"/>
        <v>0</v>
      </c>
      <c r="M503" s="21">
        <f t="shared" si="14"/>
        <v>0</v>
      </c>
      <c r="N503" s="9" t="str">
        <f ca="1">IFERROR(__xludf.DUMMYFUNCTION("IF(G503&lt;&gt;"""",G503, IFERROR(TRANSPOSE(FILTER('ซื้อสินค้า'!H:H,'ซื้อสินค้า'!B:B=B503,'ซื้อสินค้า'!I:I&gt;0)),))"),"")</f>
        <v/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spans="1:32">
      <c r="A504" s="5"/>
      <c r="B504" s="6"/>
      <c r="C504" s="20">
        <f>IFERROR(VLOOKUP(B504,ชื่อสินค้า!A:C,3,FALSE),)</f>
        <v>0</v>
      </c>
      <c r="D504" s="8" t="str">
        <f>IFERROR(VLOOKUP(B504,ชื่อสินค้า!A:D,4,FALSE),"")</f>
        <v/>
      </c>
      <c r="E504" s="9"/>
      <c r="F504" s="21" t="str">
        <f t="shared" si="10"/>
        <v/>
      </c>
      <c r="G504" s="22"/>
      <c r="H504" s="8">
        <f>IFERROR(VLOOKUP(G504,ซื้อสินค้า!H:I,2,FALSE),)</f>
        <v>0</v>
      </c>
      <c r="I504" s="21">
        <f>IFERROR(VLOOKUP(G504,ซื้อสินค้า!H:J,3,FALSE),)</f>
        <v>0</v>
      </c>
      <c r="J504" s="21">
        <f t="shared" si="11"/>
        <v>0</v>
      </c>
      <c r="K504" s="21">
        <f t="shared" si="12"/>
        <v>0</v>
      </c>
      <c r="L504" s="12">
        <f t="shared" si="13"/>
        <v>0</v>
      </c>
      <c r="M504" s="21">
        <f t="shared" si="14"/>
        <v>0</v>
      </c>
      <c r="N504" s="9" t="str">
        <f ca="1">IFERROR(__xludf.DUMMYFUNCTION("IF(G504&lt;&gt;"""",G504, IFERROR(TRANSPOSE(FILTER('ซื้อสินค้า'!H:H,'ซื้อสินค้า'!B:B=B504,'ซื้อสินค้า'!I:I&gt;0)),))"),"")</f>
        <v/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spans="1:32">
      <c r="A505" s="5"/>
      <c r="B505" s="6"/>
      <c r="C505" s="20">
        <f>IFERROR(VLOOKUP(B505,ชื่อสินค้า!A:C,3,FALSE),)</f>
        <v>0</v>
      </c>
      <c r="D505" s="8" t="str">
        <f>IFERROR(VLOOKUP(B505,ชื่อสินค้า!A:D,4,FALSE),"")</f>
        <v/>
      </c>
      <c r="E505" s="9"/>
      <c r="F505" s="21" t="str">
        <f t="shared" si="10"/>
        <v/>
      </c>
      <c r="G505" s="22"/>
      <c r="H505" s="8">
        <f>IFERROR(VLOOKUP(G505,ซื้อสินค้า!H:I,2,FALSE),)</f>
        <v>0</v>
      </c>
      <c r="I505" s="21">
        <f>IFERROR(VLOOKUP(G505,ซื้อสินค้า!H:J,3,FALSE),)</f>
        <v>0</v>
      </c>
      <c r="J505" s="21">
        <f t="shared" si="11"/>
        <v>0</v>
      </c>
      <c r="K505" s="21">
        <f t="shared" si="12"/>
        <v>0</v>
      </c>
      <c r="L505" s="12">
        <f t="shared" si="13"/>
        <v>0</v>
      </c>
      <c r="M505" s="21">
        <f t="shared" si="14"/>
        <v>0</v>
      </c>
      <c r="N505" s="9" t="str">
        <f ca="1">IFERROR(__xludf.DUMMYFUNCTION("IF(G505&lt;&gt;"""",G505, IFERROR(TRANSPOSE(FILTER('ซื้อสินค้า'!H:H,'ซื้อสินค้า'!B:B=B505,'ซื้อสินค้า'!I:I&gt;0)),))"),"")</f>
        <v/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spans="1:32">
      <c r="A506" s="5"/>
      <c r="B506" s="6"/>
      <c r="C506" s="20">
        <f>IFERROR(VLOOKUP(B506,ชื่อสินค้า!A:C,3,FALSE),)</f>
        <v>0</v>
      </c>
      <c r="D506" s="8" t="str">
        <f>IFERROR(VLOOKUP(B506,ชื่อสินค้า!A:D,4,FALSE),"")</f>
        <v/>
      </c>
      <c r="E506" s="9"/>
      <c r="F506" s="21" t="str">
        <f t="shared" si="10"/>
        <v/>
      </c>
      <c r="G506" s="22"/>
      <c r="H506" s="8">
        <f>IFERROR(VLOOKUP(G506,ซื้อสินค้า!H:I,2,FALSE),)</f>
        <v>0</v>
      </c>
      <c r="I506" s="21">
        <f>IFERROR(VLOOKUP(G506,ซื้อสินค้า!H:J,3,FALSE),)</f>
        <v>0</v>
      </c>
      <c r="J506" s="21">
        <f t="shared" si="11"/>
        <v>0</v>
      </c>
      <c r="K506" s="21">
        <f t="shared" si="12"/>
        <v>0</v>
      </c>
      <c r="L506" s="12">
        <f t="shared" si="13"/>
        <v>0</v>
      </c>
      <c r="M506" s="21">
        <f t="shared" si="14"/>
        <v>0</v>
      </c>
      <c r="N506" s="9" t="str">
        <f ca="1">IFERROR(__xludf.DUMMYFUNCTION("IF(G506&lt;&gt;"""",G506, IFERROR(TRANSPOSE(FILTER('ซื้อสินค้า'!H:H,'ซื้อสินค้า'!B:B=B506,'ซื้อสินค้า'!I:I&gt;0)),))"),"")</f>
        <v/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spans="1:32">
      <c r="A507" s="5"/>
      <c r="B507" s="6"/>
      <c r="C507" s="20">
        <f>IFERROR(VLOOKUP(B507,ชื่อสินค้า!A:C,3,FALSE),)</f>
        <v>0</v>
      </c>
      <c r="D507" s="8" t="str">
        <f>IFERROR(VLOOKUP(B507,ชื่อสินค้า!A:D,4,FALSE),"")</f>
        <v/>
      </c>
      <c r="E507" s="9"/>
      <c r="F507" s="21" t="str">
        <f t="shared" si="10"/>
        <v/>
      </c>
      <c r="G507" s="22"/>
      <c r="H507" s="8">
        <f>IFERROR(VLOOKUP(G507,ซื้อสินค้า!H:I,2,FALSE),)</f>
        <v>0</v>
      </c>
      <c r="I507" s="21">
        <f>IFERROR(VLOOKUP(G507,ซื้อสินค้า!H:J,3,FALSE),)</f>
        <v>0</v>
      </c>
      <c r="J507" s="21">
        <f t="shared" si="11"/>
        <v>0</v>
      </c>
      <c r="K507" s="21">
        <f t="shared" si="12"/>
        <v>0</v>
      </c>
      <c r="L507" s="12">
        <f t="shared" si="13"/>
        <v>0</v>
      </c>
      <c r="M507" s="21">
        <f t="shared" si="14"/>
        <v>0</v>
      </c>
      <c r="N507" s="9" t="str">
        <f ca="1">IFERROR(__xludf.DUMMYFUNCTION("IF(G507&lt;&gt;"""",G507, IFERROR(TRANSPOSE(FILTER('ซื้อสินค้า'!H:H,'ซื้อสินค้า'!B:B=B507,'ซื้อสินค้า'!I:I&gt;0)),))"),"")</f>
        <v/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spans="1:32">
      <c r="A508" s="5"/>
      <c r="B508" s="6"/>
      <c r="C508" s="20">
        <f>IFERROR(VLOOKUP(B508,ชื่อสินค้า!A:C,3,FALSE),)</f>
        <v>0</v>
      </c>
      <c r="D508" s="8" t="str">
        <f>IFERROR(VLOOKUP(B508,ชื่อสินค้า!A:D,4,FALSE),"")</f>
        <v/>
      </c>
      <c r="E508" s="9"/>
      <c r="F508" s="21" t="str">
        <f t="shared" si="10"/>
        <v/>
      </c>
      <c r="G508" s="22"/>
      <c r="H508" s="8">
        <f>IFERROR(VLOOKUP(G508,ซื้อสินค้า!H:I,2,FALSE),)</f>
        <v>0</v>
      </c>
      <c r="I508" s="21">
        <f>IFERROR(VLOOKUP(G508,ซื้อสินค้า!H:J,3,FALSE),)</f>
        <v>0</v>
      </c>
      <c r="J508" s="21">
        <f t="shared" si="11"/>
        <v>0</v>
      </c>
      <c r="K508" s="21">
        <f t="shared" si="12"/>
        <v>0</v>
      </c>
      <c r="L508" s="12">
        <f t="shared" si="13"/>
        <v>0</v>
      </c>
      <c r="M508" s="21">
        <f t="shared" si="14"/>
        <v>0</v>
      </c>
      <c r="N508" s="9" t="str">
        <f ca="1">IFERROR(__xludf.DUMMYFUNCTION("IF(G508&lt;&gt;"""",G508, IFERROR(TRANSPOSE(FILTER('ซื้อสินค้า'!H:H,'ซื้อสินค้า'!B:B=B508,'ซื้อสินค้า'!I:I&gt;0)),))"),"")</f>
        <v/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spans="1:32">
      <c r="A509" s="5"/>
      <c r="B509" s="6"/>
      <c r="C509" s="20">
        <f>IFERROR(VLOOKUP(B509,ชื่อสินค้า!A:C,3,FALSE),)</f>
        <v>0</v>
      </c>
      <c r="D509" s="8" t="str">
        <f>IFERROR(VLOOKUP(B509,ชื่อสินค้า!A:D,4,FALSE),"")</f>
        <v/>
      </c>
      <c r="E509" s="9"/>
      <c r="F509" s="21" t="str">
        <f t="shared" si="10"/>
        <v/>
      </c>
      <c r="G509" s="22"/>
      <c r="H509" s="8">
        <f>IFERROR(VLOOKUP(G509,ซื้อสินค้า!H:I,2,FALSE),)</f>
        <v>0</v>
      </c>
      <c r="I509" s="21">
        <f>IFERROR(VLOOKUP(G509,ซื้อสินค้า!H:J,3,FALSE),)</f>
        <v>0</v>
      </c>
      <c r="J509" s="21">
        <f t="shared" si="11"/>
        <v>0</v>
      </c>
      <c r="K509" s="21">
        <f t="shared" si="12"/>
        <v>0</v>
      </c>
      <c r="L509" s="12">
        <f t="shared" si="13"/>
        <v>0</v>
      </c>
      <c r="M509" s="21">
        <f t="shared" si="14"/>
        <v>0</v>
      </c>
      <c r="N509" s="9" t="str">
        <f ca="1">IFERROR(__xludf.DUMMYFUNCTION("IF(G509&lt;&gt;"""",G509, IFERROR(TRANSPOSE(FILTER('ซื้อสินค้า'!H:H,'ซื้อสินค้า'!B:B=B509,'ซื้อสินค้า'!I:I&gt;0)),))"),"")</f>
        <v/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spans="1:32">
      <c r="A510" s="5"/>
      <c r="B510" s="6"/>
      <c r="C510" s="20">
        <f>IFERROR(VLOOKUP(B510,ชื่อสินค้า!A:C,3,FALSE),)</f>
        <v>0</v>
      </c>
      <c r="D510" s="8" t="str">
        <f>IFERROR(VLOOKUP(B510,ชื่อสินค้า!A:D,4,FALSE),"")</f>
        <v/>
      </c>
      <c r="E510" s="9"/>
      <c r="F510" s="21" t="str">
        <f t="shared" si="10"/>
        <v/>
      </c>
      <c r="G510" s="22"/>
      <c r="H510" s="8">
        <f>IFERROR(VLOOKUP(G510,ซื้อสินค้า!H:I,2,FALSE),)</f>
        <v>0</v>
      </c>
      <c r="I510" s="21">
        <f>IFERROR(VLOOKUP(G510,ซื้อสินค้า!H:J,3,FALSE),)</f>
        <v>0</v>
      </c>
      <c r="J510" s="21">
        <f t="shared" si="11"/>
        <v>0</v>
      </c>
      <c r="K510" s="21">
        <f t="shared" si="12"/>
        <v>0</v>
      </c>
      <c r="L510" s="12">
        <f t="shared" si="13"/>
        <v>0</v>
      </c>
      <c r="M510" s="21">
        <f t="shared" si="14"/>
        <v>0</v>
      </c>
      <c r="N510" s="9" t="str">
        <f ca="1">IFERROR(__xludf.DUMMYFUNCTION("IF(G510&lt;&gt;"""",G510, IFERROR(TRANSPOSE(FILTER('ซื้อสินค้า'!H:H,'ซื้อสินค้า'!B:B=B510,'ซื้อสินค้า'!I:I&gt;0)),))"),"")</f>
        <v/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spans="1:32">
      <c r="A511" s="5"/>
      <c r="B511" s="6"/>
      <c r="C511" s="20">
        <f>IFERROR(VLOOKUP(B511,ชื่อสินค้า!A:C,3,FALSE),)</f>
        <v>0</v>
      </c>
      <c r="D511" s="8" t="str">
        <f>IFERROR(VLOOKUP(B511,ชื่อสินค้า!A:D,4,FALSE),"")</f>
        <v/>
      </c>
      <c r="E511" s="9"/>
      <c r="F511" s="21" t="str">
        <f t="shared" si="10"/>
        <v/>
      </c>
      <c r="G511" s="22"/>
      <c r="H511" s="8">
        <f>IFERROR(VLOOKUP(G511,ซื้อสินค้า!H:I,2,FALSE),)</f>
        <v>0</v>
      </c>
      <c r="I511" s="21">
        <f>IFERROR(VLOOKUP(G511,ซื้อสินค้า!H:J,3,FALSE),)</f>
        <v>0</v>
      </c>
      <c r="J511" s="21">
        <f t="shared" si="11"/>
        <v>0</v>
      </c>
      <c r="K511" s="21">
        <f t="shared" si="12"/>
        <v>0</v>
      </c>
      <c r="L511" s="12">
        <f t="shared" si="13"/>
        <v>0</v>
      </c>
      <c r="M511" s="21">
        <f t="shared" si="14"/>
        <v>0</v>
      </c>
      <c r="N511" s="9" t="str">
        <f ca="1">IFERROR(__xludf.DUMMYFUNCTION("IF(G511&lt;&gt;"""",G511, IFERROR(TRANSPOSE(FILTER('ซื้อสินค้า'!H:H,'ซื้อสินค้า'!B:B=B511,'ซื้อสินค้า'!I:I&gt;0)),))"),"")</f>
        <v/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spans="1:32">
      <c r="A512" s="5"/>
      <c r="B512" s="6"/>
      <c r="C512" s="20">
        <f>IFERROR(VLOOKUP(B512,ชื่อสินค้า!A:C,3,FALSE),)</f>
        <v>0</v>
      </c>
      <c r="D512" s="8" t="str">
        <f>IFERROR(VLOOKUP(B512,ชื่อสินค้า!A:D,4,FALSE),"")</f>
        <v/>
      </c>
      <c r="E512" s="9"/>
      <c r="F512" s="21" t="str">
        <f t="shared" ref="F512:F766" si="15">IF(LEN(B512)&gt;0,C512*E512,"")</f>
        <v/>
      </c>
      <c r="G512" s="22"/>
      <c r="H512" s="8">
        <f>IFERROR(VLOOKUP(G512,ซื้อสินค้า!H:I,2,FALSE),)</f>
        <v>0</v>
      </c>
      <c r="I512" s="21">
        <f>IFERROR(VLOOKUP(G512,ซื้อสินค้า!H:J,3,FALSE),)</f>
        <v>0</v>
      </c>
      <c r="J512" s="21">
        <f t="shared" ref="J512:J766" si="16">IF(F512&lt;&gt;"",(C512- I512)*E512,)</f>
        <v>0</v>
      </c>
      <c r="K512" s="21">
        <f t="shared" ref="K512:K766" si="17">IF(F512&lt;&gt;"",(C512-I512),)</f>
        <v>0</v>
      </c>
      <c r="L512" s="12">
        <f t="shared" ref="L512:L766" si="18">IFERROR(J512/F512,)</f>
        <v>0</v>
      </c>
      <c r="M512" s="21">
        <f t="shared" ref="M512:M766" si="19">IF(I512&lt;&gt;"",I512*E512,)</f>
        <v>0</v>
      </c>
      <c r="N512" s="9" t="str">
        <f ca="1">IFERROR(__xludf.DUMMYFUNCTION("IF(G512&lt;&gt;"""",G512, IFERROR(TRANSPOSE(FILTER('ซื้อสินค้า'!H:H,'ซื้อสินค้า'!B:B=B512,'ซื้อสินค้า'!I:I&gt;0)),))"),"")</f>
        <v/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spans="1:32">
      <c r="A513" s="5"/>
      <c r="B513" s="6"/>
      <c r="C513" s="20">
        <f>IFERROR(VLOOKUP(B513,ชื่อสินค้า!A:C,3,FALSE),)</f>
        <v>0</v>
      </c>
      <c r="D513" s="8" t="str">
        <f>IFERROR(VLOOKUP(B513,ชื่อสินค้า!A:D,4,FALSE),"")</f>
        <v/>
      </c>
      <c r="E513" s="9"/>
      <c r="F513" s="21" t="str">
        <f t="shared" si="15"/>
        <v/>
      </c>
      <c r="G513" s="22"/>
      <c r="H513" s="8">
        <f>IFERROR(VLOOKUP(G513,ซื้อสินค้า!H:I,2,FALSE),)</f>
        <v>0</v>
      </c>
      <c r="I513" s="21">
        <f>IFERROR(VLOOKUP(G513,ซื้อสินค้า!H:J,3,FALSE),)</f>
        <v>0</v>
      </c>
      <c r="J513" s="21">
        <f t="shared" si="16"/>
        <v>0</v>
      </c>
      <c r="K513" s="21">
        <f t="shared" si="17"/>
        <v>0</v>
      </c>
      <c r="L513" s="12">
        <f t="shared" si="18"/>
        <v>0</v>
      </c>
      <c r="M513" s="21">
        <f t="shared" si="19"/>
        <v>0</v>
      </c>
      <c r="N513" s="9" t="str">
        <f ca="1">IFERROR(__xludf.DUMMYFUNCTION("IF(G513&lt;&gt;"""",G513, IFERROR(TRANSPOSE(FILTER('ซื้อสินค้า'!H:H,'ซื้อสินค้า'!B:B=B513,'ซื้อสินค้า'!I:I&gt;0)),))"),"")</f>
        <v/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spans="1:32">
      <c r="A514" s="5"/>
      <c r="B514" s="6"/>
      <c r="C514" s="20">
        <f>IFERROR(VLOOKUP(B514,ชื่อสินค้า!A:C,3,FALSE),)</f>
        <v>0</v>
      </c>
      <c r="D514" s="8" t="str">
        <f>IFERROR(VLOOKUP(B514,ชื่อสินค้า!A:D,4,FALSE),"")</f>
        <v/>
      </c>
      <c r="E514" s="9"/>
      <c r="F514" s="21" t="str">
        <f t="shared" si="15"/>
        <v/>
      </c>
      <c r="G514" s="22"/>
      <c r="H514" s="8">
        <f>IFERROR(VLOOKUP(G514,ซื้อสินค้า!H:I,2,FALSE),)</f>
        <v>0</v>
      </c>
      <c r="I514" s="21">
        <f>IFERROR(VLOOKUP(G514,ซื้อสินค้า!H:J,3,FALSE),)</f>
        <v>0</v>
      </c>
      <c r="J514" s="21">
        <f t="shared" si="16"/>
        <v>0</v>
      </c>
      <c r="K514" s="21">
        <f t="shared" si="17"/>
        <v>0</v>
      </c>
      <c r="L514" s="12">
        <f t="shared" si="18"/>
        <v>0</v>
      </c>
      <c r="M514" s="21">
        <f t="shared" si="19"/>
        <v>0</v>
      </c>
      <c r="N514" s="9" t="str">
        <f ca="1">IFERROR(__xludf.DUMMYFUNCTION("IF(G514&lt;&gt;"""",G514, IFERROR(TRANSPOSE(FILTER('ซื้อสินค้า'!H:H,'ซื้อสินค้า'!B:B=B514,'ซื้อสินค้า'!I:I&gt;0)),))"),"")</f>
        <v/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spans="1:32">
      <c r="A515" s="5"/>
      <c r="B515" s="6"/>
      <c r="C515" s="20">
        <f>IFERROR(VLOOKUP(B515,ชื่อสินค้า!A:C,3,FALSE),)</f>
        <v>0</v>
      </c>
      <c r="D515" s="8" t="str">
        <f>IFERROR(VLOOKUP(B515,ชื่อสินค้า!A:D,4,FALSE),"")</f>
        <v/>
      </c>
      <c r="E515" s="9"/>
      <c r="F515" s="21" t="str">
        <f t="shared" si="15"/>
        <v/>
      </c>
      <c r="G515" s="22"/>
      <c r="H515" s="8">
        <f>IFERROR(VLOOKUP(G515,ซื้อสินค้า!H:I,2,FALSE),)</f>
        <v>0</v>
      </c>
      <c r="I515" s="21">
        <f>IFERROR(VLOOKUP(G515,ซื้อสินค้า!H:J,3,FALSE),)</f>
        <v>0</v>
      </c>
      <c r="J515" s="21">
        <f t="shared" si="16"/>
        <v>0</v>
      </c>
      <c r="K515" s="21">
        <f t="shared" si="17"/>
        <v>0</v>
      </c>
      <c r="L515" s="12">
        <f t="shared" si="18"/>
        <v>0</v>
      </c>
      <c r="M515" s="21">
        <f t="shared" si="19"/>
        <v>0</v>
      </c>
      <c r="N515" s="9" t="str">
        <f ca="1">IFERROR(__xludf.DUMMYFUNCTION("IF(G515&lt;&gt;"""",G515, IFERROR(TRANSPOSE(FILTER('ซื้อสินค้า'!H:H,'ซื้อสินค้า'!B:B=B515,'ซื้อสินค้า'!I:I&gt;0)),))"),"")</f>
        <v/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spans="1:32">
      <c r="A516" s="5"/>
      <c r="B516" s="6"/>
      <c r="C516" s="20">
        <f>IFERROR(VLOOKUP(B516,ชื่อสินค้า!A:C,3,FALSE),)</f>
        <v>0</v>
      </c>
      <c r="D516" s="8" t="str">
        <f>IFERROR(VLOOKUP(B516,ชื่อสินค้า!A:D,4,FALSE),"")</f>
        <v/>
      </c>
      <c r="E516" s="9"/>
      <c r="F516" s="21" t="str">
        <f t="shared" si="15"/>
        <v/>
      </c>
      <c r="G516" s="22"/>
      <c r="H516" s="8">
        <f>IFERROR(VLOOKUP(G516,ซื้อสินค้า!H:I,2,FALSE),)</f>
        <v>0</v>
      </c>
      <c r="I516" s="21">
        <f>IFERROR(VLOOKUP(G516,ซื้อสินค้า!H:J,3,FALSE),)</f>
        <v>0</v>
      </c>
      <c r="J516" s="21">
        <f t="shared" si="16"/>
        <v>0</v>
      </c>
      <c r="K516" s="21">
        <f t="shared" si="17"/>
        <v>0</v>
      </c>
      <c r="L516" s="12">
        <f t="shared" si="18"/>
        <v>0</v>
      </c>
      <c r="M516" s="21">
        <f t="shared" si="19"/>
        <v>0</v>
      </c>
      <c r="N516" s="9" t="str">
        <f ca="1">IFERROR(__xludf.DUMMYFUNCTION("IF(G516&lt;&gt;"""",G516, IFERROR(TRANSPOSE(FILTER('ซื้อสินค้า'!H:H,'ซื้อสินค้า'!B:B=B516,'ซื้อสินค้า'!I:I&gt;0)),))"),"")</f>
        <v/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spans="1:32">
      <c r="A517" s="5"/>
      <c r="B517" s="6"/>
      <c r="C517" s="20">
        <f>IFERROR(VLOOKUP(B517,ชื่อสินค้า!A:C,3,FALSE),)</f>
        <v>0</v>
      </c>
      <c r="D517" s="8" t="str">
        <f>IFERROR(VLOOKUP(B517,ชื่อสินค้า!A:D,4,FALSE),"")</f>
        <v/>
      </c>
      <c r="E517" s="9"/>
      <c r="F517" s="21" t="str">
        <f t="shared" si="15"/>
        <v/>
      </c>
      <c r="G517" s="22"/>
      <c r="H517" s="8">
        <f>IFERROR(VLOOKUP(G517,ซื้อสินค้า!H:I,2,FALSE),)</f>
        <v>0</v>
      </c>
      <c r="I517" s="21">
        <f>IFERROR(VLOOKUP(G517,ซื้อสินค้า!H:J,3,FALSE),)</f>
        <v>0</v>
      </c>
      <c r="J517" s="21">
        <f t="shared" si="16"/>
        <v>0</v>
      </c>
      <c r="K517" s="21">
        <f t="shared" si="17"/>
        <v>0</v>
      </c>
      <c r="L517" s="12">
        <f t="shared" si="18"/>
        <v>0</v>
      </c>
      <c r="M517" s="21">
        <f t="shared" si="19"/>
        <v>0</v>
      </c>
      <c r="N517" s="9" t="str">
        <f ca="1">IFERROR(__xludf.DUMMYFUNCTION("IF(G517&lt;&gt;"""",G517, IFERROR(TRANSPOSE(FILTER('ซื้อสินค้า'!H:H,'ซื้อสินค้า'!B:B=B517,'ซื้อสินค้า'!I:I&gt;0)),))"),"")</f>
        <v/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spans="1:32">
      <c r="A518" s="5"/>
      <c r="B518" s="6"/>
      <c r="C518" s="20">
        <f>IFERROR(VLOOKUP(B518,ชื่อสินค้า!A:C,3,FALSE),)</f>
        <v>0</v>
      </c>
      <c r="D518" s="8" t="str">
        <f>IFERROR(VLOOKUP(B518,ชื่อสินค้า!A:D,4,FALSE),"")</f>
        <v/>
      </c>
      <c r="E518" s="9"/>
      <c r="F518" s="21" t="str">
        <f t="shared" si="15"/>
        <v/>
      </c>
      <c r="G518" s="22"/>
      <c r="H518" s="8">
        <f>IFERROR(VLOOKUP(G518,ซื้อสินค้า!H:I,2,FALSE),)</f>
        <v>0</v>
      </c>
      <c r="I518" s="21">
        <f>IFERROR(VLOOKUP(G518,ซื้อสินค้า!H:J,3,FALSE),)</f>
        <v>0</v>
      </c>
      <c r="J518" s="21">
        <f t="shared" si="16"/>
        <v>0</v>
      </c>
      <c r="K518" s="21">
        <f t="shared" si="17"/>
        <v>0</v>
      </c>
      <c r="L518" s="12">
        <f t="shared" si="18"/>
        <v>0</v>
      </c>
      <c r="M518" s="21">
        <f t="shared" si="19"/>
        <v>0</v>
      </c>
      <c r="N518" s="9" t="str">
        <f ca="1">IFERROR(__xludf.DUMMYFUNCTION("IF(G518&lt;&gt;"""",G518, IFERROR(TRANSPOSE(FILTER('ซื้อสินค้า'!H:H,'ซื้อสินค้า'!B:B=B518,'ซื้อสินค้า'!I:I&gt;0)),))"),"")</f>
        <v/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spans="1:32">
      <c r="A519" s="5"/>
      <c r="B519" s="6"/>
      <c r="C519" s="20">
        <f>IFERROR(VLOOKUP(B519,ชื่อสินค้า!A:C,3,FALSE),)</f>
        <v>0</v>
      </c>
      <c r="D519" s="8" t="str">
        <f>IFERROR(VLOOKUP(B519,ชื่อสินค้า!A:D,4,FALSE),"")</f>
        <v/>
      </c>
      <c r="E519" s="9"/>
      <c r="F519" s="21" t="str">
        <f t="shared" si="15"/>
        <v/>
      </c>
      <c r="G519" s="22"/>
      <c r="H519" s="8">
        <f>IFERROR(VLOOKUP(G519,ซื้อสินค้า!H:I,2,FALSE),)</f>
        <v>0</v>
      </c>
      <c r="I519" s="21">
        <f>IFERROR(VLOOKUP(G519,ซื้อสินค้า!H:J,3,FALSE),)</f>
        <v>0</v>
      </c>
      <c r="J519" s="21">
        <f t="shared" si="16"/>
        <v>0</v>
      </c>
      <c r="K519" s="21">
        <f t="shared" si="17"/>
        <v>0</v>
      </c>
      <c r="L519" s="12">
        <f t="shared" si="18"/>
        <v>0</v>
      </c>
      <c r="M519" s="21">
        <f t="shared" si="19"/>
        <v>0</v>
      </c>
      <c r="N519" s="9" t="str">
        <f ca="1">IFERROR(__xludf.DUMMYFUNCTION("IF(G519&lt;&gt;"""",G519, IFERROR(TRANSPOSE(FILTER('ซื้อสินค้า'!H:H,'ซื้อสินค้า'!B:B=B519,'ซื้อสินค้า'!I:I&gt;0)),))"),"")</f>
        <v/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spans="1:32">
      <c r="A520" s="5"/>
      <c r="B520" s="6"/>
      <c r="C520" s="20">
        <f>IFERROR(VLOOKUP(B520,ชื่อสินค้า!A:C,3,FALSE),)</f>
        <v>0</v>
      </c>
      <c r="D520" s="8" t="str">
        <f>IFERROR(VLOOKUP(B520,ชื่อสินค้า!A:D,4,FALSE),"")</f>
        <v/>
      </c>
      <c r="E520" s="9"/>
      <c r="F520" s="21" t="str">
        <f t="shared" si="15"/>
        <v/>
      </c>
      <c r="G520" s="22"/>
      <c r="H520" s="8">
        <f>IFERROR(VLOOKUP(G520,ซื้อสินค้า!H:I,2,FALSE),)</f>
        <v>0</v>
      </c>
      <c r="I520" s="21">
        <f>IFERROR(VLOOKUP(G520,ซื้อสินค้า!H:J,3,FALSE),)</f>
        <v>0</v>
      </c>
      <c r="J520" s="21">
        <f t="shared" si="16"/>
        <v>0</v>
      </c>
      <c r="K520" s="21">
        <f t="shared" si="17"/>
        <v>0</v>
      </c>
      <c r="L520" s="12">
        <f t="shared" si="18"/>
        <v>0</v>
      </c>
      <c r="M520" s="21">
        <f t="shared" si="19"/>
        <v>0</v>
      </c>
      <c r="N520" s="9" t="str">
        <f ca="1">IFERROR(__xludf.DUMMYFUNCTION("IF(G520&lt;&gt;"""",G520, IFERROR(TRANSPOSE(FILTER('ซื้อสินค้า'!H:H,'ซื้อสินค้า'!B:B=B520,'ซื้อสินค้า'!I:I&gt;0)),))"),"")</f>
        <v/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spans="1:32">
      <c r="A521" s="5"/>
      <c r="B521" s="6"/>
      <c r="C521" s="20">
        <f>IFERROR(VLOOKUP(B521,ชื่อสินค้า!A:C,3,FALSE),)</f>
        <v>0</v>
      </c>
      <c r="D521" s="8" t="str">
        <f>IFERROR(VLOOKUP(B521,ชื่อสินค้า!A:D,4,FALSE),"")</f>
        <v/>
      </c>
      <c r="E521" s="9"/>
      <c r="F521" s="21" t="str">
        <f t="shared" si="15"/>
        <v/>
      </c>
      <c r="G521" s="22"/>
      <c r="H521" s="8">
        <f>IFERROR(VLOOKUP(G521,ซื้อสินค้า!H:I,2,FALSE),)</f>
        <v>0</v>
      </c>
      <c r="I521" s="21">
        <f>IFERROR(VLOOKUP(G521,ซื้อสินค้า!H:J,3,FALSE),)</f>
        <v>0</v>
      </c>
      <c r="J521" s="21">
        <f t="shared" si="16"/>
        <v>0</v>
      </c>
      <c r="K521" s="21">
        <f t="shared" si="17"/>
        <v>0</v>
      </c>
      <c r="L521" s="12">
        <f t="shared" si="18"/>
        <v>0</v>
      </c>
      <c r="M521" s="21">
        <f t="shared" si="19"/>
        <v>0</v>
      </c>
      <c r="N521" s="9" t="str">
        <f ca="1">IFERROR(__xludf.DUMMYFUNCTION("IF(G521&lt;&gt;"""",G521, IFERROR(TRANSPOSE(FILTER('ซื้อสินค้า'!H:H,'ซื้อสินค้า'!B:B=B521,'ซื้อสินค้า'!I:I&gt;0)),))"),"")</f>
        <v/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spans="1:32">
      <c r="A522" s="5"/>
      <c r="B522" s="6"/>
      <c r="C522" s="20">
        <f>IFERROR(VLOOKUP(B522,ชื่อสินค้า!A:C,3,FALSE),)</f>
        <v>0</v>
      </c>
      <c r="D522" s="8" t="str">
        <f>IFERROR(VLOOKUP(B522,ชื่อสินค้า!A:D,4,FALSE),"")</f>
        <v/>
      </c>
      <c r="E522" s="9"/>
      <c r="F522" s="21" t="str">
        <f t="shared" si="15"/>
        <v/>
      </c>
      <c r="G522" s="22"/>
      <c r="H522" s="8">
        <f>IFERROR(VLOOKUP(G522,ซื้อสินค้า!H:I,2,FALSE),)</f>
        <v>0</v>
      </c>
      <c r="I522" s="21">
        <f>IFERROR(VLOOKUP(G522,ซื้อสินค้า!H:J,3,FALSE),)</f>
        <v>0</v>
      </c>
      <c r="J522" s="21">
        <f t="shared" si="16"/>
        <v>0</v>
      </c>
      <c r="K522" s="21">
        <f t="shared" si="17"/>
        <v>0</v>
      </c>
      <c r="L522" s="12">
        <f t="shared" si="18"/>
        <v>0</v>
      </c>
      <c r="M522" s="21">
        <f t="shared" si="19"/>
        <v>0</v>
      </c>
      <c r="N522" s="9" t="str">
        <f ca="1">IFERROR(__xludf.DUMMYFUNCTION("IF(G522&lt;&gt;"""",G522, IFERROR(TRANSPOSE(FILTER('ซื้อสินค้า'!H:H,'ซื้อสินค้า'!B:B=B522,'ซื้อสินค้า'!I:I&gt;0)),))"),"")</f>
        <v/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spans="1:32">
      <c r="A523" s="5"/>
      <c r="B523" s="6"/>
      <c r="C523" s="20">
        <f>IFERROR(VLOOKUP(B523,ชื่อสินค้า!A:C,3,FALSE),)</f>
        <v>0</v>
      </c>
      <c r="D523" s="8" t="str">
        <f>IFERROR(VLOOKUP(B523,ชื่อสินค้า!A:D,4,FALSE),"")</f>
        <v/>
      </c>
      <c r="E523" s="9"/>
      <c r="F523" s="21" t="str">
        <f t="shared" si="15"/>
        <v/>
      </c>
      <c r="G523" s="22"/>
      <c r="H523" s="8">
        <f>IFERROR(VLOOKUP(G523,ซื้อสินค้า!H:I,2,FALSE),)</f>
        <v>0</v>
      </c>
      <c r="I523" s="21">
        <f>IFERROR(VLOOKUP(G523,ซื้อสินค้า!H:J,3,FALSE),)</f>
        <v>0</v>
      </c>
      <c r="J523" s="21">
        <f t="shared" si="16"/>
        <v>0</v>
      </c>
      <c r="K523" s="21">
        <f t="shared" si="17"/>
        <v>0</v>
      </c>
      <c r="L523" s="12">
        <f t="shared" si="18"/>
        <v>0</v>
      </c>
      <c r="M523" s="21">
        <f t="shared" si="19"/>
        <v>0</v>
      </c>
      <c r="N523" s="9" t="str">
        <f ca="1">IFERROR(__xludf.DUMMYFUNCTION("IF(G523&lt;&gt;"""",G523, IFERROR(TRANSPOSE(FILTER('ซื้อสินค้า'!H:H,'ซื้อสินค้า'!B:B=B523,'ซื้อสินค้า'!I:I&gt;0)),))"),"")</f>
        <v/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spans="1:32">
      <c r="A524" s="5"/>
      <c r="B524" s="6"/>
      <c r="C524" s="20">
        <f>IFERROR(VLOOKUP(B524,ชื่อสินค้า!A:C,3,FALSE),)</f>
        <v>0</v>
      </c>
      <c r="D524" s="8" t="str">
        <f>IFERROR(VLOOKUP(B524,ชื่อสินค้า!A:D,4,FALSE),"")</f>
        <v/>
      </c>
      <c r="E524" s="9"/>
      <c r="F524" s="21" t="str">
        <f t="shared" si="15"/>
        <v/>
      </c>
      <c r="G524" s="22"/>
      <c r="H524" s="8">
        <f>IFERROR(VLOOKUP(G524,ซื้อสินค้า!H:I,2,FALSE),)</f>
        <v>0</v>
      </c>
      <c r="I524" s="21">
        <f>IFERROR(VLOOKUP(G524,ซื้อสินค้า!H:J,3,FALSE),)</f>
        <v>0</v>
      </c>
      <c r="J524" s="21">
        <f t="shared" si="16"/>
        <v>0</v>
      </c>
      <c r="K524" s="21">
        <f t="shared" si="17"/>
        <v>0</v>
      </c>
      <c r="L524" s="12">
        <f t="shared" si="18"/>
        <v>0</v>
      </c>
      <c r="M524" s="21">
        <f t="shared" si="19"/>
        <v>0</v>
      </c>
      <c r="N524" s="9" t="str">
        <f ca="1">IFERROR(__xludf.DUMMYFUNCTION("IF(G524&lt;&gt;"""",G524, IFERROR(TRANSPOSE(FILTER('ซื้อสินค้า'!H:H,'ซื้อสินค้า'!B:B=B524,'ซื้อสินค้า'!I:I&gt;0)),))"),"")</f>
        <v/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spans="1:32">
      <c r="A525" s="5"/>
      <c r="B525" s="6"/>
      <c r="C525" s="20">
        <f>IFERROR(VLOOKUP(B525,ชื่อสินค้า!A:C,3,FALSE),)</f>
        <v>0</v>
      </c>
      <c r="D525" s="8" t="str">
        <f>IFERROR(VLOOKUP(B525,ชื่อสินค้า!A:D,4,FALSE),"")</f>
        <v/>
      </c>
      <c r="E525" s="9"/>
      <c r="F525" s="21" t="str">
        <f t="shared" si="15"/>
        <v/>
      </c>
      <c r="G525" s="22"/>
      <c r="H525" s="8">
        <f>IFERROR(VLOOKUP(G525,ซื้อสินค้า!H:I,2,FALSE),)</f>
        <v>0</v>
      </c>
      <c r="I525" s="21">
        <f>IFERROR(VLOOKUP(G525,ซื้อสินค้า!H:J,3,FALSE),)</f>
        <v>0</v>
      </c>
      <c r="J525" s="21">
        <f t="shared" si="16"/>
        <v>0</v>
      </c>
      <c r="K525" s="21">
        <f t="shared" si="17"/>
        <v>0</v>
      </c>
      <c r="L525" s="12">
        <f t="shared" si="18"/>
        <v>0</v>
      </c>
      <c r="M525" s="21">
        <f t="shared" si="19"/>
        <v>0</v>
      </c>
      <c r="N525" s="9" t="str">
        <f ca="1">IFERROR(__xludf.DUMMYFUNCTION("IF(G525&lt;&gt;"""",G525, IFERROR(TRANSPOSE(FILTER('ซื้อสินค้า'!H:H,'ซื้อสินค้า'!B:B=B525,'ซื้อสินค้า'!I:I&gt;0)),))"),"")</f>
        <v/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spans="1:32">
      <c r="A526" s="5"/>
      <c r="B526" s="6"/>
      <c r="C526" s="20">
        <f>IFERROR(VLOOKUP(B526,ชื่อสินค้า!A:C,3,FALSE),)</f>
        <v>0</v>
      </c>
      <c r="D526" s="8" t="str">
        <f>IFERROR(VLOOKUP(B526,ชื่อสินค้า!A:D,4,FALSE),"")</f>
        <v/>
      </c>
      <c r="E526" s="9"/>
      <c r="F526" s="21" t="str">
        <f t="shared" si="15"/>
        <v/>
      </c>
      <c r="G526" s="22"/>
      <c r="H526" s="8">
        <f>IFERROR(VLOOKUP(G526,ซื้อสินค้า!H:I,2,FALSE),)</f>
        <v>0</v>
      </c>
      <c r="I526" s="21">
        <f>IFERROR(VLOOKUP(G526,ซื้อสินค้า!H:J,3,FALSE),)</f>
        <v>0</v>
      </c>
      <c r="J526" s="21">
        <f t="shared" si="16"/>
        <v>0</v>
      </c>
      <c r="K526" s="21">
        <f t="shared" si="17"/>
        <v>0</v>
      </c>
      <c r="L526" s="12">
        <f t="shared" si="18"/>
        <v>0</v>
      </c>
      <c r="M526" s="21">
        <f t="shared" si="19"/>
        <v>0</v>
      </c>
      <c r="N526" s="9" t="str">
        <f ca="1">IFERROR(__xludf.DUMMYFUNCTION("IF(G526&lt;&gt;"""",G526, IFERROR(TRANSPOSE(FILTER('ซื้อสินค้า'!H:H,'ซื้อสินค้า'!B:B=B526,'ซื้อสินค้า'!I:I&gt;0)),))"),"")</f>
        <v/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spans="1:32">
      <c r="A527" s="5"/>
      <c r="B527" s="6"/>
      <c r="C527" s="20">
        <f>IFERROR(VLOOKUP(B527,ชื่อสินค้า!A:C,3,FALSE),)</f>
        <v>0</v>
      </c>
      <c r="D527" s="8" t="str">
        <f>IFERROR(VLOOKUP(B527,ชื่อสินค้า!A:D,4,FALSE),"")</f>
        <v/>
      </c>
      <c r="E527" s="9"/>
      <c r="F527" s="21" t="str">
        <f t="shared" si="15"/>
        <v/>
      </c>
      <c r="G527" s="22"/>
      <c r="H527" s="8">
        <f>IFERROR(VLOOKUP(G527,ซื้อสินค้า!H:I,2,FALSE),)</f>
        <v>0</v>
      </c>
      <c r="I527" s="21">
        <f>IFERROR(VLOOKUP(G527,ซื้อสินค้า!H:J,3,FALSE),)</f>
        <v>0</v>
      </c>
      <c r="J527" s="21">
        <f t="shared" si="16"/>
        <v>0</v>
      </c>
      <c r="K527" s="21">
        <f t="shared" si="17"/>
        <v>0</v>
      </c>
      <c r="L527" s="12">
        <f t="shared" si="18"/>
        <v>0</v>
      </c>
      <c r="M527" s="21">
        <f t="shared" si="19"/>
        <v>0</v>
      </c>
      <c r="N527" s="9" t="str">
        <f ca="1">IFERROR(__xludf.DUMMYFUNCTION("IF(G527&lt;&gt;"""",G527, IFERROR(TRANSPOSE(FILTER('ซื้อสินค้า'!H:H,'ซื้อสินค้า'!B:B=B527,'ซื้อสินค้า'!I:I&gt;0)),))"),"")</f>
        <v/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spans="1:32">
      <c r="A528" s="5"/>
      <c r="B528" s="6"/>
      <c r="C528" s="20">
        <f>IFERROR(VLOOKUP(B528,ชื่อสินค้า!A:C,3,FALSE),)</f>
        <v>0</v>
      </c>
      <c r="D528" s="8" t="str">
        <f>IFERROR(VLOOKUP(B528,ชื่อสินค้า!A:D,4,FALSE),"")</f>
        <v/>
      </c>
      <c r="E528" s="9"/>
      <c r="F528" s="21" t="str">
        <f t="shared" si="15"/>
        <v/>
      </c>
      <c r="G528" s="22"/>
      <c r="H528" s="8">
        <f>IFERROR(VLOOKUP(G528,ซื้อสินค้า!H:I,2,FALSE),)</f>
        <v>0</v>
      </c>
      <c r="I528" s="21">
        <f>IFERROR(VLOOKUP(G528,ซื้อสินค้า!H:J,3,FALSE),)</f>
        <v>0</v>
      </c>
      <c r="J528" s="21">
        <f t="shared" si="16"/>
        <v>0</v>
      </c>
      <c r="K528" s="21">
        <f t="shared" si="17"/>
        <v>0</v>
      </c>
      <c r="L528" s="12">
        <f t="shared" si="18"/>
        <v>0</v>
      </c>
      <c r="M528" s="21">
        <f t="shared" si="19"/>
        <v>0</v>
      </c>
      <c r="N528" s="9" t="str">
        <f ca="1">IFERROR(__xludf.DUMMYFUNCTION("IF(G528&lt;&gt;"""",G528, IFERROR(TRANSPOSE(FILTER('ซื้อสินค้า'!H:H,'ซื้อสินค้า'!B:B=B528,'ซื้อสินค้า'!I:I&gt;0)),))"),"")</f>
        <v/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spans="1:32">
      <c r="A529" s="5"/>
      <c r="B529" s="6"/>
      <c r="C529" s="20">
        <f>IFERROR(VLOOKUP(B529,ชื่อสินค้า!A:C,3,FALSE),)</f>
        <v>0</v>
      </c>
      <c r="D529" s="8" t="str">
        <f>IFERROR(VLOOKUP(B529,ชื่อสินค้า!A:D,4,FALSE),"")</f>
        <v/>
      </c>
      <c r="E529" s="9"/>
      <c r="F529" s="21" t="str">
        <f t="shared" si="15"/>
        <v/>
      </c>
      <c r="G529" s="22"/>
      <c r="H529" s="8">
        <f>IFERROR(VLOOKUP(G529,ซื้อสินค้า!H:I,2,FALSE),)</f>
        <v>0</v>
      </c>
      <c r="I529" s="21">
        <f>IFERROR(VLOOKUP(G529,ซื้อสินค้า!H:J,3,FALSE),)</f>
        <v>0</v>
      </c>
      <c r="J529" s="21">
        <f t="shared" si="16"/>
        <v>0</v>
      </c>
      <c r="K529" s="21">
        <f t="shared" si="17"/>
        <v>0</v>
      </c>
      <c r="L529" s="12">
        <f t="shared" si="18"/>
        <v>0</v>
      </c>
      <c r="M529" s="21">
        <f t="shared" si="19"/>
        <v>0</v>
      </c>
      <c r="N529" s="9" t="str">
        <f ca="1">IFERROR(__xludf.DUMMYFUNCTION("IF(G529&lt;&gt;"""",G529, IFERROR(TRANSPOSE(FILTER('ซื้อสินค้า'!H:H,'ซื้อสินค้า'!B:B=B529,'ซื้อสินค้า'!I:I&gt;0)),))"),"")</f>
        <v/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spans="1:32">
      <c r="A530" s="5"/>
      <c r="B530" s="6"/>
      <c r="C530" s="20">
        <f>IFERROR(VLOOKUP(B530,ชื่อสินค้า!A:C,3,FALSE),)</f>
        <v>0</v>
      </c>
      <c r="D530" s="8" t="str">
        <f>IFERROR(VLOOKUP(B530,ชื่อสินค้า!A:D,4,FALSE),"")</f>
        <v/>
      </c>
      <c r="E530" s="9"/>
      <c r="F530" s="21" t="str">
        <f t="shared" si="15"/>
        <v/>
      </c>
      <c r="G530" s="22"/>
      <c r="H530" s="8">
        <f>IFERROR(VLOOKUP(G530,ซื้อสินค้า!H:I,2,FALSE),)</f>
        <v>0</v>
      </c>
      <c r="I530" s="21">
        <f>IFERROR(VLOOKUP(G530,ซื้อสินค้า!H:J,3,FALSE),)</f>
        <v>0</v>
      </c>
      <c r="J530" s="21">
        <f t="shared" si="16"/>
        <v>0</v>
      </c>
      <c r="K530" s="21">
        <f t="shared" si="17"/>
        <v>0</v>
      </c>
      <c r="L530" s="12">
        <f t="shared" si="18"/>
        <v>0</v>
      </c>
      <c r="M530" s="21">
        <f t="shared" si="19"/>
        <v>0</v>
      </c>
      <c r="N530" s="9" t="str">
        <f ca="1">IFERROR(__xludf.DUMMYFUNCTION("IF(G530&lt;&gt;"""",G530, IFERROR(TRANSPOSE(FILTER('ซื้อสินค้า'!H:H,'ซื้อสินค้า'!B:B=B530,'ซื้อสินค้า'!I:I&gt;0)),))"),"")</f>
        <v/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spans="1:32">
      <c r="A531" s="5"/>
      <c r="B531" s="6"/>
      <c r="C531" s="20">
        <f>IFERROR(VLOOKUP(B531,ชื่อสินค้า!A:C,3,FALSE),)</f>
        <v>0</v>
      </c>
      <c r="D531" s="8" t="str">
        <f>IFERROR(VLOOKUP(B531,ชื่อสินค้า!A:D,4,FALSE),"")</f>
        <v/>
      </c>
      <c r="E531" s="9"/>
      <c r="F531" s="21" t="str">
        <f t="shared" si="15"/>
        <v/>
      </c>
      <c r="G531" s="22"/>
      <c r="H531" s="8">
        <f>IFERROR(VLOOKUP(G531,ซื้อสินค้า!H:I,2,FALSE),)</f>
        <v>0</v>
      </c>
      <c r="I531" s="21">
        <f>IFERROR(VLOOKUP(G531,ซื้อสินค้า!H:J,3,FALSE),)</f>
        <v>0</v>
      </c>
      <c r="J531" s="21">
        <f t="shared" si="16"/>
        <v>0</v>
      </c>
      <c r="K531" s="21">
        <f t="shared" si="17"/>
        <v>0</v>
      </c>
      <c r="L531" s="12">
        <f t="shared" si="18"/>
        <v>0</v>
      </c>
      <c r="M531" s="21">
        <f t="shared" si="19"/>
        <v>0</v>
      </c>
      <c r="N531" s="9" t="str">
        <f ca="1">IFERROR(__xludf.DUMMYFUNCTION("IF(G531&lt;&gt;"""",G531, IFERROR(TRANSPOSE(FILTER('ซื้อสินค้า'!H:H,'ซื้อสินค้า'!B:B=B531,'ซื้อสินค้า'!I:I&gt;0)),))"),"")</f>
        <v/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spans="1:32">
      <c r="A532" s="5"/>
      <c r="B532" s="6"/>
      <c r="C532" s="20">
        <f>IFERROR(VLOOKUP(B532,ชื่อสินค้า!A:C,3,FALSE),)</f>
        <v>0</v>
      </c>
      <c r="D532" s="8" t="str">
        <f>IFERROR(VLOOKUP(B532,ชื่อสินค้า!A:D,4,FALSE),"")</f>
        <v/>
      </c>
      <c r="E532" s="9"/>
      <c r="F532" s="21" t="str">
        <f t="shared" si="15"/>
        <v/>
      </c>
      <c r="G532" s="22"/>
      <c r="H532" s="8">
        <f>IFERROR(VLOOKUP(G532,ซื้อสินค้า!H:I,2,FALSE),)</f>
        <v>0</v>
      </c>
      <c r="I532" s="21">
        <f>IFERROR(VLOOKUP(G532,ซื้อสินค้า!H:J,3,FALSE),)</f>
        <v>0</v>
      </c>
      <c r="J532" s="21">
        <f t="shared" si="16"/>
        <v>0</v>
      </c>
      <c r="K532" s="21">
        <f t="shared" si="17"/>
        <v>0</v>
      </c>
      <c r="L532" s="12">
        <f t="shared" si="18"/>
        <v>0</v>
      </c>
      <c r="M532" s="21">
        <f t="shared" si="19"/>
        <v>0</v>
      </c>
      <c r="N532" s="9" t="str">
        <f ca="1">IFERROR(__xludf.DUMMYFUNCTION("IF(G532&lt;&gt;"""",G532, IFERROR(TRANSPOSE(FILTER('ซื้อสินค้า'!H:H,'ซื้อสินค้า'!B:B=B532,'ซื้อสินค้า'!I:I&gt;0)),))"),"")</f>
        <v/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spans="1:32">
      <c r="A533" s="5"/>
      <c r="B533" s="6"/>
      <c r="C533" s="20">
        <f>IFERROR(VLOOKUP(B533,ชื่อสินค้า!A:C,3,FALSE),)</f>
        <v>0</v>
      </c>
      <c r="D533" s="8" t="str">
        <f>IFERROR(VLOOKUP(B533,ชื่อสินค้า!A:D,4,FALSE),"")</f>
        <v/>
      </c>
      <c r="E533" s="9"/>
      <c r="F533" s="21" t="str">
        <f t="shared" si="15"/>
        <v/>
      </c>
      <c r="G533" s="22"/>
      <c r="H533" s="8">
        <f>IFERROR(VLOOKUP(G533,ซื้อสินค้า!H:I,2,FALSE),)</f>
        <v>0</v>
      </c>
      <c r="I533" s="21">
        <f>IFERROR(VLOOKUP(G533,ซื้อสินค้า!H:J,3,FALSE),)</f>
        <v>0</v>
      </c>
      <c r="J533" s="21">
        <f t="shared" si="16"/>
        <v>0</v>
      </c>
      <c r="K533" s="21">
        <f t="shared" si="17"/>
        <v>0</v>
      </c>
      <c r="L533" s="12">
        <f t="shared" si="18"/>
        <v>0</v>
      </c>
      <c r="M533" s="21">
        <f t="shared" si="19"/>
        <v>0</v>
      </c>
      <c r="N533" s="9" t="str">
        <f ca="1">IFERROR(__xludf.DUMMYFUNCTION("IF(G533&lt;&gt;"""",G533, IFERROR(TRANSPOSE(FILTER('ซื้อสินค้า'!H:H,'ซื้อสินค้า'!B:B=B533,'ซื้อสินค้า'!I:I&gt;0)),))"),"")</f>
        <v/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spans="1:32">
      <c r="A534" s="5"/>
      <c r="B534" s="6"/>
      <c r="C534" s="20">
        <f>IFERROR(VLOOKUP(B534,ชื่อสินค้า!A:C,3,FALSE),)</f>
        <v>0</v>
      </c>
      <c r="D534" s="8" t="str">
        <f>IFERROR(VLOOKUP(B534,ชื่อสินค้า!A:D,4,FALSE),"")</f>
        <v/>
      </c>
      <c r="E534" s="9"/>
      <c r="F534" s="21" t="str">
        <f t="shared" si="15"/>
        <v/>
      </c>
      <c r="G534" s="22"/>
      <c r="H534" s="8">
        <f>IFERROR(VLOOKUP(G534,ซื้อสินค้า!H:I,2,FALSE),)</f>
        <v>0</v>
      </c>
      <c r="I534" s="21">
        <f>IFERROR(VLOOKUP(G534,ซื้อสินค้า!H:J,3,FALSE),)</f>
        <v>0</v>
      </c>
      <c r="J534" s="21">
        <f t="shared" si="16"/>
        <v>0</v>
      </c>
      <c r="K534" s="21">
        <f t="shared" si="17"/>
        <v>0</v>
      </c>
      <c r="L534" s="12">
        <f t="shared" si="18"/>
        <v>0</v>
      </c>
      <c r="M534" s="21">
        <f t="shared" si="19"/>
        <v>0</v>
      </c>
      <c r="N534" s="9" t="str">
        <f ca="1">IFERROR(__xludf.DUMMYFUNCTION("IF(G534&lt;&gt;"""",G534, IFERROR(TRANSPOSE(FILTER('ซื้อสินค้า'!H:H,'ซื้อสินค้า'!B:B=B534,'ซื้อสินค้า'!I:I&gt;0)),))"),"")</f>
        <v/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spans="1:32">
      <c r="A535" s="5"/>
      <c r="B535" s="6"/>
      <c r="C535" s="20">
        <f>IFERROR(VLOOKUP(B535,ชื่อสินค้า!A:C,3,FALSE),)</f>
        <v>0</v>
      </c>
      <c r="D535" s="8" t="str">
        <f>IFERROR(VLOOKUP(B535,ชื่อสินค้า!A:D,4,FALSE),"")</f>
        <v/>
      </c>
      <c r="E535" s="9"/>
      <c r="F535" s="21" t="str">
        <f t="shared" si="15"/>
        <v/>
      </c>
      <c r="G535" s="22"/>
      <c r="H535" s="8">
        <f>IFERROR(VLOOKUP(G535,ซื้อสินค้า!H:I,2,FALSE),)</f>
        <v>0</v>
      </c>
      <c r="I535" s="21">
        <f>IFERROR(VLOOKUP(G535,ซื้อสินค้า!H:J,3,FALSE),)</f>
        <v>0</v>
      </c>
      <c r="J535" s="21">
        <f t="shared" si="16"/>
        <v>0</v>
      </c>
      <c r="K535" s="21">
        <f t="shared" si="17"/>
        <v>0</v>
      </c>
      <c r="L535" s="12">
        <f t="shared" si="18"/>
        <v>0</v>
      </c>
      <c r="M535" s="21">
        <f t="shared" si="19"/>
        <v>0</v>
      </c>
      <c r="N535" s="9" t="str">
        <f ca="1">IFERROR(__xludf.DUMMYFUNCTION("IF(G535&lt;&gt;"""",G535, IFERROR(TRANSPOSE(FILTER('ซื้อสินค้า'!H:H,'ซื้อสินค้า'!B:B=B535,'ซื้อสินค้า'!I:I&gt;0)),))"),"")</f>
        <v/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spans="1:32">
      <c r="A536" s="5"/>
      <c r="B536" s="6"/>
      <c r="C536" s="20">
        <f>IFERROR(VLOOKUP(B536,ชื่อสินค้า!A:C,3,FALSE),)</f>
        <v>0</v>
      </c>
      <c r="D536" s="8" t="str">
        <f>IFERROR(VLOOKUP(B536,ชื่อสินค้า!A:D,4,FALSE),"")</f>
        <v/>
      </c>
      <c r="E536" s="9"/>
      <c r="F536" s="21" t="str">
        <f t="shared" si="15"/>
        <v/>
      </c>
      <c r="G536" s="22"/>
      <c r="H536" s="8">
        <f>IFERROR(VLOOKUP(G536,ซื้อสินค้า!H:I,2,FALSE),)</f>
        <v>0</v>
      </c>
      <c r="I536" s="21">
        <f>IFERROR(VLOOKUP(G536,ซื้อสินค้า!H:J,3,FALSE),)</f>
        <v>0</v>
      </c>
      <c r="J536" s="21">
        <f t="shared" si="16"/>
        <v>0</v>
      </c>
      <c r="K536" s="21">
        <f t="shared" si="17"/>
        <v>0</v>
      </c>
      <c r="L536" s="12">
        <f t="shared" si="18"/>
        <v>0</v>
      </c>
      <c r="M536" s="21">
        <f t="shared" si="19"/>
        <v>0</v>
      </c>
      <c r="N536" s="9" t="str">
        <f ca="1">IFERROR(__xludf.DUMMYFUNCTION("IF(G536&lt;&gt;"""",G536, IFERROR(TRANSPOSE(FILTER('ซื้อสินค้า'!H:H,'ซื้อสินค้า'!B:B=B536,'ซื้อสินค้า'!I:I&gt;0)),))"),"")</f>
        <v/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spans="1:32">
      <c r="A537" s="5"/>
      <c r="B537" s="6"/>
      <c r="C537" s="20">
        <f>IFERROR(VLOOKUP(B537,ชื่อสินค้า!A:C,3,FALSE),)</f>
        <v>0</v>
      </c>
      <c r="D537" s="8" t="str">
        <f>IFERROR(VLOOKUP(B537,ชื่อสินค้า!A:D,4,FALSE),"")</f>
        <v/>
      </c>
      <c r="E537" s="9"/>
      <c r="F537" s="21" t="str">
        <f t="shared" si="15"/>
        <v/>
      </c>
      <c r="G537" s="22"/>
      <c r="H537" s="8">
        <f>IFERROR(VLOOKUP(G537,ซื้อสินค้า!H:I,2,FALSE),)</f>
        <v>0</v>
      </c>
      <c r="I537" s="21">
        <f>IFERROR(VLOOKUP(G537,ซื้อสินค้า!H:J,3,FALSE),)</f>
        <v>0</v>
      </c>
      <c r="J537" s="21">
        <f t="shared" si="16"/>
        <v>0</v>
      </c>
      <c r="K537" s="21">
        <f t="shared" si="17"/>
        <v>0</v>
      </c>
      <c r="L537" s="12">
        <f t="shared" si="18"/>
        <v>0</v>
      </c>
      <c r="M537" s="21">
        <f t="shared" si="19"/>
        <v>0</v>
      </c>
      <c r="N537" s="9" t="str">
        <f ca="1">IFERROR(__xludf.DUMMYFUNCTION("IF(G537&lt;&gt;"""",G537, IFERROR(TRANSPOSE(FILTER('ซื้อสินค้า'!H:H,'ซื้อสินค้า'!B:B=B537,'ซื้อสินค้า'!I:I&gt;0)),))"),"")</f>
        <v/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spans="1:32">
      <c r="A538" s="5"/>
      <c r="B538" s="6"/>
      <c r="C538" s="20">
        <f>IFERROR(VLOOKUP(B538,ชื่อสินค้า!A:C,3,FALSE),)</f>
        <v>0</v>
      </c>
      <c r="D538" s="8" t="str">
        <f>IFERROR(VLOOKUP(B538,ชื่อสินค้า!A:D,4,FALSE),"")</f>
        <v/>
      </c>
      <c r="E538" s="9"/>
      <c r="F538" s="21" t="str">
        <f t="shared" si="15"/>
        <v/>
      </c>
      <c r="G538" s="22"/>
      <c r="H538" s="8">
        <f>IFERROR(VLOOKUP(G538,ซื้อสินค้า!H:I,2,FALSE),)</f>
        <v>0</v>
      </c>
      <c r="I538" s="21">
        <f>IFERROR(VLOOKUP(G538,ซื้อสินค้า!H:J,3,FALSE),)</f>
        <v>0</v>
      </c>
      <c r="J538" s="21">
        <f t="shared" si="16"/>
        <v>0</v>
      </c>
      <c r="K538" s="21">
        <f t="shared" si="17"/>
        <v>0</v>
      </c>
      <c r="L538" s="12">
        <f t="shared" si="18"/>
        <v>0</v>
      </c>
      <c r="M538" s="21">
        <f t="shared" si="19"/>
        <v>0</v>
      </c>
      <c r="N538" s="9" t="str">
        <f ca="1">IFERROR(__xludf.DUMMYFUNCTION("IF(G538&lt;&gt;"""",G538, IFERROR(TRANSPOSE(FILTER('ซื้อสินค้า'!H:H,'ซื้อสินค้า'!B:B=B538,'ซื้อสินค้า'!I:I&gt;0)),))"),"")</f>
        <v/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spans="1:32">
      <c r="A539" s="5"/>
      <c r="B539" s="6"/>
      <c r="C539" s="20">
        <f>IFERROR(VLOOKUP(B539,ชื่อสินค้า!A:C,3,FALSE),)</f>
        <v>0</v>
      </c>
      <c r="D539" s="8" t="str">
        <f>IFERROR(VLOOKUP(B539,ชื่อสินค้า!A:D,4,FALSE),"")</f>
        <v/>
      </c>
      <c r="E539" s="9"/>
      <c r="F539" s="21" t="str">
        <f t="shared" si="15"/>
        <v/>
      </c>
      <c r="G539" s="22"/>
      <c r="H539" s="8">
        <f>IFERROR(VLOOKUP(G539,ซื้อสินค้า!H:I,2,FALSE),)</f>
        <v>0</v>
      </c>
      <c r="I539" s="21">
        <f>IFERROR(VLOOKUP(G539,ซื้อสินค้า!H:J,3,FALSE),)</f>
        <v>0</v>
      </c>
      <c r="J539" s="21">
        <f t="shared" si="16"/>
        <v>0</v>
      </c>
      <c r="K539" s="21">
        <f t="shared" si="17"/>
        <v>0</v>
      </c>
      <c r="L539" s="12">
        <f t="shared" si="18"/>
        <v>0</v>
      </c>
      <c r="M539" s="21">
        <f t="shared" si="19"/>
        <v>0</v>
      </c>
      <c r="N539" s="9" t="str">
        <f ca="1">IFERROR(__xludf.DUMMYFUNCTION("IF(G539&lt;&gt;"""",G539, IFERROR(TRANSPOSE(FILTER('ซื้อสินค้า'!H:H,'ซื้อสินค้า'!B:B=B539,'ซื้อสินค้า'!I:I&gt;0)),))"),"")</f>
        <v/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spans="1:32">
      <c r="A540" s="5"/>
      <c r="B540" s="6"/>
      <c r="C540" s="20">
        <f>IFERROR(VLOOKUP(B540,ชื่อสินค้า!A:C,3,FALSE),)</f>
        <v>0</v>
      </c>
      <c r="D540" s="8" t="str">
        <f>IFERROR(VLOOKUP(B540,ชื่อสินค้า!A:D,4,FALSE),"")</f>
        <v/>
      </c>
      <c r="E540" s="9"/>
      <c r="F540" s="21" t="str">
        <f t="shared" si="15"/>
        <v/>
      </c>
      <c r="G540" s="22"/>
      <c r="H540" s="8">
        <f>IFERROR(VLOOKUP(G540,ซื้อสินค้า!H:I,2,FALSE),)</f>
        <v>0</v>
      </c>
      <c r="I540" s="21">
        <f>IFERROR(VLOOKUP(G540,ซื้อสินค้า!H:J,3,FALSE),)</f>
        <v>0</v>
      </c>
      <c r="J540" s="21">
        <f t="shared" si="16"/>
        <v>0</v>
      </c>
      <c r="K540" s="21">
        <f t="shared" si="17"/>
        <v>0</v>
      </c>
      <c r="L540" s="12">
        <f t="shared" si="18"/>
        <v>0</v>
      </c>
      <c r="M540" s="21">
        <f t="shared" si="19"/>
        <v>0</v>
      </c>
      <c r="N540" s="9" t="str">
        <f ca="1">IFERROR(__xludf.DUMMYFUNCTION("IF(G540&lt;&gt;"""",G540, IFERROR(TRANSPOSE(FILTER('ซื้อสินค้า'!H:H,'ซื้อสินค้า'!B:B=B540,'ซื้อสินค้า'!I:I&gt;0)),))"),"")</f>
        <v/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spans="1:32">
      <c r="A541" s="5"/>
      <c r="B541" s="6"/>
      <c r="C541" s="20">
        <f>IFERROR(VLOOKUP(B541,ชื่อสินค้า!A:C,3,FALSE),)</f>
        <v>0</v>
      </c>
      <c r="D541" s="8" t="str">
        <f>IFERROR(VLOOKUP(B541,ชื่อสินค้า!A:D,4,FALSE),"")</f>
        <v/>
      </c>
      <c r="E541" s="9"/>
      <c r="F541" s="21" t="str">
        <f t="shared" si="15"/>
        <v/>
      </c>
      <c r="G541" s="22"/>
      <c r="H541" s="8">
        <f>IFERROR(VLOOKUP(G541,ซื้อสินค้า!H:I,2,FALSE),)</f>
        <v>0</v>
      </c>
      <c r="I541" s="21">
        <f>IFERROR(VLOOKUP(G541,ซื้อสินค้า!H:J,3,FALSE),)</f>
        <v>0</v>
      </c>
      <c r="J541" s="21">
        <f t="shared" si="16"/>
        <v>0</v>
      </c>
      <c r="K541" s="21">
        <f t="shared" si="17"/>
        <v>0</v>
      </c>
      <c r="L541" s="12">
        <f t="shared" si="18"/>
        <v>0</v>
      </c>
      <c r="M541" s="21">
        <f t="shared" si="19"/>
        <v>0</v>
      </c>
      <c r="N541" s="9" t="str">
        <f ca="1">IFERROR(__xludf.DUMMYFUNCTION("IF(G541&lt;&gt;"""",G541, IFERROR(TRANSPOSE(FILTER('ซื้อสินค้า'!H:H,'ซื้อสินค้า'!B:B=B541,'ซื้อสินค้า'!I:I&gt;0)),))"),"")</f>
        <v/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spans="1:32">
      <c r="A542" s="5"/>
      <c r="B542" s="6"/>
      <c r="C542" s="20">
        <f>IFERROR(VLOOKUP(B542,ชื่อสินค้า!A:C,3,FALSE),)</f>
        <v>0</v>
      </c>
      <c r="D542" s="8" t="str">
        <f>IFERROR(VLOOKUP(B542,ชื่อสินค้า!A:D,4,FALSE),"")</f>
        <v/>
      </c>
      <c r="E542" s="9"/>
      <c r="F542" s="21" t="str">
        <f t="shared" si="15"/>
        <v/>
      </c>
      <c r="G542" s="22"/>
      <c r="H542" s="8">
        <f>IFERROR(VLOOKUP(G542,ซื้อสินค้า!H:I,2,FALSE),)</f>
        <v>0</v>
      </c>
      <c r="I542" s="21">
        <f>IFERROR(VLOOKUP(G542,ซื้อสินค้า!H:J,3,FALSE),)</f>
        <v>0</v>
      </c>
      <c r="J542" s="21">
        <f t="shared" si="16"/>
        <v>0</v>
      </c>
      <c r="K542" s="21">
        <f t="shared" si="17"/>
        <v>0</v>
      </c>
      <c r="L542" s="12">
        <f t="shared" si="18"/>
        <v>0</v>
      </c>
      <c r="M542" s="21">
        <f t="shared" si="19"/>
        <v>0</v>
      </c>
      <c r="N542" s="9" t="str">
        <f ca="1">IFERROR(__xludf.DUMMYFUNCTION("IF(G542&lt;&gt;"""",G542, IFERROR(TRANSPOSE(FILTER('ซื้อสินค้า'!H:H,'ซื้อสินค้า'!B:B=B542,'ซื้อสินค้า'!I:I&gt;0)),))"),"")</f>
        <v/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spans="1:32">
      <c r="A543" s="5"/>
      <c r="B543" s="6"/>
      <c r="C543" s="20">
        <f>IFERROR(VLOOKUP(B543,ชื่อสินค้า!A:C,3,FALSE),)</f>
        <v>0</v>
      </c>
      <c r="D543" s="8" t="str">
        <f>IFERROR(VLOOKUP(B543,ชื่อสินค้า!A:D,4,FALSE),"")</f>
        <v/>
      </c>
      <c r="E543" s="9"/>
      <c r="F543" s="21" t="str">
        <f t="shared" si="15"/>
        <v/>
      </c>
      <c r="G543" s="22"/>
      <c r="H543" s="8">
        <f>IFERROR(VLOOKUP(G543,ซื้อสินค้า!H:I,2,FALSE),)</f>
        <v>0</v>
      </c>
      <c r="I543" s="21">
        <f>IFERROR(VLOOKUP(G543,ซื้อสินค้า!H:J,3,FALSE),)</f>
        <v>0</v>
      </c>
      <c r="J543" s="21">
        <f t="shared" si="16"/>
        <v>0</v>
      </c>
      <c r="K543" s="21">
        <f t="shared" si="17"/>
        <v>0</v>
      </c>
      <c r="L543" s="12">
        <f t="shared" si="18"/>
        <v>0</v>
      </c>
      <c r="M543" s="21">
        <f t="shared" si="19"/>
        <v>0</v>
      </c>
      <c r="N543" s="9" t="str">
        <f ca="1">IFERROR(__xludf.DUMMYFUNCTION("IF(G543&lt;&gt;"""",G543, IFERROR(TRANSPOSE(FILTER('ซื้อสินค้า'!H:H,'ซื้อสินค้า'!B:B=B543,'ซื้อสินค้า'!I:I&gt;0)),))"),"")</f>
        <v/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>
      <c r="A544" s="5"/>
      <c r="B544" s="6"/>
      <c r="C544" s="20">
        <f>IFERROR(VLOOKUP(B544,ชื่อสินค้า!A:C,3,FALSE),)</f>
        <v>0</v>
      </c>
      <c r="D544" s="8" t="str">
        <f>IFERROR(VLOOKUP(B544,ชื่อสินค้า!A:D,4,FALSE),"")</f>
        <v/>
      </c>
      <c r="E544" s="9"/>
      <c r="F544" s="21" t="str">
        <f t="shared" si="15"/>
        <v/>
      </c>
      <c r="G544" s="22"/>
      <c r="H544" s="8">
        <f>IFERROR(VLOOKUP(G544,ซื้อสินค้า!H:I,2,FALSE),)</f>
        <v>0</v>
      </c>
      <c r="I544" s="21">
        <f>IFERROR(VLOOKUP(G544,ซื้อสินค้า!H:J,3,FALSE),)</f>
        <v>0</v>
      </c>
      <c r="J544" s="21">
        <f t="shared" si="16"/>
        <v>0</v>
      </c>
      <c r="K544" s="21">
        <f t="shared" si="17"/>
        <v>0</v>
      </c>
      <c r="L544" s="12">
        <f t="shared" si="18"/>
        <v>0</v>
      </c>
      <c r="M544" s="21">
        <f t="shared" si="19"/>
        <v>0</v>
      </c>
      <c r="N544" s="9" t="str">
        <f ca="1">IFERROR(__xludf.DUMMYFUNCTION("IF(G544&lt;&gt;"""",G544, IFERROR(TRANSPOSE(FILTER('ซื้อสินค้า'!H:H,'ซื้อสินค้า'!B:B=B544,'ซื้อสินค้า'!I:I&gt;0)),))"),"")</f>
        <v/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>
      <c r="A545" s="5"/>
      <c r="B545" s="6"/>
      <c r="C545" s="20">
        <f>IFERROR(VLOOKUP(B545,ชื่อสินค้า!A:C,3,FALSE),)</f>
        <v>0</v>
      </c>
      <c r="D545" s="8" t="str">
        <f>IFERROR(VLOOKUP(B545,ชื่อสินค้า!A:D,4,FALSE),"")</f>
        <v/>
      </c>
      <c r="E545" s="9"/>
      <c r="F545" s="21" t="str">
        <f t="shared" si="15"/>
        <v/>
      </c>
      <c r="G545" s="22"/>
      <c r="H545" s="8">
        <f>IFERROR(VLOOKUP(G545,ซื้อสินค้า!H:I,2,FALSE),)</f>
        <v>0</v>
      </c>
      <c r="I545" s="21">
        <f>IFERROR(VLOOKUP(G545,ซื้อสินค้า!H:J,3,FALSE),)</f>
        <v>0</v>
      </c>
      <c r="J545" s="21">
        <f t="shared" si="16"/>
        <v>0</v>
      </c>
      <c r="K545" s="21">
        <f t="shared" si="17"/>
        <v>0</v>
      </c>
      <c r="L545" s="12">
        <f t="shared" si="18"/>
        <v>0</v>
      </c>
      <c r="M545" s="21">
        <f t="shared" si="19"/>
        <v>0</v>
      </c>
      <c r="N545" s="9" t="str">
        <f ca="1">IFERROR(__xludf.DUMMYFUNCTION("IF(G545&lt;&gt;"""",G545, IFERROR(TRANSPOSE(FILTER('ซื้อสินค้า'!H:H,'ซื้อสินค้า'!B:B=B545,'ซื้อสินค้า'!I:I&gt;0)),))"),"")</f>
        <v/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>
      <c r="A546" s="5"/>
      <c r="B546" s="6"/>
      <c r="C546" s="20">
        <f>IFERROR(VLOOKUP(B546,ชื่อสินค้า!A:C,3,FALSE),)</f>
        <v>0</v>
      </c>
      <c r="D546" s="8" t="str">
        <f>IFERROR(VLOOKUP(B546,ชื่อสินค้า!A:D,4,FALSE),"")</f>
        <v/>
      </c>
      <c r="E546" s="9"/>
      <c r="F546" s="21" t="str">
        <f t="shared" si="15"/>
        <v/>
      </c>
      <c r="G546" s="22"/>
      <c r="H546" s="8">
        <f>IFERROR(VLOOKUP(G546,ซื้อสินค้า!H:I,2,FALSE),)</f>
        <v>0</v>
      </c>
      <c r="I546" s="21">
        <f>IFERROR(VLOOKUP(G546,ซื้อสินค้า!H:J,3,FALSE),)</f>
        <v>0</v>
      </c>
      <c r="J546" s="21">
        <f t="shared" si="16"/>
        <v>0</v>
      </c>
      <c r="K546" s="21">
        <f t="shared" si="17"/>
        <v>0</v>
      </c>
      <c r="L546" s="12">
        <f t="shared" si="18"/>
        <v>0</v>
      </c>
      <c r="M546" s="21">
        <f t="shared" si="19"/>
        <v>0</v>
      </c>
      <c r="N546" s="9" t="str">
        <f ca="1">IFERROR(__xludf.DUMMYFUNCTION("IF(G546&lt;&gt;"""",G546, IFERROR(TRANSPOSE(FILTER('ซื้อสินค้า'!H:H,'ซื้อสินค้า'!B:B=B546,'ซื้อสินค้า'!I:I&gt;0)),))"),"")</f>
        <v/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>
      <c r="A547" s="5"/>
      <c r="B547" s="6"/>
      <c r="C547" s="20">
        <f>IFERROR(VLOOKUP(B547,ชื่อสินค้า!A:C,3,FALSE),)</f>
        <v>0</v>
      </c>
      <c r="D547" s="8" t="str">
        <f>IFERROR(VLOOKUP(B547,ชื่อสินค้า!A:D,4,FALSE),"")</f>
        <v/>
      </c>
      <c r="E547" s="9"/>
      <c r="F547" s="21" t="str">
        <f t="shared" si="15"/>
        <v/>
      </c>
      <c r="G547" s="22"/>
      <c r="H547" s="8">
        <f>IFERROR(VLOOKUP(G547,ซื้อสินค้า!H:I,2,FALSE),)</f>
        <v>0</v>
      </c>
      <c r="I547" s="21">
        <f>IFERROR(VLOOKUP(G547,ซื้อสินค้า!H:J,3,FALSE),)</f>
        <v>0</v>
      </c>
      <c r="J547" s="21">
        <f t="shared" si="16"/>
        <v>0</v>
      </c>
      <c r="K547" s="21">
        <f t="shared" si="17"/>
        <v>0</v>
      </c>
      <c r="L547" s="12">
        <f t="shared" si="18"/>
        <v>0</v>
      </c>
      <c r="M547" s="21">
        <f t="shared" si="19"/>
        <v>0</v>
      </c>
      <c r="N547" s="9" t="str">
        <f ca="1">IFERROR(__xludf.DUMMYFUNCTION("IF(G547&lt;&gt;"""",G547, IFERROR(TRANSPOSE(FILTER('ซื้อสินค้า'!H:H,'ซื้อสินค้า'!B:B=B547,'ซื้อสินค้า'!I:I&gt;0)),))"),"")</f>
        <v/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>
      <c r="A548" s="5"/>
      <c r="B548" s="6"/>
      <c r="C548" s="20">
        <f>IFERROR(VLOOKUP(B548,ชื่อสินค้า!A:C,3,FALSE),)</f>
        <v>0</v>
      </c>
      <c r="D548" s="8" t="str">
        <f>IFERROR(VLOOKUP(B548,ชื่อสินค้า!A:D,4,FALSE),"")</f>
        <v/>
      </c>
      <c r="E548" s="9"/>
      <c r="F548" s="21" t="str">
        <f t="shared" si="15"/>
        <v/>
      </c>
      <c r="G548" s="22"/>
      <c r="H548" s="8">
        <f>IFERROR(VLOOKUP(G548,ซื้อสินค้า!H:I,2,FALSE),)</f>
        <v>0</v>
      </c>
      <c r="I548" s="21">
        <f>IFERROR(VLOOKUP(G548,ซื้อสินค้า!H:J,3,FALSE),)</f>
        <v>0</v>
      </c>
      <c r="J548" s="21">
        <f t="shared" si="16"/>
        <v>0</v>
      </c>
      <c r="K548" s="21">
        <f t="shared" si="17"/>
        <v>0</v>
      </c>
      <c r="L548" s="12">
        <f t="shared" si="18"/>
        <v>0</v>
      </c>
      <c r="M548" s="21">
        <f t="shared" si="19"/>
        <v>0</v>
      </c>
      <c r="N548" s="9" t="str">
        <f ca="1">IFERROR(__xludf.DUMMYFUNCTION("IF(G548&lt;&gt;"""",G548, IFERROR(TRANSPOSE(FILTER('ซื้อสินค้า'!H:H,'ซื้อสินค้า'!B:B=B548,'ซื้อสินค้า'!I:I&gt;0)),))"),"")</f>
        <v/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>
      <c r="A549" s="5"/>
      <c r="B549" s="6"/>
      <c r="C549" s="20">
        <f>IFERROR(VLOOKUP(B549,ชื่อสินค้า!A:C,3,FALSE),)</f>
        <v>0</v>
      </c>
      <c r="D549" s="8" t="str">
        <f>IFERROR(VLOOKUP(B549,ชื่อสินค้า!A:D,4,FALSE),"")</f>
        <v/>
      </c>
      <c r="E549" s="9"/>
      <c r="F549" s="21" t="str">
        <f t="shared" si="15"/>
        <v/>
      </c>
      <c r="G549" s="22"/>
      <c r="H549" s="8">
        <f>IFERROR(VLOOKUP(G549,ซื้อสินค้า!H:I,2,FALSE),)</f>
        <v>0</v>
      </c>
      <c r="I549" s="21">
        <f>IFERROR(VLOOKUP(G549,ซื้อสินค้า!H:J,3,FALSE),)</f>
        <v>0</v>
      </c>
      <c r="J549" s="21">
        <f t="shared" si="16"/>
        <v>0</v>
      </c>
      <c r="K549" s="21">
        <f t="shared" si="17"/>
        <v>0</v>
      </c>
      <c r="L549" s="12">
        <f t="shared" si="18"/>
        <v>0</v>
      </c>
      <c r="M549" s="21">
        <f t="shared" si="19"/>
        <v>0</v>
      </c>
      <c r="N549" s="9" t="str">
        <f ca="1">IFERROR(__xludf.DUMMYFUNCTION("IF(G549&lt;&gt;"""",G549, IFERROR(TRANSPOSE(FILTER('ซื้อสินค้า'!H:H,'ซื้อสินค้า'!B:B=B549,'ซื้อสินค้า'!I:I&gt;0)),))"),"")</f>
        <v/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>
      <c r="A550" s="5"/>
      <c r="B550" s="6"/>
      <c r="C550" s="20">
        <f>IFERROR(VLOOKUP(B550,ชื่อสินค้า!A:C,3,FALSE),)</f>
        <v>0</v>
      </c>
      <c r="D550" s="8" t="str">
        <f>IFERROR(VLOOKUP(B550,ชื่อสินค้า!A:D,4,FALSE),"")</f>
        <v/>
      </c>
      <c r="E550" s="9"/>
      <c r="F550" s="21" t="str">
        <f t="shared" si="15"/>
        <v/>
      </c>
      <c r="G550" s="22"/>
      <c r="H550" s="8">
        <f>IFERROR(VLOOKUP(G550,ซื้อสินค้า!H:I,2,FALSE),)</f>
        <v>0</v>
      </c>
      <c r="I550" s="21">
        <f>IFERROR(VLOOKUP(G550,ซื้อสินค้า!H:J,3,FALSE),)</f>
        <v>0</v>
      </c>
      <c r="J550" s="21">
        <f t="shared" si="16"/>
        <v>0</v>
      </c>
      <c r="K550" s="21">
        <f t="shared" si="17"/>
        <v>0</v>
      </c>
      <c r="L550" s="12">
        <f t="shared" si="18"/>
        <v>0</v>
      </c>
      <c r="M550" s="21">
        <f t="shared" si="19"/>
        <v>0</v>
      </c>
      <c r="N550" s="9" t="str">
        <f ca="1">IFERROR(__xludf.DUMMYFUNCTION("IF(G550&lt;&gt;"""",G550, IFERROR(TRANSPOSE(FILTER('ซื้อสินค้า'!H:H,'ซื้อสินค้า'!B:B=B550,'ซื้อสินค้า'!I:I&gt;0)),))"),"")</f>
        <v/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>
      <c r="A551" s="5"/>
      <c r="B551" s="6"/>
      <c r="C551" s="20">
        <f>IFERROR(VLOOKUP(B551,ชื่อสินค้า!A:C,3,FALSE),)</f>
        <v>0</v>
      </c>
      <c r="D551" s="8" t="str">
        <f>IFERROR(VLOOKUP(B551,ชื่อสินค้า!A:D,4,FALSE),"")</f>
        <v/>
      </c>
      <c r="E551" s="9"/>
      <c r="F551" s="21" t="str">
        <f t="shared" si="15"/>
        <v/>
      </c>
      <c r="G551" s="22"/>
      <c r="H551" s="8">
        <f>IFERROR(VLOOKUP(G551,ซื้อสินค้า!H:I,2,FALSE),)</f>
        <v>0</v>
      </c>
      <c r="I551" s="21">
        <f>IFERROR(VLOOKUP(G551,ซื้อสินค้า!H:J,3,FALSE),)</f>
        <v>0</v>
      </c>
      <c r="J551" s="21">
        <f t="shared" si="16"/>
        <v>0</v>
      </c>
      <c r="K551" s="21">
        <f t="shared" si="17"/>
        <v>0</v>
      </c>
      <c r="L551" s="12">
        <f t="shared" si="18"/>
        <v>0</v>
      </c>
      <c r="M551" s="21">
        <f t="shared" si="19"/>
        <v>0</v>
      </c>
      <c r="N551" s="9" t="str">
        <f ca="1">IFERROR(__xludf.DUMMYFUNCTION("IF(G551&lt;&gt;"""",G551, IFERROR(TRANSPOSE(FILTER('ซื้อสินค้า'!H:H,'ซื้อสินค้า'!B:B=B551,'ซื้อสินค้า'!I:I&gt;0)),))"),"")</f>
        <v/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>
      <c r="A552" s="5"/>
      <c r="B552" s="6"/>
      <c r="C552" s="20">
        <f>IFERROR(VLOOKUP(B552,ชื่อสินค้า!A:C,3,FALSE),)</f>
        <v>0</v>
      </c>
      <c r="D552" s="8" t="str">
        <f>IFERROR(VLOOKUP(B552,ชื่อสินค้า!A:D,4,FALSE),"")</f>
        <v/>
      </c>
      <c r="E552" s="9"/>
      <c r="F552" s="21" t="str">
        <f t="shared" si="15"/>
        <v/>
      </c>
      <c r="G552" s="22"/>
      <c r="H552" s="8">
        <f>IFERROR(VLOOKUP(G552,ซื้อสินค้า!H:I,2,FALSE),)</f>
        <v>0</v>
      </c>
      <c r="I552" s="21">
        <f>IFERROR(VLOOKUP(G552,ซื้อสินค้า!H:J,3,FALSE),)</f>
        <v>0</v>
      </c>
      <c r="J552" s="21">
        <f t="shared" si="16"/>
        <v>0</v>
      </c>
      <c r="K552" s="21">
        <f t="shared" si="17"/>
        <v>0</v>
      </c>
      <c r="L552" s="12">
        <f t="shared" si="18"/>
        <v>0</v>
      </c>
      <c r="M552" s="21">
        <f t="shared" si="19"/>
        <v>0</v>
      </c>
      <c r="N552" s="9" t="str">
        <f ca="1">IFERROR(__xludf.DUMMYFUNCTION("IF(G552&lt;&gt;"""",G552, IFERROR(TRANSPOSE(FILTER('ซื้อสินค้า'!H:H,'ซื้อสินค้า'!B:B=B552,'ซื้อสินค้า'!I:I&gt;0)),))"),"")</f>
        <v/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>
      <c r="A553" s="5"/>
      <c r="B553" s="6"/>
      <c r="C553" s="20">
        <f>IFERROR(VLOOKUP(B553,ชื่อสินค้า!A:C,3,FALSE),)</f>
        <v>0</v>
      </c>
      <c r="D553" s="8" t="str">
        <f>IFERROR(VLOOKUP(B553,ชื่อสินค้า!A:D,4,FALSE),"")</f>
        <v/>
      </c>
      <c r="E553" s="9"/>
      <c r="F553" s="21" t="str">
        <f t="shared" si="15"/>
        <v/>
      </c>
      <c r="G553" s="22"/>
      <c r="H553" s="8">
        <f>IFERROR(VLOOKUP(G553,ซื้อสินค้า!H:I,2,FALSE),)</f>
        <v>0</v>
      </c>
      <c r="I553" s="21">
        <f>IFERROR(VLOOKUP(G553,ซื้อสินค้า!H:J,3,FALSE),)</f>
        <v>0</v>
      </c>
      <c r="J553" s="21">
        <f t="shared" si="16"/>
        <v>0</v>
      </c>
      <c r="K553" s="21">
        <f t="shared" si="17"/>
        <v>0</v>
      </c>
      <c r="L553" s="12">
        <f t="shared" si="18"/>
        <v>0</v>
      </c>
      <c r="M553" s="21">
        <f t="shared" si="19"/>
        <v>0</v>
      </c>
      <c r="N553" s="9" t="str">
        <f ca="1">IFERROR(__xludf.DUMMYFUNCTION("IF(G553&lt;&gt;"""",G553, IFERROR(TRANSPOSE(FILTER('ซื้อสินค้า'!H:H,'ซื้อสินค้า'!B:B=B553,'ซื้อสินค้า'!I:I&gt;0)),))"),"")</f>
        <v/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>
      <c r="A554" s="5"/>
      <c r="B554" s="6"/>
      <c r="C554" s="20">
        <f>IFERROR(VLOOKUP(B554,ชื่อสินค้า!A:C,3,FALSE),)</f>
        <v>0</v>
      </c>
      <c r="D554" s="8" t="str">
        <f>IFERROR(VLOOKUP(B554,ชื่อสินค้า!A:D,4,FALSE),"")</f>
        <v/>
      </c>
      <c r="E554" s="9"/>
      <c r="F554" s="21" t="str">
        <f t="shared" si="15"/>
        <v/>
      </c>
      <c r="G554" s="22"/>
      <c r="H554" s="8">
        <f>IFERROR(VLOOKUP(G554,ซื้อสินค้า!H:I,2,FALSE),)</f>
        <v>0</v>
      </c>
      <c r="I554" s="21">
        <f>IFERROR(VLOOKUP(G554,ซื้อสินค้า!H:J,3,FALSE),)</f>
        <v>0</v>
      </c>
      <c r="J554" s="21">
        <f t="shared" si="16"/>
        <v>0</v>
      </c>
      <c r="K554" s="21">
        <f t="shared" si="17"/>
        <v>0</v>
      </c>
      <c r="L554" s="12">
        <f t="shared" si="18"/>
        <v>0</v>
      </c>
      <c r="M554" s="21">
        <f t="shared" si="19"/>
        <v>0</v>
      </c>
      <c r="N554" s="9" t="str">
        <f ca="1">IFERROR(__xludf.DUMMYFUNCTION("IF(G554&lt;&gt;"""",G554, IFERROR(TRANSPOSE(FILTER('ซื้อสินค้า'!H:H,'ซื้อสินค้า'!B:B=B554,'ซื้อสินค้า'!I:I&gt;0)),))"),"")</f>
        <v/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>
      <c r="A555" s="5"/>
      <c r="B555" s="6"/>
      <c r="C555" s="20">
        <f>IFERROR(VLOOKUP(B555,ชื่อสินค้า!A:C,3,FALSE),)</f>
        <v>0</v>
      </c>
      <c r="D555" s="8" t="str">
        <f>IFERROR(VLOOKUP(B555,ชื่อสินค้า!A:D,4,FALSE),"")</f>
        <v/>
      </c>
      <c r="E555" s="9"/>
      <c r="F555" s="21" t="str">
        <f t="shared" si="15"/>
        <v/>
      </c>
      <c r="G555" s="22"/>
      <c r="H555" s="8">
        <f>IFERROR(VLOOKUP(G555,ซื้อสินค้า!H:I,2,FALSE),)</f>
        <v>0</v>
      </c>
      <c r="I555" s="21">
        <f>IFERROR(VLOOKUP(G555,ซื้อสินค้า!H:J,3,FALSE),)</f>
        <v>0</v>
      </c>
      <c r="J555" s="21">
        <f t="shared" si="16"/>
        <v>0</v>
      </c>
      <c r="K555" s="21">
        <f t="shared" si="17"/>
        <v>0</v>
      </c>
      <c r="L555" s="12">
        <f t="shared" si="18"/>
        <v>0</v>
      </c>
      <c r="M555" s="21">
        <f t="shared" si="19"/>
        <v>0</v>
      </c>
      <c r="N555" s="9" t="str">
        <f ca="1">IFERROR(__xludf.DUMMYFUNCTION("IF(G555&lt;&gt;"""",G555, IFERROR(TRANSPOSE(FILTER('ซื้อสินค้า'!H:H,'ซื้อสินค้า'!B:B=B555,'ซื้อสินค้า'!I:I&gt;0)),))"),"")</f>
        <v/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>
      <c r="A556" s="5"/>
      <c r="B556" s="6"/>
      <c r="C556" s="20">
        <f>IFERROR(VLOOKUP(B556,ชื่อสินค้า!A:C,3,FALSE),)</f>
        <v>0</v>
      </c>
      <c r="D556" s="8" t="str">
        <f>IFERROR(VLOOKUP(B556,ชื่อสินค้า!A:D,4,FALSE),"")</f>
        <v/>
      </c>
      <c r="E556" s="9"/>
      <c r="F556" s="21" t="str">
        <f t="shared" si="15"/>
        <v/>
      </c>
      <c r="G556" s="22"/>
      <c r="H556" s="8">
        <f>IFERROR(VLOOKUP(G556,ซื้อสินค้า!H:I,2,FALSE),)</f>
        <v>0</v>
      </c>
      <c r="I556" s="21">
        <f>IFERROR(VLOOKUP(G556,ซื้อสินค้า!H:J,3,FALSE),)</f>
        <v>0</v>
      </c>
      <c r="J556" s="21">
        <f t="shared" si="16"/>
        <v>0</v>
      </c>
      <c r="K556" s="21">
        <f t="shared" si="17"/>
        <v>0</v>
      </c>
      <c r="L556" s="12">
        <f t="shared" si="18"/>
        <v>0</v>
      </c>
      <c r="M556" s="21">
        <f t="shared" si="19"/>
        <v>0</v>
      </c>
      <c r="N556" s="9" t="str">
        <f ca="1">IFERROR(__xludf.DUMMYFUNCTION("IF(G556&lt;&gt;"""",G556, IFERROR(TRANSPOSE(FILTER('ซื้อสินค้า'!H:H,'ซื้อสินค้า'!B:B=B556,'ซื้อสินค้า'!I:I&gt;0)),))"),"")</f>
        <v/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>
      <c r="A557" s="5"/>
      <c r="B557" s="6"/>
      <c r="C557" s="20">
        <f>IFERROR(VLOOKUP(B557,ชื่อสินค้า!A:C,3,FALSE),)</f>
        <v>0</v>
      </c>
      <c r="D557" s="8" t="str">
        <f>IFERROR(VLOOKUP(B557,ชื่อสินค้า!A:D,4,FALSE),"")</f>
        <v/>
      </c>
      <c r="E557" s="9"/>
      <c r="F557" s="21" t="str">
        <f t="shared" si="15"/>
        <v/>
      </c>
      <c r="G557" s="22"/>
      <c r="H557" s="8">
        <f>IFERROR(VLOOKUP(G557,ซื้อสินค้า!H:I,2,FALSE),)</f>
        <v>0</v>
      </c>
      <c r="I557" s="21">
        <f>IFERROR(VLOOKUP(G557,ซื้อสินค้า!H:J,3,FALSE),)</f>
        <v>0</v>
      </c>
      <c r="J557" s="21">
        <f t="shared" si="16"/>
        <v>0</v>
      </c>
      <c r="K557" s="21">
        <f t="shared" si="17"/>
        <v>0</v>
      </c>
      <c r="L557" s="12">
        <f t="shared" si="18"/>
        <v>0</v>
      </c>
      <c r="M557" s="21">
        <f t="shared" si="19"/>
        <v>0</v>
      </c>
      <c r="N557" s="9" t="str">
        <f ca="1">IFERROR(__xludf.DUMMYFUNCTION("IF(G557&lt;&gt;"""",G557, IFERROR(TRANSPOSE(FILTER('ซื้อสินค้า'!H:H,'ซื้อสินค้า'!B:B=B557,'ซื้อสินค้า'!I:I&gt;0)),))"),"")</f>
        <v/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>
      <c r="A558" s="5"/>
      <c r="B558" s="6"/>
      <c r="C558" s="20">
        <f>IFERROR(VLOOKUP(B558,ชื่อสินค้า!A:C,3,FALSE),)</f>
        <v>0</v>
      </c>
      <c r="D558" s="8" t="str">
        <f>IFERROR(VLOOKUP(B558,ชื่อสินค้า!A:D,4,FALSE),"")</f>
        <v/>
      </c>
      <c r="E558" s="9"/>
      <c r="F558" s="21" t="str">
        <f t="shared" si="15"/>
        <v/>
      </c>
      <c r="G558" s="22"/>
      <c r="H558" s="8">
        <f>IFERROR(VLOOKUP(G558,ซื้อสินค้า!H:I,2,FALSE),)</f>
        <v>0</v>
      </c>
      <c r="I558" s="21">
        <f>IFERROR(VLOOKUP(G558,ซื้อสินค้า!H:J,3,FALSE),)</f>
        <v>0</v>
      </c>
      <c r="J558" s="21">
        <f t="shared" si="16"/>
        <v>0</v>
      </c>
      <c r="K558" s="21">
        <f t="shared" si="17"/>
        <v>0</v>
      </c>
      <c r="L558" s="12">
        <f t="shared" si="18"/>
        <v>0</v>
      </c>
      <c r="M558" s="21">
        <f t="shared" si="19"/>
        <v>0</v>
      </c>
      <c r="N558" s="9" t="str">
        <f ca="1">IFERROR(__xludf.DUMMYFUNCTION("IF(G558&lt;&gt;"""",G558, IFERROR(TRANSPOSE(FILTER('ซื้อสินค้า'!H:H,'ซื้อสินค้า'!B:B=B558,'ซื้อสินค้า'!I:I&gt;0)),))"),"")</f>
        <v/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>
      <c r="A559" s="5"/>
      <c r="B559" s="6"/>
      <c r="C559" s="20">
        <f>IFERROR(VLOOKUP(B559,ชื่อสินค้า!A:C,3,FALSE),)</f>
        <v>0</v>
      </c>
      <c r="D559" s="8" t="str">
        <f>IFERROR(VLOOKUP(B559,ชื่อสินค้า!A:D,4,FALSE),"")</f>
        <v/>
      </c>
      <c r="E559" s="9"/>
      <c r="F559" s="21" t="str">
        <f t="shared" si="15"/>
        <v/>
      </c>
      <c r="G559" s="22"/>
      <c r="H559" s="8">
        <f>IFERROR(VLOOKUP(G559,ซื้อสินค้า!H:I,2,FALSE),)</f>
        <v>0</v>
      </c>
      <c r="I559" s="21">
        <f>IFERROR(VLOOKUP(G559,ซื้อสินค้า!H:J,3,FALSE),)</f>
        <v>0</v>
      </c>
      <c r="J559" s="21">
        <f t="shared" si="16"/>
        <v>0</v>
      </c>
      <c r="K559" s="21">
        <f t="shared" si="17"/>
        <v>0</v>
      </c>
      <c r="L559" s="12">
        <f t="shared" si="18"/>
        <v>0</v>
      </c>
      <c r="M559" s="21">
        <f t="shared" si="19"/>
        <v>0</v>
      </c>
      <c r="N559" s="9" t="str">
        <f ca="1">IFERROR(__xludf.DUMMYFUNCTION("IF(G559&lt;&gt;"""",G559, IFERROR(TRANSPOSE(FILTER('ซื้อสินค้า'!H:H,'ซื้อสินค้า'!B:B=B559,'ซื้อสินค้า'!I:I&gt;0)),))"),"")</f>
        <v/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>
      <c r="A560" s="5"/>
      <c r="B560" s="6"/>
      <c r="C560" s="20">
        <f>IFERROR(VLOOKUP(B560,ชื่อสินค้า!A:C,3,FALSE),)</f>
        <v>0</v>
      </c>
      <c r="D560" s="8" t="str">
        <f>IFERROR(VLOOKUP(B560,ชื่อสินค้า!A:D,4,FALSE),"")</f>
        <v/>
      </c>
      <c r="E560" s="9"/>
      <c r="F560" s="21" t="str">
        <f t="shared" si="15"/>
        <v/>
      </c>
      <c r="G560" s="22"/>
      <c r="H560" s="8">
        <f>IFERROR(VLOOKUP(G560,ซื้อสินค้า!H:I,2,FALSE),)</f>
        <v>0</v>
      </c>
      <c r="I560" s="21">
        <f>IFERROR(VLOOKUP(G560,ซื้อสินค้า!H:J,3,FALSE),)</f>
        <v>0</v>
      </c>
      <c r="J560" s="21">
        <f t="shared" si="16"/>
        <v>0</v>
      </c>
      <c r="K560" s="21">
        <f t="shared" si="17"/>
        <v>0</v>
      </c>
      <c r="L560" s="12">
        <f t="shared" si="18"/>
        <v>0</v>
      </c>
      <c r="M560" s="21">
        <f t="shared" si="19"/>
        <v>0</v>
      </c>
      <c r="N560" s="9" t="str">
        <f ca="1">IFERROR(__xludf.DUMMYFUNCTION("IF(G560&lt;&gt;"""",G560, IFERROR(TRANSPOSE(FILTER('ซื้อสินค้า'!H:H,'ซื้อสินค้า'!B:B=B560,'ซื้อสินค้า'!I:I&gt;0)),))"),"")</f>
        <v/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>
      <c r="A561" s="5"/>
      <c r="B561" s="6"/>
      <c r="C561" s="20">
        <f>IFERROR(VLOOKUP(B561,ชื่อสินค้า!A:C,3,FALSE),)</f>
        <v>0</v>
      </c>
      <c r="D561" s="8" t="str">
        <f>IFERROR(VLOOKUP(B561,ชื่อสินค้า!A:D,4,FALSE),"")</f>
        <v/>
      </c>
      <c r="E561" s="9"/>
      <c r="F561" s="21" t="str">
        <f t="shared" si="15"/>
        <v/>
      </c>
      <c r="G561" s="22"/>
      <c r="H561" s="8">
        <f>IFERROR(VLOOKUP(G561,ซื้อสินค้า!H:I,2,FALSE),)</f>
        <v>0</v>
      </c>
      <c r="I561" s="21">
        <f>IFERROR(VLOOKUP(G561,ซื้อสินค้า!H:J,3,FALSE),)</f>
        <v>0</v>
      </c>
      <c r="J561" s="21">
        <f t="shared" si="16"/>
        <v>0</v>
      </c>
      <c r="K561" s="21">
        <f t="shared" si="17"/>
        <v>0</v>
      </c>
      <c r="L561" s="12">
        <f t="shared" si="18"/>
        <v>0</v>
      </c>
      <c r="M561" s="21">
        <f t="shared" si="19"/>
        <v>0</v>
      </c>
      <c r="N561" s="9" t="str">
        <f ca="1">IFERROR(__xludf.DUMMYFUNCTION("IF(G561&lt;&gt;"""",G561, IFERROR(TRANSPOSE(FILTER('ซื้อสินค้า'!H:H,'ซื้อสินค้า'!B:B=B561,'ซื้อสินค้า'!I:I&gt;0)),))"),"")</f>
        <v/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>
      <c r="A562" s="5"/>
      <c r="B562" s="6"/>
      <c r="C562" s="20">
        <f>IFERROR(VLOOKUP(B562,ชื่อสินค้า!A:C,3,FALSE),)</f>
        <v>0</v>
      </c>
      <c r="D562" s="8" t="str">
        <f>IFERROR(VLOOKUP(B562,ชื่อสินค้า!A:D,4,FALSE),"")</f>
        <v/>
      </c>
      <c r="E562" s="9"/>
      <c r="F562" s="21" t="str">
        <f t="shared" si="15"/>
        <v/>
      </c>
      <c r="G562" s="22"/>
      <c r="H562" s="8">
        <f>IFERROR(VLOOKUP(G562,ซื้อสินค้า!H:I,2,FALSE),)</f>
        <v>0</v>
      </c>
      <c r="I562" s="21">
        <f>IFERROR(VLOOKUP(G562,ซื้อสินค้า!H:J,3,FALSE),)</f>
        <v>0</v>
      </c>
      <c r="J562" s="21">
        <f t="shared" si="16"/>
        <v>0</v>
      </c>
      <c r="K562" s="21">
        <f t="shared" si="17"/>
        <v>0</v>
      </c>
      <c r="L562" s="12">
        <f t="shared" si="18"/>
        <v>0</v>
      </c>
      <c r="M562" s="21">
        <f t="shared" si="19"/>
        <v>0</v>
      </c>
      <c r="N562" s="9" t="str">
        <f ca="1">IFERROR(__xludf.DUMMYFUNCTION("IF(G562&lt;&gt;"""",G562, IFERROR(TRANSPOSE(FILTER('ซื้อสินค้า'!H:H,'ซื้อสินค้า'!B:B=B562,'ซื้อสินค้า'!I:I&gt;0)),))"),"")</f>
        <v/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>
      <c r="A563" s="5"/>
      <c r="B563" s="6"/>
      <c r="C563" s="20">
        <f>IFERROR(VLOOKUP(B563,ชื่อสินค้า!A:C,3,FALSE),)</f>
        <v>0</v>
      </c>
      <c r="D563" s="8" t="str">
        <f>IFERROR(VLOOKUP(B563,ชื่อสินค้า!A:D,4,FALSE),"")</f>
        <v/>
      </c>
      <c r="E563" s="9"/>
      <c r="F563" s="21" t="str">
        <f t="shared" si="15"/>
        <v/>
      </c>
      <c r="G563" s="22"/>
      <c r="H563" s="8">
        <f>IFERROR(VLOOKUP(G563,ซื้อสินค้า!H:I,2,FALSE),)</f>
        <v>0</v>
      </c>
      <c r="I563" s="21">
        <f>IFERROR(VLOOKUP(G563,ซื้อสินค้า!H:J,3,FALSE),)</f>
        <v>0</v>
      </c>
      <c r="J563" s="21">
        <f t="shared" si="16"/>
        <v>0</v>
      </c>
      <c r="K563" s="21">
        <f t="shared" si="17"/>
        <v>0</v>
      </c>
      <c r="L563" s="12">
        <f t="shared" si="18"/>
        <v>0</v>
      </c>
      <c r="M563" s="21">
        <f t="shared" si="19"/>
        <v>0</v>
      </c>
      <c r="N563" s="9" t="str">
        <f ca="1">IFERROR(__xludf.DUMMYFUNCTION("IF(G563&lt;&gt;"""",G563, IFERROR(TRANSPOSE(FILTER('ซื้อสินค้า'!H:H,'ซื้อสินค้า'!B:B=B563,'ซื้อสินค้า'!I:I&gt;0)),))"),"")</f>
        <v/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>
      <c r="A564" s="5"/>
      <c r="B564" s="6"/>
      <c r="C564" s="20">
        <f>IFERROR(VLOOKUP(B564,ชื่อสินค้า!A:C,3,FALSE),)</f>
        <v>0</v>
      </c>
      <c r="D564" s="8" t="str">
        <f>IFERROR(VLOOKUP(B564,ชื่อสินค้า!A:D,4,FALSE),"")</f>
        <v/>
      </c>
      <c r="E564" s="9"/>
      <c r="F564" s="21" t="str">
        <f t="shared" si="15"/>
        <v/>
      </c>
      <c r="G564" s="22"/>
      <c r="H564" s="8">
        <f>IFERROR(VLOOKUP(G564,ซื้อสินค้า!H:I,2,FALSE),)</f>
        <v>0</v>
      </c>
      <c r="I564" s="21">
        <f>IFERROR(VLOOKUP(G564,ซื้อสินค้า!H:J,3,FALSE),)</f>
        <v>0</v>
      </c>
      <c r="J564" s="21">
        <f t="shared" si="16"/>
        <v>0</v>
      </c>
      <c r="K564" s="21">
        <f t="shared" si="17"/>
        <v>0</v>
      </c>
      <c r="L564" s="12">
        <f t="shared" si="18"/>
        <v>0</v>
      </c>
      <c r="M564" s="21">
        <f t="shared" si="19"/>
        <v>0</v>
      </c>
      <c r="N564" s="9" t="str">
        <f ca="1">IFERROR(__xludf.DUMMYFUNCTION("IF(G564&lt;&gt;"""",G564, IFERROR(TRANSPOSE(FILTER('ซื้อสินค้า'!H:H,'ซื้อสินค้า'!B:B=B564,'ซื้อสินค้า'!I:I&gt;0)),))"),"")</f>
        <v/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>
      <c r="A565" s="5"/>
      <c r="B565" s="6"/>
      <c r="C565" s="20">
        <f>IFERROR(VLOOKUP(B565,ชื่อสินค้า!A:C,3,FALSE),)</f>
        <v>0</v>
      </c>
      <c r="D565" s="8" t="str">
        <f>IFERROR(VLOOKUP(B565,ชื่อสินค้า!A:D,4,FALSE),"")</f>
        <v/>
      </c>
      <c r="E565" s="9"/>
      <c r="F565" s="21" t="str">
        <f t="shared" si="15"/>
        <v/>
      </c>
      <c r="G565" s="22"/>
      <c r="H565" s="8">
        <f>IFERROR(VLOOKUP(G565,ซื้อสินค้า!H:I,2,FALSE),)</f>
        <v>0</v>
      </c>
      <c r="I565" s="21">
        <f>IFERROR(VLOOKUP(G565,ซื้อสินค้า!H:J,3,FALSE),)</f>
        <v>0</v>
      </c>
      <c r="J565" s="21">
        <f t="shared" si="16"/>
        <v>0</v>
      </c>
      <c r="K565" s="21">
        <f t="shared" si="17"/>
        <v>0</v>
      </c>
      <c r="L565" s="12">
        <f t="shared" si="18"/>
        <v>0</v>
      </c>
      <c r="M565" s="21">
        <f t="shared" si="19"/>
        <v>0</v>
      </c>
      <c r="N565" s="9" t="str">
        <f ca="1">IFERROR(__xludf.DUMMYFUNCTION("IF(G565&lt;&gt;"""",G565, IFERROR(TRANSPOSE(FILTER('ซื้อสินค้า'!H:H,'ซื้อสินค้า'!B:B=B565,'ซื้อสินค้า'!I:I&gt;0)),))"),"")</f>
        <v/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>
      <c r="A566" s="5"/>
      <c r="B566" s="6"/>
      <c r="C566" s="20">
        <f>IFERROR(VLOOKUP(B566,ชื่อสินค้า!A:C,3,FALSE),)</f>
        <v>0</v>
      </c>
      <c r="D566" s="8" t="str">
        <f>IFERROR(VLOOKUP(B566,ชื่อสินค้า!A:D,4,FALSE),"")</f>
        <v/>
      </c>
      <c r="E566" s="9"/>
      <c r="F566" s="21" t="str">
        <f t="shared" si="15"/>
        <v/>
      </c>
      <c r="G566" s="22"/>
      <c r="H566" s="8">
        <f>IFERROR(VLOOKUP(G566,ซื้อสินค้า!H:I,2,FALSE),)</f>
        <v>0</v>
      </c>
      <c r="I566" s="21">
        <f>IFERROR(VLOOKUP(G566,ซื้อสินค้า!H:J,3,FALSE),)</f>
        <v>0</v>
      </c>
      <c r="J566" s="21">
        <f t="shared" si="16"/>
        <v>0</v>
      </c>
      <c r="K566" s="21">
        <f t="shared" si="17"/>
        <v>0</v>
      </c>
      <c r="L566" s="12">
        <f t="shared" si="18"/>
        <v>0</v>
      </c>
      <c r="M566" s="21">
        <f t="shared" si="19"/>
        <v>0</v>
      </c>
      <c r="N566" s="9" t="str">
        <f ca="1">IFERROR(__xludf.DUMMYFUNCTION("IF(G566&lt;&gt;"""",G566, IFERROR(TRANSPOSE(FILTER('ซื้อสินค้า'!H:H,'ซื้อสินค้า'!B:B=B566,'ซื้อสินค้า'!I:I&gt;0)),))"),"")</f>
        <v/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>
      <c r="A567" s="5"/>
      <c r="B567" s="6"/>
      <c r="C567" s="20">
        <f>IFERROR(VLOOKUP(B567,ชื่อสินค้า!A:C,3,FALSE),)</f>
        <v>0</v>
      </c>
      <c r="D567" s="8" t="str">
        <f>IFERROR(VLOOKUP(B567,ชื่อสินค้า!A:D,4,FALSE),"")</f>
        <v/>
      </c>
      <c r="E567" s="9"/>
      <c r="F567" s="21" t="str">
        <f t="shared" si="15"/>
        <v/>
      </c>
      <c r="G567" s="22"/>
      <c r="H567" s="8">
        <f>IFERROR(VLOOKUP(G567,ซื้อสินค้า!H:I,2,FALSE),)</f>
        <v>0</v>
      </c>
      <c r="I567" s="21">
        <f>IFERROR(VLOOKUP(G567,ซื้อสินค้า!H:J,3,FALSE),)</f>
        <v>0</v>
      </c>
      <c r="J567" s="21">
        <f t="shared" si="16"/>
        <v>0</v>
      </c>
      <c r="K567" s="21">
        <f t="shared" si="17"/>
        <v>0</v>
      </c>
      <c r="L567" s="12">
        <f t="shared" si="18"/>
        <v>0</v>
      </c>
      <c r="M567" s="21">
        <f t="shared" si="19"/>
        <v>0</v>
      </c>
      <c r="N567" s="9" t="str">
        <f ca="1">IFERROR(__xludf.DUMMYFUNCTION("IF(G567&lt;&gt;"""",G567, IFERROR(TRANSPOSE(FILTER('ซื้อสินค้า'!H:H,'ซื้อสินค้า'!B:B=B567,'ซื้อสินค้า'!I:I&gt;0)),))"),"")</f>
        <v/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>
      <c r="A568" s="5"/>
      <c r="B568" s="6"/>
      <c r="C568" s="20">
        <f>IFERROR(VLOOKUP(B568,ชื่อสินค้า!A:C,3,FALSE),)</f>
        <v>0</v>
      </c>
      <c r="D568" s="8" t="str">
        <f>IFERROR(VLOOKUP(B568,ชื่อสินค้า!A:D,4,FALSE),"")</f>
        <v/>
      </c>
      <c r="E568" s="9"/>
      <c r="F568" s="21" t="str">
        <f t="shared" si="15"/>
        <v/>
      </c>
      <c r="G568" s="22"/>
      <c r="H568" s="8">
        <f>IFERROR(VLOOKUP(G568,ซื้อสินค้า!H:I,2,FALSE),)</f>
        <v>0</v>
      </c>
      <c r="I568" s="21">
        <f>IFERROR(VLOOKUP(G568,ซื้อสินค้า!H:J,3,FALSE),)</f>
        <v>0</v>
      </c>
      <c r="J568" s="21">
        <f t="shared" si="16"/>
        <v>0</v>
      </c>
      <c r="K568" s="21">
        <f t="shared" si="17"/>
        <v>0</v>
      </c>
      <c r="L568" s="12">
        <f t="shared" si="18"/>
        <v>0</v>
      </c>
      <c r="M568" s="21">
        <f t="shared" si="19"/>
        <v>0</v>
      </c>
      <c r="N568" s="9" t="str">
        <f ca="1">IFERROR(__xludf.DUMMYFUNCTION("IF(G568&lt;&gt;"""",G568, IFERROR(TRANSPOSE(FILTER('ซื้อสินค้า'!H:H,'ซื้อสินค้า'!B:B=B568,'ซื้อสินค้า'!I:I&gt;0)),))"),"")</f>
        <v/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>
      <c r="A569" s="5"/>
      <c r="B569" s="6"/>
      <c r="C569" s="20">
        <f>IFERROR(VLOOKUP(B569,ชื่อสินค้า!A:C,3,FALSE),)</f>
        <v>0</v>
      </c>
      <c r="D569" s="8" t="str">
        <f>IFERROR(VLOOKUP(B569,ชื่อสินค้า!A:D,4,FALSE),"")</f>
        <v/>
      </c>
      <c r="E569" s="9"/>
      <c r="F569" s="21" t="str">
        <f t="shared" si="15"/>
        <v/>
      </c>
      <c r="G569" s="22"/>
      <c r="H569" s="8">
        <f>IFERROR(VLOOKUP(G569,ซื้อสินค้า!H:I,2,FALSE),)</f>
        <v>0</v>
      </c>
      <c r="I569" s="21">
        <f>IFERROR(VLOOKUP(G569,ซื้อสินค้า!H:J,3,FALSE),)</f>
        <v>0</v>
      </c>
      <c r="J569" s="21">
        <f t="shared" si="16"/>
        <v>0</v>
      </c>
      <c r="K569" s="21">
        <f t="shared" si="17"/>
        <v>0</v>
      </c>
      <c r="L569" s="12">
        <f t="shared" si="18"/>
        <v>0</v>
      </c>
      <c r="M569" s="21">
        <f t="shared" si="19"/>
        <v>0</v>
      </c>
      <c r="N569" s="9" t="str">
        <f ca="1">IFERROR(__xludf.DUMMYFUNCTION("IF(G569&lt;&gt;"""",G569, IFERROR(TRANSPOSE(FILTER('ซื้อสินค้า'!H:H,'ซื้อสินค้า'!B:B=B569,'ซื้อสินค้า'!I:I&gt;0)),))"),"")</f>
        <v/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>
      <c r="A570" s="5"/>
      <c r="B570" s="6"/>
      <c r="C570" s="20">
        <f>IFERROR(VLOOKUP(B570,ชื่อสินค้า!A:C,3,FALSE),)</f>
        <v>0</v>
      </c>
      <c r="D570" s="8" t="str">
        <f>IFERROR(VLOOKUP(B570,ชื่อสินค้า!A:D,4,FALSE),"")</f>
        <v/>
      </c>
      <c r="E570" s="9"/>
      <c r="F570" s="21" t="str">
        <f t="shared" si="15"/>
        <v/>
      </c>
      <c r="G570" s="22"/>
      <c r="H570" s="8">
        <f>IFERROR(VLOOKUP(G570,ซื้อสินค้า!H:I,2,FALSE),)</f>
        <v>0</v>
      </c>
      <c r="I570" s="21">
        <f>IFERROR(VLOOKUP(G570,ซื้อสินค้า!H:J,3,FALSE),)</f>
        <v>0</v>
      </c>
      <c r="J570" s="21">
        <f t="shared" si="16"/>
        <v>0</v>
      </c>
      <c r="K570" s="21">
        <f t="shared" si="17"/>
        <v>0</v>
      </c>
      <c r="L570" s="12">
        <f t="shared" si="18"/>
        <v>0</v>
      </c>
      <c r="M570" s="21">
        <f t="shared" si="19"/>
        <v>0</v>
      </c>
      <c r="N570" s="9" t="str">
        <f ca="1">IFERROR(__xludf.DUMMYFUNCTION("IF(G570&lt;&gt;"""",G570, IFERROR(TRANSPOSE(FILTER('ซื้อสินค้า'!H:H,'ซื้อสินค้า'!B:B=B570,'ซื้อสินค้า'!I:I&gt;0)),))"),"")</f>
        <v/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>
      <c r="A571" s="5"/>
      <c r="B571" s="6"/>
      <c r="C571" s="20">
        <f>IFERROR(VLOOKUP(B571,ชื่อสินค้า!A:C,3,FALSE),)</f>
        <v>0</v>
      </c>
      <c r="D571" s="8" t="str">
        <f>IFERROR(VLOOKUP(B571,ชื่อสินค้า!A:D,4,FALSE),"")</f>
        <v/>
      </c>
      <c r="E571" s="9"/>
      <c r="F571" s="21" t="str">
        <f t="shared" si="15"/>
        <v/>
      </c>
      <c r="G571" s="22"/>
      <c r="H571" s="8">
        <f>IFERROR(VLOOKUP(G571,ซื้อสินค้า!H:I,2,FALSE),)</f>
        <v>0</v>
      </c>
      <c r="I571" s="21">
        <f>IFERROR(VLOOKUP(G571,ซื้อสินค้า!H:J,3,FALSE),)</f>
        <v>0</v>
      </c>
      <c r="J571" s="21">
        <f t="shared" si="16"/>
        <v>0</v>
      </c>
      <c r="K571" s="21">
        <f t="shared" si="17"/>
        <v>0</v>
      </c>
      <c r="L571" s="12">
        <f t="shared" si="18"/>
        <v>0</v>
      </c>
      <c r="M571" s="21">
        <f t="shared" si="19"/>
        <v>0</v>
      </c>
      <c r="N571" s="9" t="str">
        <f ca="1">IFERROR(__xludf.DUMMYFUNCTION("IF(G571&lt;&gt;"""",G571, IFERROR(TRANSPOSE(FILTER('ซื้อสินค้า'!H:H,'ซื้อสินค้า'!B:B=B571,'ซื้อสินค้า'!I:I&gt;0)),))"),"")</f>
        <v/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>
      <c r="A572" s="5"/>
      <c r="B572" s="6"/>
      <c r="C572" s="20">
        <f>IFERROR(VLOOKUP(B572,ชื่อสินค้า!A:C,3,FALSE),)</f>
        <v>0</v>
      </c>
      <c r="D572" s="8" t="str">
        <f>IFERROR(VLOOKUP(B572,ชื่อสินค้า!A:D,4,FALSE),"")</f>
        <v/>
      </c>
      <c r="E572" s="9"/>
      <c r="F572" s="21" t="str">
        <f t="shared" si="15"/>
        <v/>
      </c>
      <c r="G572" s="22"/>
      <c r="H572" s="8">
        <f>IFERROR(VLOOKUP(G572,ซื้อสินค้า!H:I,2,FALSE),)</f>
        <v>0</v>
      </c>
      <c r="I572" s="21">
        <f>IFERROR(VLOOKUP(G572,ซื้อสินค้า!H:J,3,FALSE),)</f>
        <v>0</v>
      </c>
      <c r="J572" s="21">
        <f t="shared" si="16"/>
        <v>0</v>
      </c>
      <c r="K572" s="21">
        <f t="shared" si="17"/>
        <v>0</v>
      </c>
      <c r="L572" s="12">
        <f t="shared" si="18"/>
        <v>0</v>
      </c>
      <c r="M572" s="21">
        <f t="shared" si="19"/>
        <v>0</v>
      </c>
      <c r="N572" s="9" t="str">
        <f ca="1">IFERROR(__xludf.DUMMYFUNCTION("IF(G572&lt;&gt;"""",G572, IFERROR(TRANSPOSE(FILTER('ซื้อสินค้า'!H:H,'ซื้อสินค้า'!B:B=B572,'ซื้อสินค้า'!I:I&gt;0)),))"),"")</f>
        <v/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>
      <c r="A573" s="5"/>
      <c r="B573" s="6"/>
      <c r="C573" s="20">
        <f>IFERROR(VLOOKUP(B573,ชื่อสินค้า!A:C,3,FALSE),)</f>
        <v>0</v>
      </c>
      <c r="D573" s="8" t="str">
        <f>IFERROR(VLOOKUP(B573,ชื่อสินค้า!A:D,4,FALSE),"")</f>
        <v/>
      </c>
      <c r="E573" s="9"/>
      <c r="F573" s="21" t="str">
        <f t="shared" si="15"/>
        <v/>
      </c>
      <c r="G573" s="22"/>
      <c r="H573" s="8">
        <f>IFERROR(VLOOKUP(G573,ซื้อสินค้า!H:I,2,FALSE),)</f>
        <v>0</v>
      </c>
      <c r="I573" s="21">
        <f>IFERROR(VLOOKUP(G573,ซื้อสินค้า!H:J,3,FALSE),)</f>
        <v>0</v>
      </c>
      <c r="J573" s="21">
        <f t="shared" si="16"/>
        <v>0</v>
      </c>
      <c r="K573" s="21">
        <f t="shared" si="17"/>
        <v>0</v>
      </c>
      <c r="L573" s="12">
        <f t="shared" si="18"/>
        <v>0</v>
      </c>
      <c r="M573" s="21">
        <f t="shared" si="19"/>
        <v>0</v>
      </c>
      <c r="N573" s="9" t="str">
        <f ca="1">IFERROR(__xludf.DUMMYFUNCTION("IF(G573&lt;&gt;"""",G573, IFERROR(TRANSPOSE(FILTER('ซื้อสินค้า'!H:H,'ซื้อสินค้า'!B:B=B573,'ซื้อสินค้า'!I:I&gt;0)),))"),"")</f>
        <v/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>
      <c r="A574" s="5"/>
      <c r="B574" s="6"/>
      <c r="C574" s="20">
        <f>IFERROR(VLOOKUP(B574,ชื่อสินค้า!A:C,3,FALSE),)</f>
        <v>0</v>
      </c>
      <c r="D574" s="8" t="str">
        <f>IFERROR(VLOOKUP(B574,ชื่อสินค้า!A:D,4,FALSE),"")</f>
        <v/>
      </c>
      <c r="E574" s="9"/>
      <c r="F574" s="21" t="str">
        <f t="shared" si="15"/>
        <v/>
      </c>
      <c r="G574" s="22"/>
      <c r="H574" s="8">
        <f>IFERROR(VLOOKUP(G574,ซื้อสินค้า!H:I,2,FALSE),)</f>
        <v>0</v>
      </c>
      <c r="I574" s="21">
        <f>IFERROR(VLOOKUP(G574,ซื้อสินค้า!H:J,3,FALSE),)</f>
        <v>0</v>
      </c>
      <c r="J574" s="21">
        <f t="shared" si="16"/>
        <v>0</v>
      </c>
      <c r="K574" s="21">
        <f t="shared" si="17"/>
        <v>0</v>
      </c>
      <c r="L574" s="12">
        <f t="shared" si="18"/>
        <v>0</v>
      </c>
      <c r="M574" s="21">
        <f t="shared" si="19"/>
        <v>0</v>
      </c>
      <c r="N574" s="9" t="str">
        <f ca="1">IFERROR(__xludf.DUMMYFUNCTION("IF(G574&lt;&gt;"""",G574, IFERROR(TRANSPOSE(FILTER('ซื้อสินค้า'!H:H,'ซื้อสินค้า'!B:B=B574,'ซื้อสินค้า'!I:I&gt;0)),))"),"")</f>
        <v/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>
      <c r="A575" s="5"/>
      <c r="B575" s="6"/>
      <c r="C575" s="20">
        <f>IFERROR(VLOOKUP(B575,ชื่อสินค้า!A:C,3,FALSE),)</f>
        <v>0</v>
      </c>
      <c r="D575" s="8" t="str">
        <f>IFERROR(VLOOKUP(B575,ชื่อสินค้า!A:D,4,FALSE),"")</f>
        <v/>
      </c>
      <c r="E575" s="9"/>
      <c r="F575" s="21" t="str">
        <f t="shared" si="15"/>
        <v/>
      </c>
      <c r="G575" s="22"/>
      <c r="H575" s="8">
        <f>IFERROR(VLOOKUP(G575,ซื้อสินค้า!H:I,2,FALSE),)</f>
        <v>0</v>
      </c>
      <c r="I575" s="21">
        <f>IFERROR(VLOOKUP(G575,ซื้อสินค้า!H:J,3,FALSE),)</f>
        <v>0</v>
      </c>
      <c r="J575" s="21">
        <f t="shared" si="16"/>
        <v>0</v>
      </c>
      <c r="K575" s="21">
        <f t="shared" si="17"/>
        <v>0</v>
      </c>
      <c r="L575" s="12">
        <f t="shared" si="18"/>
        <v>0</v>
      </c>
      <c r="M575" s="21">
        <f t="shared" si="19"/>
        <v>0</v>
      </c>
      <c r="N575" s="9" t="str">
        <f ca="1">IFERROR(__xludf.DUMMYFUNCTION("IF(G575&lt;&gt;"""",G575, IFERROR(TRANSPOSE(FILTER('ซื้อสินค้า'!H:H,'ซื้อสินค้า'!B:B=B575,'ซื้อสินค้า'!I:I&gt;0)),))"),"")</f>
        <v/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>
      <c r="A576" s="5"/>
      <c r="B576" s="6"/>
      <c r="C576" s="20">
        <f>IFERROR(VLOOKUP(B576,ชื่อสินค้า!A:C,3,FALSE),)</f>
        <v>0</v>
      </c>
      <c r="D576" s="8" t="str">
        <f>IFERROR(VLOOKUP(B576,ชื่อสินค้า!A:D,4,FALSE),"")</f>
        <v/>
      </c>
      <c r="E576" s="9"/>
      <c r="F576" s="21" t="str">
        <f t="shared" si="15"/>
        <v/>
      </c>
      <c r="G576" s="22"/>
      <c r="H576" s="8">
        <f>IFERROR(VLOOKUP(G576,ซื้อสินค้า!H:I,2,FALSE),)</f>
        <v>0</v>
      </c>
      <c r="I576" s="21">
        <f>IFERROR(VLOOKUP(G576,ซื้อสินค้า!H:J,3,FALSE),)</f>
        <v>0</v>
      </c>
      <c r="J576" s="21">
        <f t="shared" si="16"/>
        <v>0</v>
      </c>
      <c r="K576" s="21">
        <f t="shared" si="17"/>
        <v>0</v>
      </c>
      <c r="L576" s="12">
        <f t="shared" si="18"/>
        <v>0</v>
      </c>
      <c r="M576" s="21">
        <f t="shared" si="19"/>
        <v>0</v>
      </c>
      <c r="N576" s="9" t="str">
        <f ca="1">IFERROR(__xludf.DUMMYFUNCTION("IF(G576&lt;&gt;"""",G576, IFERROR(TRANSPOSE(FILTER('ซื้อสินค้า'!H:H,'ซื้อสินค้า'!B:B=B576,'ซื้อสินค้า'!I:I&gt;0)),))"),"")</f>
        <v/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>
      <c r="A577" s="5"/>
      <c r="B577" s="6"/>
      <c r="C577" s="20">
        <f>IFERROR(VLOOKUP(B577,ชื่อสินค้า!A:C,3,FALSE),)</f>
        <v>0</v>
      </c>
      <c r="D577" s="8" t="str">
        <f>IFERROR(VLOOKUP(B577,ชื่อสินค้า!A:D,4,FALSE),"")</f>
        <v/>
      </c>
      <c r="E577" s="9"/>
      <c r="F577" s="21" t="str">
        <f t="shared" si="15"/>
        <v/>
      </c>
      <c r="G577" s="22"/>
      <c r="H577" s="8">
        <f>IFERROR(VLOOKUP(G577,ซื้อสินค้า!H:I,2,FALSE),)</f>
        <v>0</v>
      </c>
      <c r="I577" s="21">
        <f>IFERROR(VLOOKUP(G577,ซื้อสินค้า!H:J,3,FALSE),)</f>
        <v>0</v>
      </c>
      <c r="J577" s="21">
        <f t="shared" si="16"/>
        <v>0</v>
      </c>
      <c r="K577" s="21">
        <f t="shared" si="17"/>
        <v>0</v>
      </c>
      <c r="L577" s="12">
        <f t="shared" si="18"/>
        <v>0</v>
      </c>
      <c r="M577" s="21">
        <f t="shared" si="19"/>
        <v>0</v>
      </c>
      <c r="N577" s="9" t="str">
        <f ca="1">IFERROR(__xludf.DUMMYFUNCTION("IF(G577&lt;&gt;"""",G577, IFERROR(TRANSPOSE(FILTER('ซื้อสินค้า'!H:H,'ซื้อสินค้า'!B:B=B577,'ซื้อสินค้า'!I:I&gt;0)),))"),"")</f>
        <v/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>
      <c r="A578" s="5"/>
      <c r="B578" s="6"/>
      <c r="C578" s="20">
        <f>IFERROR(VLOOKUP(B578,ชื่อสินค้า!A:C,3,FALSE),)</f>
        <v>0</v>
      </c>
      <c r="D578" s="8" t="str">
        <f>IFERROR(VLOOKUP(B578,ชื่อสินค้า!A:D,4,FALSE),"")</f>
        <v/>
      </c>
      <c r="E578" s="9"/>
      <c r="F578" s="21" t="str">
        <f t="shared" si="15"/>
        <v/>
      </c>
      <c r="G578" s="22"/>
      <c r="H578" s="8">
        <f>IFERROR(VLOOKUP(G578,ซื้อสินค้า!H:I,2,FALSE),)</f>
        <v>0</v>
      </c>
      <c r="I578" s="21">
        <f>IFERROR(VLOOKUP(G578,ซื้อสินค้า!H:J,3,FALSE),)</f>
        <v>0</v>
      </c>
      <c r="J578" s="21">
        <f t="shared" si="16"/>
        <v>0</v>
      </c>
      <c r="K578" s="21">
        <f t="shared" si="17"/>
        <v>0</v>
      </c>
      <c r="L578" s="12">
        <f t="shared" si="18"/>
        <v>0</v>
      </c>
      <c r="M578" s="21">
        <f t="shared" si="19"/>
        <v>0</v>
      </c>
      <c r="N578" s="9" t="str">
        <f ca="1">IFERROR(__xludf.DUMMYFUNCTION("IF(G578&lt;&gt;"""",G578, IFERROR(TRANSPOSE(FILTER('ซื้อสินค้า'!H:H,'ซื้อสินค้า'!B:B=B578,'ซื้อสินค้า'!I:I&gt;0)),))"),"")</f>
        <v/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>
      <c r="A579" s="5"/>
      <c r="B579" s="6"/>
      <c r="C579" s="20">
        <f>IFERROR(VLOOKUP(B579,ชื่อสินค้า!A:C,3,FALSE),)</f>
        <v>0</v>
      </c>
      <c r="D579" s="8" t="str">
        <f>IFERROR(VLOOKUP(B579,ชื่อสินค้า!A:D,4,FALSE),"")</f>
        <v/>
      </c>
      <c r="E579" s="9"/>
      <c r="F579" s="21" t="str">
        <f t="shared" si="15"/>
        <v/>
      </c>
      <c r="G579" s="22"/>
      <c r="H579" s="8">
        <f>IFERROR(VLOOKUP(G579,ซื้อสินค้า!H:I,2,FALSE),)</f>
        <v>0</v>
      </c>
      <c r="I579" s="21">
        <f>IFERROR(VLOOKUP(G579,ซื้อสินค้า!H:J,3,FALSE),)</f>
        <v>0</v>
      </c>
      <c r="J579" s="21">
        <f t="shared" si="16"/>
        <v>0</v>
      </c>
      <c r="K579" s="21">
        <f t="shared" si="17"/>
        <v>0</v>
      </c>
      <c r="L579" s="12">
        <f t="shared" si="18"/>
        <v>0</v>
      </c>
      <c r="M579" s="21">
        <f t="shared" si="19"/>
        <v>0</v>
      </c>
      <c r="N579" s="9" t="str">
        <f ca="1">IFERROR(__xludf.DUMMYFUNCTION("IF(G579&lt;&gt;"""",G579, IFERROR(TRANSPOSE(FILTER('ซื้อสินค้า'!H:H,'ซื้อสินค้า'!B:B=B579,'ซื้อสินค้า'!I:I&gt;0)),))"),"")</f>
        <v/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>
      <c r="A580" s="5"/>
      <c r="B580" s="6"/>
      <c r="C580" s="20">
        <f>IFERROR(VLOOKUP(B580,ชื่อสินค้า!A:C,3,FALSE),)</f>
        <v>0</v>
      </c>
      <c r="D580" s="8" t="str">
        <f>IFERROR(VLOOKUP(B580,ชื่อสินค้า!A:D,4,FALSE),"")</f>
        <v/>
      </c>
      <c r="E580" s="9"/>
      <c r="F580" s="21" t="str">
        <f t="shared" si="15"/>
        <v/>
      </c>
      <c r="G580" s="22"/>
      <c r="H580" s="8">
        <f>IFERROR(VLOOKUP(G580,ซื้อสินค้า!H:I,2,FALSE),)</f>
        <v>0</v>
      </c>
      <c r="I580" s="21">
        <f>IFERROR(VLOOKUP(G580,ซื้อสินค้า!H:J,3,FALSE),)</f>
        <v>0</v>
      </c>
      <c r="J580" s="21">
        <f t="shared" si="16"/>
        <v>0</v>
      </c>
      <c r="K580" s="21">
        <f t="shared" si="17"/>
        <v>0</v>
      </c>
      <c r="L580" s="12">
        <f t="shared" si="18"/>
        <v>0</v>
      </c>
      <c r="M580" s="21">
        <f t="shared" si="19"/>
        <v>0</v>
      </c>
      <c r="N580" s="9" t="str">
        <f ca="1">IFERROR(__xludf.DUMMYFUNCTION("IF(G580&lt;&gt;"""",G580, IFERROR(TRANSPOSE(FILTER('ซื้อสินค้า'!H:H,'ซื้อสินค้า'!B:B=B580,'ซื้อสินค้า'!I:I&gt;0)),))"),"")</f>
        <v/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>
      <c r="A581" s="5"/>
      <c r="B581" s="6"/>
      <c r="C581" s="20">
        <f>IFERROR(VLOOKUP(B581,ชื่อสินค้า!A:C,3,FALSE),)</f>
        <v>0</v>
      </c>
      <c r="D581" s="8" t="str">
        <f>IFERROR(VLOOKUP(B581,ชื่อสินค้า!A:D,4,FALSE),"")</f>
        <v/>
      </c>
      <c r="E581" s="9"/>
      <c r="F581" s="21" t="str">
        <f t="shared" si="15"/>
        <v/>
      </c>
      <c r="G581" s="22"/>
      <c r="H581" s="8">
        <f>IFERROR(VLOOKUP(G581,ซื้อสินค้า!H:I,2,FALSE),)</f>
        <v>0</v>
      </c>
      <c r="I581" s="21">
        <f>IFERROR(VLOOKUP(G581,ซื้อสินค้า!H:J,3,FALSE),)</f>
        <v>0</v>
      </c>
      <c r="J581" s="21">
        <f t="shared" si="16"/>
        <v>0</v>
      </c>
      <c r="K581" s="21">
        <f t="shared" si="17"/>
        <v>0</v>
      </c>
      <c r="L581" s="12">
        <f t="shared" si="18"/>
        <v>0</v>
      </c>
      <c r="M581" s="21">
        <f t="shared" si="19"/>
        <v>0</v>
      </c>
      <c r="N581" s="9" t="str">
        <f ca="1">IFERROR(__xludf.DUMMYFUNCTION("IF(G581&lt;&gt;"""",G581, IFERROR(TRANSPOSE(FILTER('ซื้อสินค้า'!H:H,'ซื้อสินค้า'!B:B=B581,'ซื้อสินค้า'!I:I&gt;0)),))"),"")</f>
        <v/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>
      <c r="A582" s="5"/>
      <c r="B582" s="6"/>
      <c r="C582" s="20">
        <f>IFERROR(VLOOKUP(B582,ชื่อสินค้า!A:C,3,FALSE),)</f>
        <v>0</v>
      </c>
      <c r="D582" s="8" t="str">
        <f>IFERROR(VLOOKUP(B582,ชื่อสินค้า!A:D,4,FALSE),"")</f>
        <v/>
      </c>
      <c r="E582" s="9"/>
      <c r="F582" s="21" t="str">
        <f t="shared" si="15"/>
        <v/>
      </c>
      <c r="G582" s="22"/>
      <c r="H582" s="8">
        <f>IFERROR(VLOOKUP(G582,ซื้อสินค้า!H:I,2,FALSE),)</f>
        <v>0</v>
      </c>
      <c r="I582" s="21">
        <f>IFERROR(VLOOKUP(G582,ซื้อสินค้า!H:J,3,FALSE),)</f>
        <v>0</v>
      </c>
      <c r="J582" s="21">
        <f t="shared" si="16"/>
        <v>0</v>
      </c>
      <c r="K582" s="21">
        <f t="shared" si="17"/>
        <v>0</v>
      </c>
      <c r="L582" s="12">
        <f t="shared" si="18"/>
        <v>0</v>
      </c>
      <c r="M582" s="21">
        <f t="shared" si="19"/>
        <v>0</v>
      </c>
      <c r="N582" s="9" t="str">
        <f ca="1">IFERROR(__xludf.DUMMYFUNCTION("IF(G582&lt;&gt;"""",G582, IFERROR(TRANSPOSE(FILTER('ซื้อสินค้า'!H:H,'ซื้อสินค้า'!B:B=B582,'ซื้อสินค้า'!I:I&gt;0)),))"),"")</f>
        <v/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>
      <c r="A583" s="5"/>
      <c r="B583" s="6"/>
      <c r="C583" s="20">
        <f>IFERROR(VLOOKUP(B583,ชื่อสินค้า!A:C,3,FALSE),)</f>
        <v>0</v>
      </c>
      <c r="D583" s="8" t="str">
        <f>IFERROR(VLOOKUP(B583,ชื่อสินค้า!A:D,4,FALSE),"")</f>
        <v/>
      </c>
      <c r="E583" s="9"/>
      <c r="F583" s="21" t="str">
        <f t="shared" si="15"/>
        <v/>
      </c>
      <c r="G583" s="22"/>
      <c r="H583" s="8">
        <f>IFERROR(VLOOKUP(G583,ซื้อสินค้า!H:I,2,FALSE),)</f>
        <v>0</v>
      </c>
      <c r="I583" s="21">
        <f>IFERROR(VLOOKUP(G583,ซื้อสินค้า!H:J,3,FALSE),)</f>
        <v>0</v>
      </c>
      <c r="J583" s="21">
        <f t="shared" si="16"/>
        <v>0</v>
      </c>
      <c r="K583" s="21">
        <f t="shared" si="17"/>
        <v>0</v>
      </c>
      <c r="L583" s="12">
        <f t="shared" si="18"/>
        <v>0</v>
      </c>
      <c r="M583" s="21">
        <f t="shared" si="19"/>
        <v>0</v>
      </c>
      <c r="N583" s="9" t="str">
        <f ca="1">IFERROR(__xludf.DUMMYFUNCTION("IF(G583&lt;&gt;"""",G583, IFERROR(TRANSPOSE(FILTER('ซื้อสินค้า'!H:H,'ซื้อสินค้า'!B:B=B583,'ซื้อสินค้า'!I:I&gt;0)),))"),"")</f>
        <v/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>
      <c r="A584" s="5"/>
      <c r="B584" s="6"/>
      <c r="C584" s="20">
        <f>IFERROR(VLOOKUP(B584,ชื่อสินค้า!A:C,3,FALSE),)</f>
        <v>0</v>
      </c>
      <c r="D584" s="8" t="str">
        <f>IFERROR(VLOOKUP(B584,ชื่อสินค้า!A:D,4,FALSE),"")</f>
        <v/>
      </c>
      <c r="E584" s="9"/>
      <c r="F584" s="21" t="str">
        <f t="shared" si="15"/>
        <v/>
      </c>
      <c r="G584" s="22"/>
      <c r="H584" s="8">
        <f>IFERROR(VLOOKUP(G584,ซื้อสินค้า!H:I,2,FALSE),)</f>
        <v>0</v>
      </c>
      <c r="I584" s="21">
        <f>IFERROR(VLOOKUP(G584,ซื้อสินค้า!H:J,3,FALSE),)</f>
        <v>0</v>
      </c>
      <c r="J584" s="21">
        <f t="shared" si="16"/>
        <v>0</v>
      </c>
      <c r="K584" s="21">
        <f t="shared" si="17"/>
        <v>0</v>
      </c>
      <c r="L584" s="12">
        <f t="shared" si="18"/>
        <v>0</v>
      </c>
      <c r="M584" s="21">
        <f t="shared" si="19"/>
        <v>0</v>
      </c>
      <c r="N584" s="9" t="str">
        <f ca="1">IFERROR(__xludf.DUMMYFUNCTION("IF(G584&lt;&gt;"""",G584, IFERROR(TRANSPOSE(FILTER('ซื้อสินค้า'!H:H,'ซื้อสินค้า'!B:B=B584,'ซื้อสินค้า'!I:I&gt;0)),))"),"")</f>
        <v/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>
      <c r="A585" s="5"/>
      <c r="B585" s="6"/>
      <c r="C585" s="20">
        <f>IFERROR(VLOOKUP(B585,ชื่อสินค้า!A:C,3,FALSE),)</f>
        <v>0</v>
      </c>
      <c r="D585" s="8" t="str">
        <f>IFERROR(VLOOKUP(B585,ชื่อสินค้า!A:D,4,FALSE),"")</f>
        <v/>
      </c>
      <c r="E585" s="9"/>
      <c r="F585" s="21" t="str">
        <f t="shared" si="15"/>
        <v/>
      </c>
      <c r="G585" s="22"/>
      <c r="H585" s="8">
        <f>IFERROR(VLOOKUP(G585,ซื้อสินค้า!H:I,2,FALSE),)</f>
        <v>0</v>
      </c>
      <c r="I585" s="21">
        <f>IFERROR(VLOOKUP(G585,ซื้อสินค้า!H:J,3,FALSE),)</f>
        <v>0</v>
      </c>
      <c r="J585" s="21">
        <f t="shared" si="16"/>
        <v>0</v>
      </c>
      <c r="K585" s="21">
        <f t="shared" si="17"/>
        <v>0</v>
      </c>
      <c r="L585" s="12">
        <f t="shared" si="18"/>
        <v>0</v>
      </c>
      <c r="M585" s="21">
        <f t="shared" si="19"/>
        <v>0</v>
      </c>
      <c r="N585" s="9" t="str">
        <f ca="1">IFERROR(__xludf.DUMMYFUNCTION("IF(G585&lt;&gt;"""",G585, IFERROR(TRANSPOSE(FILTER('ซื้อสินค้า'!H:H,'ซื้อสินค้า'!B:B=B585,'ซื้อสินค้า'!I:I&gt;0)),))"),"")</f>
        <v/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>
      <c r="A586" s="5"/>
      <c r="B586" s="6"/>
      <c r="C586" s="20">
        <f>IFERROR(VLOOKUP(B586,ชื่อสินค้า!A:C,3,FALSE),)</f>
        <v>0</v>
      </c>
      <c r="D586" s="8" t="str">
        <f>IFERROR(VLOOKUP(B586,ชื่อสินค้า!A:D,4,FALSE),"")</f>
        <v/>
      </c>
      <c r="E586" s="9"/>
      <c r="F586" s="21" t="str">
        <f t="shared" si="15"/>
        <v/>
      </c>
      <c r="G586" s="22"/>
      <c r="H586" s="8">
        <f>IFERROR(VLOOKUP(G586,ซื้อสินค้า!H:I,2,FALSE),)</f>
        <v>0</v>
      </c>
      <c r="I586" s="21">
        <f>IFERROR(VLOOKUP(G586,ซื้อสินค้า!H:J,3,FALSE),)</f>
        <v>0</v>
      </c>
      <c r="J586" s="21">
        <f t="shared" si="16"/>
        <v>0</v>
      </c>
      <c r="K586" s="21">
        <f t="shared" si="17"/>
        <v>0</v>
      </c>
      <c r="L586" s="12">
        <f t="shared" si="18"/>
        <v>0</v>
      </c>
      <c r="M586" s="21">
        <f t="shared" si="19"/>
        <v>0</v>
      </c>
      <c r="N586" s="9" t="str">
        <f ca="1">IFERROR(__xludf.DUMMYFUNCTION("IF(G586&lt;&gt;"""",G586, IFERROR(TRANSPOSE(FILTER('ซื้อสินค้า'!H:H,'ซื้อสินค้า'!B:B=B586,'ซื้อสินค้า'!I:I&gt;0)),))"),"")</f>
        <v/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>
      <c r="A587" s="5"/>
      <c r="B587" s="6"/>
      <c r="C587" s="20">
        <f>IFERROR(VLOOKUP(B587,ชื่อสินค้า!A:C,3,FALSE),)</f>
        <v>0</v>
      </c>
      <c r="D587" s="8" t="str">
        <f>IFERROR(VLOOKUP(B587,ชื่อสินค้า!A:D,4,FALSE),"")</f>
        <v/>
      </c>
      <c r="E587" s="9"/>
      <c r="F587" s="21" t="str">
        <f t="shared" si="15"/>
        <v/>
      </c>
      <c r="G587" s="22"/>
      <c r="H587" s="8">
        <f>IFERROR(VLOOKUP(G587,ซื้อสินค้า!H:I,2,FALSE),)</f>
        <v>0</v>
      </c>
      <c r="I587" s="21">
        <f>IFERROR(VLOOKUP(G587,ซื้อสินค้า!H:J,3,FALSE),)</f>
        <v>0</v>
      </c>
      <c r="J587" s="21">
        <f t="shared" si="16"/>
        <v>0</v>
      </c>
      <c r="K587" s="21">
        <f t="shared" si="17"/>
        <v>0</v>
      </c>
      <c r="L587" s="12">
        <f t="shared" si="18"/>
        <v>0</v>
      </c>
      <c r="M587" s="21">
        <f t="shared" si="19"/>
        <v>0</v>
      </c>
      <c r="N587" s="9" t="str">
        <f ca="1">IFERROR(__xludf.DUMMYFUNCTION("IF(G587&lt;&gt;"""",G587, IFERROR(TRANSPOSE(FILTER('ซื้อสินค้า'!H:H,'ซื้อสินค้า'!B:B=B587,'ซื้อสินค้า'!I:I&gt;0)),))"),"")</f>
        <v/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>
      <c r="A588" s="5"/>
      <c r="B588" s="6"/>
      <c r="C588" s="20">
        <f>IFERROR(VLOOKUP(B588,ชื่อสินค้า!A:C,3,FALSE),)</f>
        <v>0</v>
      </c>
      <c r="D588" s="8" t="str">
        <f>IFERROR(VLOOKUP(B588,ชื่อสินค้า!A:D,4,FALSE),"")</f>
        <v/>
      </c>
      <c r="E588" s="9"/>
      <c r="F588" s="21" t="str">
        <f t="shared" si="15"/>
        <v/>
      </c>
      <c r="G588" s="22"/>
      <c r="H588" s="8">
        <f>IFERROR(VLOOKUP(G588,ซื้อสินค้า!H:I,2,FALSE),)</f>
        <v>0</v>
      </c>
      <c r="I588" s="21">
        <f>IFERROR(VLOOKUP(G588,ซื้อสินค้า!H:J,3,FALSE),)</f>
        <v>0</v>
      </c>
      <c r="J588" s="21">
        <f t="shared" si="16"/>
        <v>0</v>
      </c>
      <c r="K588" s="21">
        <f t="shared" si="17"/>
        <v>0</v>
      </c>
      <c r="L588" s="12">
        <f t="shared" si="18"/>
        <v>0</v>
      </c>
      <c r="M588" s="21">
        <f t="shared" si="19"/>
        <v>0</v>
      </c>
      <c r="N588" s="9" t="str">
        <f ca="1">IFERROR(__xludf.DUMMYFUNCTION("IF(G588&lt;&gt;"""",G588, IFERROR(TRANSPOSE(FILTER('ซื้อสินค้า'!H:H,'ซื้อสินค้า'!B:B=B588,'ซื้อสินค้า'!I:I&gt;0)),))"),"")</f>
        <v/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>
      <c r="A589" s="5"/>
      <c r="B589" s="6"/>
      <c r="C589" s="20">
        <f>IFERROR(VLOOKUP(B589,ชื่อสินค้า!A:C,3,FALSE),)</f>
        <v>0</v>
      </c>
      <c r="D589" s="8" t="str">
        <f>IFERROR(VLOOKUP(B589,ชื่อสินค้า!A:D,4,FALSE),"")</f>
        <v/>
      </c>
      <c r="E589" s="9"/>
      <c r="F589" s="21" t="str">
        <f t="shared" si="15"/>
        <v/>
      </c>
      <c r="G589" s="22"/>
      <c r="H589" s="8">
        <f>IFERROR(VLOOKUP(G589,ซื้อสินค้า!H:I,2,FALSE),)</f>
        <v>0</v>
      </c>
      <c r="I589" s="21">
        <f>IFERROR(VLOOKUP(G589,ซื้อสินค้า!H:J,3,FALSE),)</f>
        <v>0</v>
      </c>
      <c r="J589" s="21">
        <f t="shared" si="16"/>
        <v>0</v>
      </c>
      <c r="K589" s="21">
        <f t="shared" si="17"/>
        <v>0</v>
      </c>
      <c r="L589" s="12">
        <f t="shared" si="18"/>
        <v>0</v>
      </c>
      <c r="M589" s="21">
        <f t="shared" si="19"/>
        <v>0</v>
      </c>
      <c r="N589" s="9" t="str">
        <f ca="1">IFERROR(__xludf.DUMMYFUNCTION("IF(G589&lt;&gt;"""",G589, IFERROR(TRANSPOSE(FILTER('ซื้อสินค้า'!H:H,'ซื้อสินค้า'!B:B=B589,'ซื้อสินค้า'!I:I&gt;0)),))"),"")</f>
        <v/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>
      <c r="A590" s="5"/>
      <c r="B590" s="6"/>
      <c r="C590" s="20">
        <f>IFERROR(VLOOKUP(B590,ชื่อสินค้า!A:C,3,FALSE),)</f>
        <v>0</v>
      </c>
      <c r="D590" s="8" t="str">
        <f>IFERROR(VLOOKUP(B590,ชื่อสินค้า!A:D,4,FALSE),"")</f>
        <v/>
      </c>
      <c r="E590" s="9"/>
      <c r="F590" s="21" t="str">
        <f t="shared" si="15"/>
        <v/>
      </c>
      <c r="G590" s="22"/>
      <c r="H590" s="8">
        <f>IFERROR(VLOOKUP(G590,ซื้อสินค้า!H:I,2,FALSE),)</f>
        <v>0</v>
      </c>
      <c r="I590" s="21">
        <f>IFERROR(VLOOKUP(G590,ซื้อสินค้า!H:J,3,FALSE),)</f>
        <v>0</v>
      </c>
      <c r="J590" s="21">
        <f t="shared" si="16"/>
        <v>0</v>
      </c>
      <c r="K590" s="21">
        <f t="shared" si="17"/>
        <v>0</v>
      </c>
      <c r="L590" s="12">
        <f t="shared" si="18"/>
        <v>0</v>
      </c>
      <c r="M590" s="21">
        <f t="shared" si="19"/>
        <v>0</v>
      </c>
      <c r="N590" s="9" t="str">
        <f ca="1">IFERROR(__xludf.DUMMYFUNCTION("IF(G590&lt;&gt;"""",G590, IFERROR(TRANSPOSE(FILTER('ซื้อสินค้า'!H:H,'ซื้อสินค้า'!B:B=B590,'ซื้อสินค้า'!I:I&gt;0)),))"),"")</f>
        <v/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>
      <c r="A591" s="5"/>
      <c r="B591" s="6"/>
      <c r="C591" s="20">
        <f>IFERROR(VLOOKUP(B591,ชื่อสินค้า!A:C,3,FALSE),)</f>
        <v>0</v>
      </c>
      <c r="D591" s="8" t="str">
        <f>IFERROR(VLOOKUP(B591,ชื่อสินค้า!A:D,4,FALSE),"")</f>
        <v/>
      </c>
      <c r="E591" s="9"/>
      <c r="F591" s="21" t="str">
        <f t="shared" si="15"/>
        <v/>
      </c>
      <c r="G591" s="22"/>
      <c r="H591" s="8">
        <f>IFERROR(VLOOKUP(G591,ซื้อสินค้า!H:I,2,FALSE),)</f>
        <v>0</v>
      </c>
      <c r="I591" s="21">
        <f>IFERROR(VLOOKUP(G591,ซื้อสินค้า!H:J,3,FALSE),)</f>
        <v>0</v>
      </c>
      <c r="J591" s="21">
        <f t="shared" si="16"/>
        <v>0</v>
      </c>
      <c r="K591" s="21">
        <f t="shared" si="17"/>
        <v>0</v>
      </c>
      <c r="L591" s="12">
        <f t="shared" si="18"/>
        <v>0</v>
      </c>
      <c r="M591" s="21">
        <f t="shared" si="19"/>
        <v>0</v>
      </c>
      <c r="N591" s="9" t="str">
        <f ca="1">IFERROR(__xludf.DUMMYFUNCTION("IF(G591&lt;&gt;"""",G591, IFERROR(TRANSPOSE(FILTER('ซื้อสินค้า'!H:H,'ซื้อสินค้า'!B:B=B591,'ซื้อสินค้า'!I:I&gt;0)),))"),"")</f>
        <v/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>
      <c r="A592" s="5"/>
      <c r="B592" s="6"/>
      <c r="C592" s="20">
        <f>IFERROR(VLOOKUP(B592,ชื่อสินค้า!A:C,3,FALSE),)</f>
        <v>0</v>
      </c>
      <c r="D592" s="8" t="str">
        <f>IFERROR(VLOOKUP(B592,ชื่อสินค้า!A:D,4,FALSE),"")</f>
        <v/>
      </c>
      <c r="E592" s="9"/>
      <c r="F592" s="21" t="str">
        <f t="shared" si="15"/>
        <v/>
      </c>
      <c r="G592" s="22"/>
      <c r="H592" s="8">
        <f>IFERROR(VLOOKUP(G592,ซื้อสินค้า!H:I,2,FALSE),)</f>
        <v>0</v>
      </c>
      <c r="I592" s="21">
        <f>IFERROR(VLOOKUP(G592,ซื้อสินค้า!H:J,3,FALSE),)</f>
        <v>0</v>
      </c>
      <c r="J592" s="21">
        <f t="shared" si="16"/>
        <v>0</v>
      </c>
      <c r="K592" s="21">
        <f t="shared" si="17"/>
        <v>0</v>
      </c>
      <c r="L592" s="12">
        <f t="shared" si="18"/>
        <v>0</v>
      </c>
      <c r="M592" s="21">
        <f t="shared" si="19"/>
        <v>0</v>
      </c>
      <c r="N592" s="9" t="str">
        <f ca="1">IFERROR(__xludf.DUMMYFUNCTION("IF(G592&lt;&gt;"""",G592, IFERROR(TRANSPOSE(FILTER('ซื้อสินค้า'!H:H,'ซื้อสินค้า'!B:B=B592,'ซื้อสินค้า'!I:I&gt;0)),))"),"")</f>
        <v/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>
      <c r="A593" s="5"/>
      <c r="B593" s="6"/>
      <c r="C593" s="20">
        <f>IFERROR(VLOOKUP(B593,ชื่อสินค้า!A:C,3,FALSE),)</f>
        <v>0</v>
      </c>
      <c r="D593" s="8" t="str">
        <f>IFERROR(VLOOKUP(B593,ชื่อสินค้า!A:D,4,FALSE),"")</f>
        <v/>
      </c>
      <c r="E593" s="9"/>
      <c r="F593" s="21" t="str">
        <f t="shared" si="15"/>
        <v/>
      </c>
      <c r="G593" s="22"/>
      <c r="H593" s="8">
        <f>IFERROR(VLOOKUP(G593,ซื้อสินค้า!H:I,2,FALSE),)</f>
        <v>0</v>
      </c>
      <c r="I593" s="21">
        <f>IFERROR(VLOOKUP(G593,ซื้อสินค้า!H:J,3,FALSE),)</f>
        <v>0</v>
      </c>
      <c r="J593" s="21">
        <f t="shared" si="16"/>
        <v>0</v>
      </c>
      <c r="K593" s="21">
        <f t="shared" si="17"/>
        <v>0</v>
      </c>
      <c r="L593" s="12">
        <f t="shared" si="18"/>
        <v>0</v>
      </c>
      <c r="M593" s="21">
        <f t="shared" si="19"/>
        <v>0</v>
      </c>
      <c r="N593" s="9" t="str">
        <f ca="1">IFERROR(__xludf.DUMMYFUNCTION("IF(G593&lt;&gt;"""",G593, IFERROR(TRANSPOSE(FILTER('ซื้อสินค้า'!H:H,'ซื้อสินค้า'!B:B=B593,'ซื้อสินค้า'!I:I&gt;0)),))"),"")</f>
        <v/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>
      <c r="A594" s="5"/>
      <c r="B594" s="6"/>
      <c r="C594" s="20">
        <f>IFERROR(VLOOKUP(B594,ชื่อสินค้า!A:C,3,FALSE),)</f>
        <v>0</v>
      </c>
      <c r="D594" s="8" t="str">
        <f>IFERROR(VLOOKUP(B594,ชื่อสินค้า!A:D,4,FALSE),"")</f>
        <v/>
      </c>
      <c r="E594" s="9"/>
      <c r="F594" s="21" t="str">
        <f t="shared" si="15"/>
        <v/>
      </c>
      <c r="G594" s="22"/>
      <c r="H594" s="8">
        <f>IFERROR(VLOOKUP(G594,ซื้อสินค้า!H:I,2,FALSE),)</f>
        <v>0</v>
      </c>
      <c r="I594" s="21">
        <f>IFERROR(VLOOKUP(G594,ซื้อสินค้า!H:J,3,FALSE),)</f>
        <v>0</v>
      </c>
      <c r="J594" s="21">
        <f t="shared" si="16"/>
        <v>0</v>
      </c>
      <c r="K594" s="21">
        <f t="shared" si="17"/>
        <v>0</v>
      </c>
      <c r="L594" s="12">
        <f t="shared" si="18"/>
        <v>0</v>
      </c>
      <c r="M594" s="21">
        <f t="shared" si="19"/>
        <v>0</v>
      </c>
      <c r="N594" s="9" t="str">
        <f ca="1">IFERROR(__xludf.DUMMYFUNCTION("IF(G594&lt;&gt;"""",G594, IFERROR(TRANSPOSE(FILTER('ซื้อสินค้า'!H:H,'ซื้อสินค้า'!B:B=B594,'ซื้อสินค้า'!I:I&gt;0)),))"),"")</f>
        <v/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>
      <c r="A595" s="5"/>
      <c r="B595" s="6"/>
      <c r="C595" s="20">
        <f>IFERROR(VLOOKUP(B595,ชื่อสินค้า!A:C,3,FALSE),)</f>
        <v>0</v>
      </c>
      <c r="D595" s="8" t="str">
        <f>IFERROR(VLOOKUP(B595,ชื่อสินค้า!A:D,4,FALSE),"")</f>
        <v/>
      </c>
      <c r="E595" s="9"/>
      <c r="F595" s="21" t="str">
        <f t="shared" si="15"/>
        <v/>
      </c>
      <c r="G595" s="22"/>
      <c r="H595" s="8">
        <f>IFERROR(VLOOKUP(G595,ซื้อสินค้า!H:I,2,FALSE),)</f>
        <v>0</v>
      </c>
      <c r="I595" s="21">
        <f>IFERROR(VLOOKUP(G595,ซื้อสินค้า!H:J,3,FALSE),)</f>
        <v>0</v>
      </c>
      <c r="J595" s="21">
        <f t="shared" si="16"/>
        <v>0</v>
      </c>
      <c r="K595" s="21">
        <f t="shared" si="17"/>
        <v>0</v>
      </c>
      <c r="L595" s="12">
        <f t="shared" si="18"/>
        <v>0</v>
      </c>
      <c r="M595" s="21">
        <f t="shared" si="19"/>
        <v>0</v>
      </c>
      <c r="N595" s="9" t="str">
        <f ca="1">IFERROR(__xludf.DUMMYFUNCTION("IF(G595&lt;&gt;"""",G595, IFERROR(TRANSPOSE(FILTER('ซื้อสินค้า'!H:H,'ซื้อสินค้า'!B:B=B595,'ซื้อสินค้า'!I:I&gt;0)),))"),"")</f>
        <v/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>
      <c r="A596" s="5"/>
      <c r="B596" s="6"/>
      <c r="C596" s="20">
        <f>IFERROR(VLOOKUP(B596,ชื่อสินค้า!A:C,3,FALSE),)</f>
        <v>0</v>
      </c>
      <c r="D596" s="8" t="str">
        <f>IFERROR(VLOOKUP(B596,ชื่อสินค้า!A:D,4,FALSE),"")</f>
        <v/>
      </c>
      <c r="E596" s="9"/>
      <c r="F596" s="21" t="str">
        <f t="shared" si="15"/>
        <v/>
      </c>
      <c r="G596" s="22"/>
      <c r="H596" s="8">
        <f>IFERROR(VLOOKUP(G596,ซื้อสินค้า!H:I,2,FALSE),)</f>
        <v>0</v>
      </c>
      <c r="I596" s="21">
        <f>IFERROR(VLOOKUP(G596,ซื้อสินค้า!H:J,3,FALSE),)</f>
        <v>0</v>
      </c>
      <c r="J596" s="21">
        <f t="shared" si="16"/>
        <v>0</v>
      </c>
      <c r="K596" s="21">
        <f t="shared" si="17"/>
        <v>0</v>
      </c>
      <c r="L596" s="12">
        <f t="shared" si="18"/>
        <v>0</v>
      </c>
      <c r="M596" s="21">
        <f t="shared" si="19"/>
        <v>0</v>
      </c>
      <c r="N596" s="9" t="str">
        <f ca="1">IFERROR(__xludf.DUMMYFUNCTION("IF(G596&lt;&gt;"""",G596, IFERROR(TRANSPOSE(FILTER('ซื้อสินค้า'!H:H,'ซื้อสินค้า'!B:B=B596,'ซื้อสินค้า'!I:I&gt;0)),))"),"")</f>
        <v/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>
      <c r="A597" s="5"/>
      <c r="B597" s="6"/>
      <c r="C597" s="20">
        <f>IFERROR(VLOOKUP(B597,ชื่อสินค้า!A:C,3,FALSE),)</f>
        <v>0</v>
      </c>
      <c r="D597" s="8" t="str">
        <f>IFERROR(VLOOKUP(B597,ชื่อสินค้า!A:D,4,FALSE),"")</f>
        <v/>
      </c>
      <c r="E597" s="9"/>
      <c r="F597" s="21" t="str">
        <f t="shared" si="15"/>
        <v/>
      </c>
      <c r="G597" s="22"/>
      <c r="H597" s="8">
        <f>IFERROR(VLOOKUP(G597,ซื้อสินค้า!H:I,2,FALSE),)</f>
        <v>0</v>
      </c>
      <c r="I597" s="21">
        <f>IFERROR(VLOOKUP(G597,ซื้อสินค้า!H:J,3,FALSE),)</f>
        <v>0</v>
      </c>
      <c r="J597" s="21">
        <f t="shared" si="16"/>
        <v>0</v>
      </c>
      <c r="K597" s="21">
        <f t="shared" si="17"/>
        <v>0</v>
      </c>
      <c r="L597" s="12">
        <f t="shared" si="18"/>
        <v>0</v>
      </c>
      <c r="M597" s="21">
        <f t="shared" si="19"/>
        <v>0</v>
      </c>
      <c r="N597" s="9" t="str">
        <f ca="1">IFERROR(__xludf.DUMMYFUNCTION("IF(G597&lt;&gt;"""",G597, IFERROR(TRANSPOSE(FILTER('ซื้อสินค้า'!H:H,'ซื้อสินค้า'!B:B=B597,'ซื้อสินค้า'!I:I&gt;0)),))"),"")</f>
        <v/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>
      <c r="A598" s="5"/>
      <c r="B598" s="6"/>
      <c r="C598" s="20">
        <f>IFERROR(VLOOKUP(B598,ชื่อสินค้า!A:C,3,FALSE),)</f>
        <v>0</v>
      </c>
      <c r="D598" s="8" t="str">
        <f>IFERROR(VLOOKUP(B598,ชื่อสินค้า!A:D,4,FALSE),"")</f>
        <v/>
      </c>
      <c r="E598" s="9"/>
      <c r="F598" s="21" t="str">
        <f t="shared" si="15"/>
        <v/>
      </c>
      <c r="G598" s="22"/>
      <c r="H598" s="8">
        <f>IFERROR(VLOOKUP(G598,ซื้อสินค้า!H:I,2,FALSE),)</f>
        <v>0</v>
      </c>
      <c r="I598" s="21">
        <f>IFERROR(VLOOKUP(G598,ซื้อสินค้า!H:J,3,FALSE),)</f>
        <v>0</v>
      </c>
      <c r="J598" s="21">
        <f t="shared" si="16"/>
        <v>0</v>
      </c>
      <c r="K598" s="21">
        <f t="shared" si="17"/>
        <v>0</v>
      </c>
      <c r="L598" s="12">
        <f t="shared" si="18"/>
        <v>0</v>
      </c>
      <c r="M598" s="21">
        <f t="shared" si="19"/>
        <v>0</v>
      </c>
      <c r="N598" s="9" t="str">
        <f ca="1">IFERROR(__xludf.DUMMYFUNCTION("IF(G598&lt;&gt;"""",G598, IFERROR(TRANSPOSE(FILTER('ซื้อสินค้า'!H:H,'ซื้อสินค้า'!B:B=B598,'ซื้อสินค้า'!I:I&gt;0)),))"),"")</f>
        <v/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>
      <c r="A599" s="5"/>
      <c r="B599" s="6"/>
      <c r="C599" s="20">
        <f>IFERROR(VLOOKUP(B599,ชื่อสินค้า!A:C,3,FALSE),)</f>
        <v>0</v>
      </c>
      <c r="D599" s="8" t="str">
        <f>IFERROR(VLOOKUP(B599,ชื่อสินค้า!A:D,4,FALSE),"")</f>
        <v/>
      </c>
      <c r="E599" s="9"/>
      <c r="F599" s="21" t="str">
        <f t="shared" si="15"/>
        <v/>
      </c>
      <c r="G599" s="22"/>
      <c r="H599" s="8">
        <f>IFERROR(VLOOKUP(G599,ซื้อสินค้า!H:I,2,FALSE),)</f>
        <v>0</v>
      </c>
      <c r="I599" s="21">
        <f>IFERROR(VLOOKUP(G599,ซื้อสินค้า!H:J,3,FALSE),)</f>
        <v>0</v>
      </c>
      <c r="J599" s="21">
        <f t="shared" si="16"/>
        <v>0</v>
      </c>
      <c r="K599" s="21">
        <f t="shared" si="17"/>
        <v>0</v>
      </c>
      <c r="L599" s="12">
        <f t="shared" si="18"/>
        <v>0</v>
      </c>
      <c r="M599" s="21">
        <f t="shared" si="19"/>
        <v>0</v>
      </c>
      <c r="N599" s="9" t="str">
        <f ca="1">IFERROR(__xludf.DUMMYFUNCTION("IF(G599&lt;&gt;"""",G599, IFERROR(TRANSPOSE(FILTER('ซื้อสินค้า'!H:H,'ซื้อสินค้า'!B:B=B599,'ซื้อสินค้า'!I:I&gt;0)),))"),"")</f>
        <v/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>
      <c r="A600" s="5"/>
      <c r="B600" s="6"/>
      <c r="C600" s="20">
        <f>IFERROR(VLOOKUP(B600,ชื่อสินค้า!A:C,3,FALSE),)</f>
        <v>0</v>
      </c>
      <c r="D600" s="8" t="str">
        <f>IFERROR(VLOOKUP(B600,ชื่อสินค้า!A:D,4,FALSE),"")</f>
        <v/>
      </c>
      <c r="E600" s="9"/>
      <c r="F600" s="21" t="str">
        <f t="shared" si="15"/>
        <v/>
      </c>
      <c r="G600" s="22"/>
      <c r="H600" s="8">
        <f>IFERROR(VLOOKUP(G600,ซื้อสินค้า!H:I,2,FALSE),)</f>
        <v>0</v>
      </c>
      <c r="I600" s="21">
        <f>IFERROR(VLOOKUP(G600,ซื้อสินค้า!H:J,3,FALSE),)</f>
        <v>0</v>
      </c>
      <c r="J600" s="21">
        <f t="shared" si="16"/>
        <v>0</v>
      </c>
      <c r="K600" s="21">
        <f t="shared" si="17"/>
        <v>0</v>
      </c>
      <c r="L600" s="12">
        <f t="shared" si="18"/>
        <v>0</v>
      </c>
      <c r="M600" s="21">
        <f t="shared" si="19"/>
        <v>0</v>
      </c>
      <c r="N600" s="9" t="str">
        <f ca="1">IFERROR(__xludf.DUMMYFUNCTION("IF(G600&lt;&gt;"""",G600, IFERROR(TRANSPOSE(FILTER('ซื้อสินค้า'!H:H,'ซื้อสินค้า'!B:B=B600,'ซื้อสินค้า'!I:I&gt;0)),))"),"")</f>
        <v/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>
      <c r="A601" s="5"/>
      <c r="B601" s="6"/>
      <c r="C601" s="20">
        <f>IFERROR(VLOOKUP(B601,ชื่อสินค้า!A:C,3,FALSE),)</f>
        <v>0</v>
      </c>
      <c r="D601" s="8" t="str">
        <f>IFERROR(VLOOKUP(B601,ชื่อสินค้า!A:D,4,FALSE),"")</f>
        <v/>
      </c>
      <c r="E601" s="9"/>
      <c r="F601" s="21" t="str">
        <f t="shared" si="15"/>
        <v/>
      </c>
      <c r="G601" s="22"/>
      <c r="H601" s="8">
        <f>IFERROR(VLOOKUP(G601,ซื้อสินค้า!H:I,2,FALSE),)</f>
        <v>0</v>
      </c>
      <c r="I601" s="21">
        <f>IFERROR(VLOOKUP(G601,ซื้อสินค้า!H:J,3,FALSE),)</f>
        <v>0</v>
      </c>
      <c r="J601" s="21">
        <f t="shared" si="16"/>
        <v>0</v>
      </c>
      <c r="K601" s="21">
        <f t="shared" si="17"/>
        <v>0</v>
      </c>
      <c r="L601" s="12">
        <f t="shared" si="18"/>
        <v>0</v>
      </c>
      <c r="M601" s="21">
        <f t="shared" si="19"/>
        <v>0</v>
      </c>
      <c r="N601" s="9" t="str">
        <f ca="1">IFERROR(__xludf.DUMMYFUNCTION("IF(G601&lt;&gt;"""",G601, IFERROR(TRANSPOSE(FILTER('ซื้อสินค้า'!H:H,'ซื้อสินค้า'!B:B=B601,'ซื้อสินค้า'!I:I&gt;0)),))"),"")</f>
        <v/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>
      <c r="A602" s="5"/>
      <c r="B602" s="6"/>
      <c r="C602" s="20">
        <f>IFERROR(VLOOKUP(B602,ชื่อสินค้า!A:C,3,FALSE),)</f>
        <v>0</v>
      </c>
      <c r="D602" s="8" t="str">
        <f>IFERROR(VLOOKUP(B602,ชื่อสินค้า!A:D,4,FALSE),"")</f>
        <v/>
      </c>
      <c r="E602" s="9"/>
      <c r="F602" s="21" t="str">
        <f t="shared" si="15"/>
        <v/>
      </c>
      <c r="G602" s="22"/>
      <c r="H602" s="8">
        <f>IFERROR(VLOOKUP(G602,ซื้อสินค้า!H:I,2,FALSE),)</f>
        <v>0</v>
      </c>
      <c r="I602" s="21">
        <f>IFERROR(VLOOKUP(G602,ซื้อสินค้า!H:J,3,FALSE),)</f>
        <v>0</v>
      </c>
      <c r="J602" s="21">
        <f t="shared" si="16"/>
        <v>0</v>
      </c>
      <c r="K602" s="21">
        <f t="shared" si="17"/>
        <v>0</v>
      </c>
      <c r="L602" s="12">
        <f t="shared" si="18"/>
        <v>0</v>
      </c>
      <c r="M602" s="21">
        <f t="shared" si="19"/>
        <v>0</v>
      </c>
      <c r="N602" s="9" t="str">
        <f ca="1">IFERROR(__xludf.DUMMYFUNCTION("IF(G602&lt;&gt;"""",G602, IFERROR(TRANSPOSE(FILTER('ซื้อสินค้า'!H:H,'ซื้อสินค้า'!B:B=B602,'ซื้อสินค้า'!I:I&gt;0)),))"),"")</f>
        <v/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>
      <c r="A603" s="5"/>
      <c r="B603" s="6"/>
      <c r="C603" s="20">
        <f>IFERROR(VLOOKUP(B603,ชื่อสินค้า!A:C,3,FALSE),)</f>
        <v>0</v>
      </c>
      <c r="D603" s="8" t="str">
        <f>IFERROR(VLOOKUP(B603,ชื่อสินค้า!A:D,4,FALSE),"")</f>
        <v/>
      </c>
      <c r="E603" s="9"/>
      <c r="F603" s="21" t="str">
        <f t="shared" si="15"/>
        <v/>
      </c>
      <c r="G603" s="22"/>
      <c r="H603" s="8">
        <f>IFERROR(VLOOKUP(G603,ซื้อสินค้า!H:I,2,FALSE),)</f>
        <v>0</v>
      </c>
      <c r="I603" s="21">
        <f>IFERROR(VLOOKUP(G603,ซื้อสินค้า!H:J,3,FALSE),)</f>
        <v>0</v>
      </c>
      <c r="J603" s="21">
        <f t="shared" si="16"/>
        <v>0</v>
      </c>
      <c r="K603" s="21">
        <f t="shared" si="17"/>
        <v>0</v>
      </c>
      <c r="L603" s="12">
        <f t="shared" si="18"/>
        <v>0</v>
      </c>
      <c r="M603" s="21">
        <f t="shared" si="19"/>
        <v>0</v>
      </c>
      <c r="N603" s="9" t="str">
        <f ca="1">IFERROR(__xludf.DUMMYFUNCTION("IF(G603&lt;&gt;"""",G603, IFERROR(TRANSPOSE(FILTER('ซื้อสินค้า'!H:H,'ซื้อสินค้า'!B:B=B603,'ซื้อสินค้า'!I:I&gt;0)),))"),"")</f>
        <v/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>
      <c r="A604" s="5"/>
      <c r="B604" s="6"/>
      <c r="C604" s="20">
        <f>IFERROR(VLOOKUP(B604,ชื่อสินค้า!A:C,3,FALSE),)</f>
        <v>0</v>
      </c>
      <c r="D604" s="8" t="str">
        <f>IFERROR(VLOOKUP(B604,ชื่อสินค้า!A:D,4,FALSE),"")</f>
        <v/>
      </c>
      <c r="E604" s="9"/>
      <c r="F604" s="21" t="str">
        <f t="shared" si="15"/>
        <v/>
      </c>
      <c r="G604" s="22"/>
      <c r="H604" s="8">
        <f>IFERROR(VLOOKUP(G604,ซื้อสินค้า!H:I,2,FALSE),)</f>
        <v>0</v>
      </c>
      <c r="I604" s="21">
        <f>IFERROR(VLOOKUP(G604,ซื้อสินค้า!H:J,3,FALSE),)</f>
        <v>0</v>
      </c>
      <c r="J604" s="21">
        <f t="shared" si="16"/>
        <v>0</v>
      </c>
      <c r="K604" s="21">
        <f t="shared" si="17"/>
        <v>0</v>
      </c>
      <c r="L604" s="12">
        <f t="shared" si="18"/>
        <v>0</v>
      </c>
      <c r="M604" s="21">
        <f t="shared" si="19"/>
        <v>0</v>
      </c>
      <c r="N604" s="9" t="str">
        <f ca="1">IFERROR(__xludf.DUMMYFUNCTION("IF(G604&lt;&gt;"""",G604, IFERROR(TRANSPOSE(FILTER('ซื้อสินค้า'!H:H,'ซื้อสินค้า'!B:B=B604,'ซื้อสินค้า'!I:I&gt;0)),))"),"")</f>
        <v/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>
      <c r="A605" s="5"/>
      <c r="B605" s="6"/>
      <c r="C605" s="20">
        <f>IFERROR(VLOOKUP(B605,ชื่อสินค้า!A:C,3,FALSE),)</f>
        <v>0</v>
      </c>
      <c r="D605" s="8" t="str">
        <f>IFERROR(VLOOKUP(B605,ชื่อสินค้า!A:D,4,FALSE),"")</f>
        <v/>
      </c>
      <c r="E605" s="9"/>
      <c r="F605" s="21" t="str">
        <f t="shared" si="15"/>
        <v/>
      </c>
      <c r="G605" s="22"/>
      <c r="H605" s="8">
        <f>IFERROR(VLOOKUP(G605,ซื้อสินค้า!H:I,2,FALSE),)</f>
        <v>0</v>
      </c>
      <c r="I605" s="21">
        <f>IFERROR(VLOOKUP(G605,ซื้อสินค้า!H:J,3,FALSE),)</f>
        <v>0</v>
      </c>
      <c r="J605" s="21">
        <f t="shared" si="16"/>
        <v>0</v>
      </c>
      <c r="K605" s="21">
        <f t="shared" si="17"/>
        <v>0</v>
      </c>
      <c r="L605" s="12">
        <f t="shared" si="18"/>
        <v>0</v>
      </c>
      <c r="M605" s="21">
        <f t="shared" si="19"/>
        <v>0</v>
      </c>
      <c r="N605" s="9" t="str">
        <f ca="1">IFERROR(__xludf.DUMMYFUNCTION("IF(G605&lt;&gt;"""",G605, IFERROR(TRANSPOSE(FILTER('ซื้อสินค้า'!H:H,'ซื้อสินค้า'!B:B=B605,'ซื้อสินค้า'!I:I&gt;0)),))"),"")</f>
        <v/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>
      <c r="A606" s="5"/>
      <c r="B606" s="6"/>
      <c r="C606" s="20">
        <f>IFERROR(VLOOKUP(B606,ชื่อสินค้า!A:C,3,FALSE),)</f>
        <v>0</v>
      </c>
      <c r="D606" s="8" t="str">
        <f>IFERROR(VLOOKUP(B606,ชื่อสินค้า!A:D,4,FALSE),"")</f>
        <v/>
      </c>
      <c r="E606" s="9"/>
      <c r="F606" s="21" t="str">
        <f t="shared" si="15"/>
        <v/>
      </c>
      <c r="G606" s="22"/>
      <c r="H606" s="8">
        <f>IFERROR(VLOOKUP(G606,ซื้อสินค้า!H:I,2,FALSE),)</f>
        <v>0</v>
      </c>
      <c r="I606" s="21">
        <f>IFERROR(VLOOKUP(G606,ซื้อสินค้า!H:J,3,FALSE),)</f>
        <v>0</v>
      </c>
      <c r="J606" s="21">
        <f t="shared" si="16"/>
        <v>0</v>
      </c>
      <c r="K606" s="21">
        <f t="shared" si="17"/>
        <v>0</v>
      </c>
      <c r="L606" s="12">
        <f t="shared" si="18"/>
        <v>0</v>
      </c>
      <c r="M606" s="21">
        <f t="shared" si="19"/>
        <v>0</v>
      </c>
      <c r="N606" s="9" t="str">
        <f ca="1">IFERROR(__xludf.DUMMYFUNCTION("IF(G606&lt;&gt;"""",G606, IFERROR(TRANSPOSE(FILTER('ซื้อสินค้า'!H:H,'ซื้อสินค้า'!B:B=B606,'ซื้อสินค้า'!I:I&gt;0)),))"),"")</f>
        <v/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>
      <c r="A607" s="5"/>
      <c r="B607" s="6"/>
      <c r="C607" s="20">
        <f>IFERROR(VLOOKUP(B607,ชื่อสินค้า!A:C,3,FALSE),)</f>
        <v>0</v>
      </c>
      <c r="D607" s="8" t="str">
        <f>IFERROR(VLOOKUP(B607,ชื่อสินค้า!A:D,4,FALSE),"")</f>
        <v/>
      </c>
      <c r="E607" s="9"/>
      <c r="F607" s="21" t="str">
        <f t="shared" si="15"/>
        <v/>
      </c>
      <c r="G607" s="22"/>
      <c r="H607" s="8">
        <f>IFERROR(VLOOKUP(G607,ซื้อสินค้า!H:I,2,FALSE),)</f>
        <v>0</v>
      </c>
      <c r="I607" s="21">
        <f>IFERROR(VLOOKUP(G607,ซื้อสินค้า!H:J,3,FALSE),)</f>
        <v>0</v>
      </c>
      <c r="J607" s="21">
        <f t="shared" si="16"/>
        <v>0</v>
      </c>
      <c r="K607" s="21">
        <f t="shared" si="17"/>
        <v>0</v>
      </c>
      <c r="L607" s="12">
        <f t="shared" si="18"/>
        <v>0</v>
      </c>
      <c r="M607" s="21">
        <f t="shared" si="19"/>
        <v>0</v>
      </c>
      <c r="N607" s="9" t="str">
        <f ca="1">IFERROR(__xludf.DUMMYFUNCTION("IF(G607&lt;&gt;"""",G607, IFERROR(TRANSPOSE(FILTER('ซื้อสินค้า'!H:H,'ซื้อสินค้า'!B:B=B607,'ซื้อสินค้า'!I:I&gt;0)),))"),"")</f>
        <v/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>
      <c r="A608" s="5"/>
      <c r="B608" s="6"/>
      <c r="C608" s="20">
        <f>IFERROR(VLOOKUP(B608,ชื่อสินค้า!A:C,3,FALSE),)</f>
        <v>0</v>
      </c>
      <c r="D608" s="8" t="str">
        <f>IFERROR(VLOOKUP(B608,ชื่อสินค้า!A:D,4,FALSE),"")</f>
        <v/>
      </c>
      <c r="E608" s="9"/>
      <c r="F608" s="21" t="str">
        <f t="shared" si="15"/>
        <v/>
      </c>
      <c r="G608" s="22"/>
      <c r="H608" s="8">
        <f>IFERROR(VLOOKUP(G608,ซื้อสินค้า!H:I,2,FALSE),)</f>
        <v>0</v>
      </c>
      <c r="I608" s="21">
        <f>IFERROR(VLOOKUP(G608,ซื้อสินค้า!H:J,3,FALSE),)</f>
        <v>0</v>
      </c>
      <c r="J608" s="21">
        <f t="shared" si="16"/>
        <v>0</v>
      </c>
      <c r="K608" s="21">
        <f t="shared" si="17"/>
        <v>0</v>
      </c>
      <c r="L608" s="12">
        <f t="shared" si="18"/>
        <v>0</v>
      </c>
      <c r="M608" s="21">
        <f t="shared" si="19"/>
        <v>0</v>
      </c>
      <c r="N608" s="9" t="str">
        <f ca="1">IFERROR(__xludf.DUMMYFUNCTION("IF(G608&lt;&gt;"""",G608, IFERROR(TRANSPOSE(FILTER('ซื้อสินค้า'!H:H,'ซื้อสินค้า'!B:B=B608,'ซื้อสินค้า'!I:I&gt;0)),))"),"")</f>
        <v/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>
      <c r="A609" s="5"/>
      <c r="B609" s="6"/>
      <c r="C609" s="20">
        <f>IFERROR(VLOOKUP(B609,ชื่อสินค้า!A:C,3,FALSE),)</f>
        <v>0</v>
      </c>
      <c r="D609" s="8" t="str">
        <f>IFERROR(VLOOKUP(B609,ชื่อสินค้า!A:D,4,FALSE),"")</f>
        <v/>
      </c>
      <c r="E609" s="9"/>
      <c r="F609" s="21" t="str">
        <f t="shared" si="15"/>
        <v/>
      </c>
      <c r="G609" s="22"/>
      <c r="H609" s="8">
        <f>IFERROR(VLOOKUP(G609,ซื้อสินค้า!H:I,2,FALSE),)</f>
        <v>0</v>
      </c>
      <c r="I609" s="21">
        <f>IFERROR(VLOOKUP(G609,ซื้อสินค้า!H:J,3,FALSE),)</f>
        <v>0</v>
      </c>
      <c r="J609" s="21">
        <f t="shared" si="16"/>
        <v>0</v>
      </c>
      <c r="K609" s="21">
        <f t="shared" si="17"/>
        <v>0</v>
      </c>
      <c r="L609" s="12">
        <f t="shared" si="18"/>
        <v>0</v>
      </c>
      <c r="M609" s="21">
        <f t="shared" si="19"/>
        <v>0</v>
      </c>
      <c r="N609" s="9" t="str">
        <f ca="1">IFERROR(__xludf.DUMMYFUNCTION("IF(G609&lt;&gt;"""",G609, IFERROR(TRANSPOSE(FILTER('ซื้อสินค้า'!H:H,'ซื้อสินค้า'!B:B=B609,'ซื้อสินค้า'!I:I&gt;0)),))"),"")</f>
        <v/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>
      <c r="A610" s="5"/>
      <c r="B610" s="6"/>
      <c r="C610" s="20">
        <f>IFERROR(VLOOKUP(B610,ชื่อสินค้า!A:C,3,FALSE),)</f>
        <v>0</v>
      </c>
      <c r="D610" s="8" t="str">
        <f>IFERROR(VLOOKUP(B610,ชื่อสินค้า!A:D,4,FALSE),"")</f>
        <v/>
      </c>
      <c r="E610" s="9"/>
      <c r="F610" s="21" t="str">
        <f t="shared" si="15"/>
        <v/>
      </c>
      <c r="G610" s="22"/>
      <c r="H610" s="8">
        <f>IFERROR(VLOOKUP(G610,ซื้อสินค้า!H:I,2,FALSE),)</f>
        <v>0</v>
      </c>
      <c r="I610" s="21">
        <f>IFERROR(VLOOKUP(G610,ซื้อสินค้า!H:J,3,FALSE),)</f>
        <v>0</v>
      </c>
      <c r="J610" s="21">
        <f t="shared" si="16"/>
        <v>0</v>
      </c>
      <c r="K610" s="21">
        <f t="shared" si="17"/>
        <v>0</v>
      </c>
      <c r="L610" s="12">
        <f t="shared" si="18"/>
        <v>0</v>
      </c>
      <c r="M610" s="21">
        <f t="shared" si="19"/>
        <v>0</v>
      </c>
      <c r="N610" s="9" t="str">
        <f ca="1">IFERROR(__xludf.DUMMYFUNCTION("IF(G610&lt;&gt;"""",G610, IFERROR(TRANSPOSE(FILTER('ซื้อสินค้า'!H:H,'ซื้อสินค้า'!B:B=B610,'ซื้อสินค้า'!I:I&gt;0)),))"),"")</f>
        <v/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>
      <c r="A611" s="5"/>
      <c r="B611" s="6"/>
      <c r="C611" s="20">
        <f>IFERROR(VLOOKUP(B611,ชื่อสินค้า!A:C,3,FALSE),)</f>
        <v>0</v>
      </c>
      <c r="D611" s="8" t="str">
        <f>IFERROR(VLOOKUP(B611,ชื่อสินค้า!A:D,4,FALSE),"")</f>
        <v/>
      </c>
      <c r="E611" s="9"/>
      <c r="F611" s="21" t="str">
        <f t="shared" si="15"/>
        <v/>
      </c>
      <c r="G611" s="22"/>
      <c r="H611" s="8">
        <f>IFERROR(VLOOKUP(G611,ซื้อสินค้า!H:I,2,FALSE),)</f>
        <v>0</v>
      </c>
      <c r="I611" s="21">
        <f>IFERROR(VLOOKUP(G611,ซื้อสินค้า!H:J,3,FALSE),)</f>
        <v>0</v>
      </c>
      <c r="J611" s="21">
        <f t="shared" si="16"/>
        <v>0</v>
      </c>
      <c r="K611" s="21">
        <f t="shared" si="17"/>
        <v>0</v>
      </c>
      <c r="L611" s="12">
        <f t="shared" si="18"/>
        <v>0</v>
      </c>
      <c r="M611" s="21">
        <f t="shared" si="19"/>
        <v>0</v>
      </c>
      <c r="N611" s="9" t="str">
        <f ca="1">IFERROR(__xludf.DUMMYFUNCTION("IF(G611&lt;&gt;"""",G611, IFERROR(TRANSPOSE(FILTER('ซื้อสินค้า'!H:H,'ซื้อสินค้า'!B:B=B611,'ซื้อสินค้า'!I:I&gt;0)),))"),"")</f>
        <v/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>
      <c r="A612" s="5"/>
      <c r="B612" s="6"/>
      <c r="C612" s="20">
        <f>IFERROR(VLOOKUP(B612,ชื่อสินค้า!A:C,3,FALSE),)</f>
        <v>0</v>
      </c>
      <c r="D612" s="8" t="str">
        <f>IFERROR(VLOOKUP(B612,ชื่อสินค้า!A:D,4,FALSE),"")</f>
        <v/>
      </c>
      <c r="E612" s="9"/>
      <c r="F612" s="21" t="str">
        <f t="shared" si="15"/>
        <v/>
      </c>
      <c r="G612" s="22"/>
      <c r="H612" s="8">
        <f>IFERROR(VLOOKUP(G612,ซื้อสินค้า!H:I,2,FALSE),)</f>
        <v>0</v>
      </c>
      <c r="I612" s="21">
        <f>IFERROR(VLOOKUP(G612,ซื้อสินค้า!H:J,3,FALSE),)</f>
        <v>0</v>
      </c>
      <c r="J612" s="21">
        <f t="shared" si="16"/>
        <v>0</v>
      </c>
      <c r="K612" s="21">
        <f t="shared" si="17"/>
        <v>0</v>
      </c>
      <c r="L612" s="12">
        <f t="shared" si="18"/>
        <v>0</v>
      </c>
      <c r="M612" s="21">
        <f t="shared" si="19"/>
        <v>0</v>
      </c>
      <c r="N612" s="9" t="str">
        <f ca="1">IFERROR(__xludf.DUMMYFUNCTION("IF(G612&lt;&gt;"""",G612, IFERROR(TRANSPOSE(FILTER('ซื้อสินค้า'!H:H,'ซื้อสินค้า'!B:B=B612,'ซื้อสินค้า'!I:I&gt;0)),))"),"")</f>
        <v/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>
      <c r="A613" s="5"/>
      <c r="B613" s="6"/>
      <c r="C613" s="20">
        <f>IFERROR(VLOOKUP(B613,ชื่อสินค้า!A:C,3,FALSE),)</f>
        <v>0</v>
      </c>
      <c r="D613" s="8" t="str">
        <f>IFERROR(VLOOKUP(B613,ชื่อสินค้า!A:D,4,FALSE),"")</f>
        <v/>
      </c>
      <c r="E613" s="9"/>
      <c r="F613" s="21" t="str">
        <f t="shared" si="15"/>
        <v/>
      </c>
      <c r="G613" s="22"/>
      <c r="H613" s="8">
        <f>IFERROR(VLOOKUP(G613,ซื้อสินค้า!H:I,2,FALSE),)</f>
        <v>0</v>
      </c>
      <c r="I613" s="21">
        <f>IFERROR(VLOOKUP(G613,ซื้อสินค้า!H:J,3,FALSE),)</f>
        <v>0</v>
      </c>
      <c r="J613" s="21">
        <f t="shared" si="16"/>
        <v>0</v>
      </c>
      <c r="K613" s="21">
        <f t="shared" si="17"/>
        <v>0</v>
      </c>
      <c r="L613" s="12">
        <f t="shared" si="18"/>
        <v>0</v>
      </c>
      <c r="M613" s="21">
        <f t="shared" si="19"/>
        <v>0</v>
      </c>
      <c r="N613" s="9" t="str">
        <f ca="1">IFERROR(__xludf.DUMMYFUNCTION("IF(G613&lt;&gt;"""",G613, IFERROR(TRANSPOSE(FILTER('ซื้อสินค้า'!H:H,'ซื้อสินค้า'!B:B=B613,'ซื้อสินค้า'!I:I&gt;0)),))"),"")</f>
        <v/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>
      <c r="A614" s="5"/>
      <c r="B614" s="6"/>
      <c r="C614" s="20">
        <f>IFERROR(VLOOKUP(B614,ชื่อสินค้า!A:C,3,FALSE),)</f>
        <v>0</v>
      </c>
      <c r="D614" s="8" t="str">
        <f>IFERROR(VLOOKUP(B614,ชื่อสินค้า!A:D,4,FALSE),"")</f>
        <v/>
      </c>
      <c r="E614" s="9"/>
      <c r="F614" s="21" t="str">
        <f t="shared" si="15"/>
        <v/>
      </c>
      <c r="G614" s="22"/>
      <c r="H614" s="8">
        <f>IFERROR(VLOOKUP(G614,ซื้อสินค้า!H:I,2,FALSE),)</f>
        <v>0</v>
      </c>
      <c r="I614" s="21">
        <f>IFERROR(VLOOKUP(G614,ซื้อสินค้า!H:J,3,FALSE),)</f>
        <v>0</v>
      </c>
      <c r="J614" s="21">
        <f t="shared" si="16"/>
        <v>0</v>
      </c>
      <c r="K614" s="21">
        <f t="shared" si="17"/>
        <v>0</v>
      </c>
      <c r="L614" s="12">
        <f t="shared" si="18"/>
        <v>0</v>
      </c>
      <c r="M614" s="21">
        <f t="shared" si="19"/>
        <v>0</v>
      </c>
      <c r="N614" s="9" t="str">
        <f ca="1">IFERROR(__xludf.DUMMYFUNCTION("IF(G614&lt;&gt;"""",G614, IFERROR(TRANSPOSE(FILTER('ซื้อสินค้า'!H:H,'ซื้อสินค้า'!B:B=B614,'ซื้อสินค้า'!I:I&gt;0)),))"),"")</f>
        <v/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>
      <c r="A615" s="5"/>
      <c r="B615" s="6"/>
      <c r="C615" s="20">
        <f>IFERROR(VLOOKUP(B615,ชื่อสินค้า!A:C,3,FALSE),)</f>
        <v>0</v>
      </c>
      <c r="D615" s="8" t="str">
        <f>IFERROR(VLOOKUP(B615,ชื่อสินค้า!A:D,4,FALSE),"")</f>
        <v/>
      </c>
      <c r="E615" s="9"/>
      <c r="F615" s="21" t="str">
        <f t="shared" si="15"/>
        <v/>
      </c>
      <c r="G615" s="22"/>
      <c r="H615" s="8">
        <f>IFERROR(VLOOKUP(G615,ซื้อสินค้า!H:I,2,FALSE),)</f>
        <v>0</v>
      </c>
      <c r="I615" s="21">
        <f>IFERROR(VLOOKUP(G615,ซื้อสินค้า!H:J,3,FALSE),)</f>
        <v>0</v>
      </c>
      <c r="J615" s="21">
        <f t="shared" si="16"/>
        <v>0</v>
      </c>
      <c r="K615" s="21">
        <f t="shared" si="17"/>
        <v>0</v>
      </c>
      <c r="L615" s="12">
        <f t="shared" si="18"/>
        <v>0</v>
      </c>
      <c r="M615" s="21">
        <f t="shared" si="19"/>
        <v>0</v>
      </c>
      <c r="N615" s="9" t="str">
        <f ca="1">IFERROR(__xludf.DUMMYFUNCTION("IF(G615&lt;&gt;"""",G615, IFERROR(TRANSPOSE(FILTER('ซื้อสินค้า'!H:H,'ซื้อสินค้า'!B:B=B615,'ซื้อสินค้า'!I:I&gt;0)),))"),"")</f>
        <v/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>
      <c r="A616" s="5"/>
      <c r="B616" s="6"/>
      <c r="C616" s="20">
        <f>IFERROR(VLOOKUP(B616,ชื่อสินค้า!A:C,3,FALSE),)</f>
        <v>0</v>
      </c>
      <c r="D616" s="8" t="str">
        <f>IFERROR(VLOOKUP(B616,ชื่อสินค้า!A:D,4,FALSE),"")</f>
        <v/>
      </c>
      <c r="E616" s="9"/>
      <c r="F616" s="21" t="str">
        <f t="shared" si="15"/>
        <v/>
      </c>
      <c r="G616" s="22"/>
      <c r="H616" s="8">
        <f>IFERROR(VLOOKUP(G616,ซื้อสินค้า!H:I,2,FALSE),)</f>
        <v>0</v>
      </c>
      <c r="I616" s="21">
        <f>IFERROR(VLOOKUP(G616,ซื้อสินค้า!H:J,3,FALSE),)</f>
        <v>0</v>
      </c>
      <c r="J616" s="21">
        <f t="shared" si="16"/>
        <v>0</v>
      </c>
      <c r="K616" s="21">
        <f t="shared" si="17"/>
        <v>0</v>
      </c>
      <c r="L616" s="12">
        <f t="shared" si="18"/>
        <v>0</v>
      </c>
      <c r="M616" s="21">
        <f t="shared" si="19"/>
        <v>0</v>
      </c>
      <c r="N616" s="9" t="str">
        <f ca="1">IFERROR(__xludf.DUMMYFUNCTION("IF(G616&lt;&gt;"""",G616, IFERROR(TRANSPOSE(FILTER('ซื้อสินค้า'!H:H,'ซื้อสินค้า'!B:B=B616,'ซื้อสินค้า'!I:I&gt;0)),))"),"")</f>
        <v/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>
      <c r="A617" s="5"/>
      <c r="B617" s="6"/>
      <c r="C617" s="20">
        <f>IFERROR(VLOOKUP(B617,ชื่อสินค้า!A:C,3,FALSE),)</f>
        <v>0</v>
      </c>
      <c r="D617" s="8" t="str">
        <f>IFERROR(VLOOKUP(B617,ชื่อสินค้า!A:D,4,FALSE),"")</f>
        <v/>
      </c>
      <c r="E617" s="9"/>
      <c r="F617" s="21" t="str">
        <f t="shared" si="15"/>
        <v/>
      </c>
      <c r="G617" s="22"/>
      <c r="H617" s="8">
        <f>IFERROR(VLOOKUP(G617,ซื้อสินค้า!H:I,2,FALSE),)</f>
        <v>0</v>
      </c>
      <c r="I617" s="21">
        <f>IFERROR(VLOOKUP(G617,ซื้อสินค้า!H:J,3,FALSE),)</f>
        <v>0</v>
      </c>
      <c r="J617" s="21">
        <f t="shared" si="16"/>
        <v>0</v>
      </c>
      <c r="K617" s="21">
        <f t="shared" si="17"/>
        <v>0</v>
      </c>
      <c r="L617" s="12">
        <f t="shared" si="18"/>
        <v>0</v>
      </c>
      <c r="M617" s="21">
        <f t="shared" si="19"/>
        <v>0</v>
      </c>
      <c r="N617" s="9" t="str">
        <f ca="1">IFERROR(__xludf.DUMMYFUNCTION("IF(G617&lt;&gt;"""",G617, IFERROR(TRANSPOSE(FILTER('ซื้อสินค้า'!H:H,'ซื้อสินค้า'!B:B=B617,'ซื้อสินค้า'!I:I&gt;0)),))"),"")</f>
        <v/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>
      <c r="A618" s="5"/>
      <c r="B618" s="6"/>
      <c r="C618" s="20">
        <f>IFERROR(VLOOKUP(B618,ชื่อสินค้า!A:C,3,FALSE),)</f>
        <v>0</v>
      </c>
      <c r="D618" s="8" t="str">
        <f>IFERROR(VLOOKUP(B618,ชื่อสินค้า!A:D,4,FALSE),"")</f>
        <v/>
      </c>
      <c r="E618" s="9"/>
      <c r="F618" s="21" t="str">
        <f t="shared" si="15"/>
        <v/>
      </c>
      <c r="G618" s="22"/>
      <c r="H618" s="8">
        <f>IFERROR(VLOOKUP(G618,ซื้อสินค้า!H:I,2,FALSE),)</f>
        <v>0</v>
      </c>
      <c r="I618" s="21">
        <f>IFERROR(VLOOKUP(G618,ซื้อสินค้า!H:J,3,FALSE),)</f>
        <v>0</v>
      </c>
      <c r="J618" s="21">
        <f t="shared" si="16"/>
        <v>0</v>
      </c>
      <c r="K618" s="21">
        <f t="shared" si="17"/>
        <v>0</v>
      </c>
      <c r="L618" s="12">
        <f t="shared" si="18"/>
        <v>0</v>
      </c>
      <c r="M618" s="21">
        <f t="shared" si="19"/>
        <v>0</v>
      </c>
      <c r="N618" s="9" t="str">
        <f ca="1">IFERROR(__xludf.DUMMYFUNCTION("IF(G618&lt;&gt;"""",G618, IFERROR(TRANSPOSE(FILTER('ซื้อสินค้า'!H:H,'ซื้อสินค้า'!B:B=B618,'ซื้อสินค้า'!I:I&gt;0)),))"),"")</f>
        <v/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>
      <c r="A619" s="5"/>
      <c r="B619" s="6"/>
      <c r="C619" s="20">
        <f>IFERROR(VLOOKUP(B619,ชื่อสินค้า!A:C,3,FALSE),)</f>
        <v>0</v>
      </c>
      <c r="D619" s="8" t="str">
        <f>IFERROR(VLOOKUP(B619,ชื่อสินค้า!A:D,4,FALSE),"")</f>
        <v/>
      </c>
      <c r="E619" s="9"/>
      <c r="F619" s="21" t="str">
        <f t="shared" si="15"/>
        <v/>
      </c>
      <c r="G619" s="22"/>
      <c r="H619" s="8">
        <f>IFERROR(VLOOKUP(G619,ซื้อสินค้า!H:I,2,FALSE),)</f>
        <v>0</v>
      </c>
      <c r="I619" s="21">
        <f>IFERROR(VLOOKUP(G619,ซื้อสินค้า!H:J,3,FALSE),)</f>
        <v>0</v>
      </c>
      <c r="J619" s="21">
        <f t="shared" si="16"/>
        <v>0</v>
      </c>
      <c r="K619" s="21">
        <f t="shared" si="17"/>
        <v>0</v>
      </c>
      <c r="L619" s="12">
        <f t="shared" si="18"/>
        <v>0</v>
      </c>
      <c r="M619" s="21">
        <f t="shared" si="19"/>
        <v>0</v>
      </c>
      <c r="N619" s="9" t="str">
        <f ca="1">IFERROR(__xludf.DUMMYFUNCTION("IF(G619&lt;&gt;"""",G619, IFERROR(TRANSPOSE(FILTER('ซื้อสินค้า'!H:H,'ซื้อสินค้า'!B:B=B619,'ซื้อสินค้า'!I:I&gt;0)),))"),"")</f>
        <v/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>
      <c r="A620" s="5"/>
      <c r="B620" s="6"/>
      <c r="C620" s="20">
        <f>IFERROR(VLOOKUP(B620,ชื่อสินค้า!A:C,3,FALSE),)</f>
        <v>0</v>
      </c>
      <c r="D620" s="8" t="str">
        <f>IFERROR(VLOOKUP(B620,ชื่อสินค้า!A:D,4,FALSE),"")</f>
        <v/>
      </c>
      <c r="E620" s="9"/>
      <c r="F620" s="21" t="str">
        <f t="shared" si="15"/>
        <v/>
      </c>
      <c r="G620" s="22"/>
      <c r="H620" s="8">
        <f>IFERROR(VLOOKUP(G620,ซื้อสินค้า!H:I,2,FALSE),)</f>
        <v>0</v>
      </c>
      <c r="I620" s="21">
        <f>IFERROR(VLOOKUP(G620,ซื้อสินค้า!H:J,3,FALSE),)</f>
        <v>0</v>
      </c>
      <c r="J620" s="21">
        <f t="shared" si="16"/>
        <v>0</v>
      </c>
      <c r="K620" s="21">
        <f t="shared" si="17"/>
        <v>0</v>
      </c>
      <c r="L620" s="12">
        <f t="shared" si="18"/>
        <v>0</v>
      </c>
      <c r="M620" s="21">
        <f t="shared" si="19"/>
        <v>0</v>
      </c>
      <c r="N620" s="9" t="str">
        <f ca="1">IFERROR(__xludf.DUMMYFUNCTION("IF(G620&lt;&gt;"""",G620, IFERROR(TRANSPOSE(FILTER('ซื้อสินค้า'!H:H,'ซื้อสินค้า'!B:B=B620,'ซื้อสินค้า'!I:I&gt;0)),))"),"")</f>
        <v/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>
      <c r="A621" s="5"/>
      <c r="B621" s="6"/>
      <c r="C621" s="20">
        <f>IFERROR(VLOOKUP(B621,ชื่อสินค้า!A:C,3,FALSE),)</f>
        <v>0</v>
      </c>
      <c r="D621" s="8" t="str">
        <f>IFERROR(VLOOKUP(B621,ชื่อสินค้า!A:D,4,FALSE),"")</f>
        <v/>
      </c>
      <c r="E621" s="9"/>
      <c r="F621" s="21" t="str">
        <f t="shared" si="15"/>
        <v/>
      </c>
      <c r="G621" s="22"/>
      <c r="H621" s="8">
        <f>IFERROR(VLOOKUP(G621,ซื้อสินค้า!H:I,2,FALSE),)</f>
        <v>0</v>
      </c>
      <c r="I621" s="21">
        <f>IFERROR(VLOOKUP(G621,ซื้อสินค้า!H:J,3,FALSE),)</f>
        <v>0</v>
      </c>
      <c r="J621" s="21">
        <f t="shared" si="16"/>
        <v>0</v>
      </c>
      <c r="K621" s="21">
        <f t="shared" si="17"/>
        <v>0</v>
      </c>
      <c r="L621" s="12">
        <f t="shared" si="18"/>
        <v>0</v>
      </c>
      <c r="M621" s="21">
        <f t="shared" si="19"/>
        <v>0</v>
      </c>
      <c r="N621" s="9" t="str">
        <f ca="1">IFERROR(__xludf.DUMMYFUNCTION("IF(G621&lt;&gt;"""",G621, IFERROR(TRANSPOSE(FILTER('ซื้อสินค้า'!H:H,'ซื้อสินค้า'!B:B=B621,'ซื้อสินค้า'!I:I&gt;0)),))"),"")</f>
        <v/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>
      <c r="A622" s="5"/>
      <c r="B622" s="6"/>
      <c r="C622" s="20">
        <f>IFERROR(VLOOKUP(B622,ชื่อสินค้า!A:C,3,FALSE),)</f>
        <v>0</v>
      </c>
      <c r="D622" s="8" t="str">
        <f>IFERROR(VLOOKUP(B622,ชื่อสินค้า!A:D,4,FALSE),"")</f>
        <v/>
      </c>
      <c r="E622" s="9"/>
      <c r="F622" s="21" t="str">
        <f t="shared" si="15"/>
        <v/>
      </c>
      <c r="G622" s="22"/>
      <c r="H622" s="8">
        <f>IFERROR(VLOOKUP(G622,ซื้อสินค้า!H:I,2,FALSE),)</f>
        <v>0</v>
      </c>
      <c r="I622" s="21">
        <f>IFERROR(VLOOKUP(G622,ซื้อสินค้า!H:J,3,FALSE),)</f>
        <v>0</v>
      </c>
      <c r="J622" s="21">
        <f t="shared" si="16"/>
        <v>0</v>
      </c>
      <c r="K622" s="21">
        <f t="shared" si="17"/>
        <v>0</v>
      </c>
      <c r="L622" s="12">
        <f t="shared" si="18"/>
        <v>0</v>
      </c>
      <c r="M622" s="21">
        <f t="shared" si="19"/>
        <v>0</v>
      </c>
      <c r="N622" s="9" t="str">
        <f ca="1">IFERROR(__xludf.DUMMYFUNCTION("IF(G622&lt;&gt;"""",G622, IFERROR(TRANSPOSE(FILTER('ซื้อสินค้า'!H:H,'ซื้อสินค้า'!B:B=B622,'ซื้อสินค้า'!I:I&gt;0)),))"),"")</f>
        <v/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>
      <c r="A623" s="5"/>
      <c r="B623" s="6"/>
      <c r="C623" s="20">
        <f>IFERROR(VLOOKUP(B623,ชื่อสินค้า!A:C,3,FALSE),)</f>
        <v>0</v>
      </c>
      <c r="D623" s="8" t="str">
        <f>IFERROR(VLOOKUP(B623,ชื่อสินค้า!A:D,4,FALSE),"")</f>
        <v/>
      </c>
      <c r="E623" s="9"/>
      <c r="F623" s="21" t="str">
        <f t="shared" si="15"/>
        <v/>
      </c>
      <c r="G623" s="22"/>
      <c r="H623" s="8">
        <f>IFERROR(VLOOKUP(G623,ซื้อสินค้า!H:I,2,FALSE),)</f>
        <v>0</v>
      </c>
      <c r="I623" s="21">
        <f>IFERROR(VLOOKUP(G623,ซื้อสินค้า!H:J,3,FALSE),)</f>
        <v>0</v>
      </c>
      <c r="J623" s="21">
        <f t="shared" si="16"/>
        <v>0</v>
      </c>
      <c r="K623" s="21">
        <f t="shared" si="17"/>
        <v>0</v>
      </c>
      <c r="L623" s="12">
        <f t="shared" si="18"/>
        <v>0</v>
      </c>
      <c r="M623" s="21">
        <f t="shared" si="19"/>
        <v>0</v>
      </c>
      <c r="N623" s="9" t="str">
        <f ca="1">IFERROR(__xludf.DUMMYFUNCTION("IF(G623&lt;&gt;"""",G623, IFERROR(TRANSPOSE(FILTER('ซื้อสินค้า'!H:H,'ซื้อสินค้า'!B:B=B623,'ซื้อสินค้า'!I:I&gt;0)),))"),"")</f>
        <v/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>
      <c r="A624" s="5"/>
      <c r="B624" s="6"/>
      <c r="C624" s="20">
        <f>IFERROR(VLOOKUP(B624,ชื่อสินค้า!A:C,3,FALSE),)</f>
        <v>0</v>
      </c>
      <c r="D624" s="8" t="str">
        <f>IFERROR(VLOOKUP(B624,ชื่อสินค้า!A:D,4,FALSE),"")</f>
        <v/>
      </c>
      <c r="E624" s="9"/>
      <c r="F624" s="21" t="str">
        <f t="shared" si="15"/>
        <v/>
      </c>
      <c r="G624" s="22"/>
      <c r="H624" s="8">
        <f>IFERROR(VLOOKUP(G624,ซื้อสินค้า!H:I,2,FALSE),)</f>
        <v>0</v>
      </c>
      <c r="I624" s="21">
        <f>IFERROR(VLOOKUP(G624,ซื้อสินค้า!H:J,3,FALSE),)</f>
        <v>0</v>
      </c>
      <c r="J624" s="21">
        <f t="shared" si="16"/>
        <v>0</v>
      </c>
      <c r="K624" s="21">
        <f t="shared" si="17"/>
        <v>0</v>
      </c>
      <c r="L624" s="12">
        <f t="shared" si="18"/>
        <v>0</v>
      </c>
      <c r="M624" s="21">
        <f t="shared" si="19"/>
        <v>0</v>
      </c>
      <c r="N624" s="9" t="str">
        <f ca="1">IFERROR(__xludf.DUMMYFUNCTION("IF(G624&lt;&gt;"""",G624, IFERROR(TRANSPOSE(FILTER('ซื้อสินค้า'!H:H,'ซื้อสินค้า'!B:B=B624,'ซื้อสินค้า'!I:I&gt;0)),))"),"")</f>
        <v/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>
      <c r="A625" s="5"/>
      <c r="B625" s="6"/>
      <c r="C625" s="20">
        <f>IFERROR(VLOOKUP(B625,ชื่อสินค้า!A:C,3,FALSE),)</f>
        <v>0</v>
      </c>
      <c r="D625" s="8" t="str">
        <f>IFERROR(VLOOKUP(B625,ชื่อสินค้า!A:D,4,FALSE),"")</f>
        <v/>
      </c>
      <c r="E625" s="9"/>
      <c r="F625" s="21" t="str">
        <f t="shared" si="15"/>
        <v/>
      </c>
      <c r="G625" s="22"/>
      <c r="H625" s="8">
        <f>IFERROR(VLOOKUP(G625,ซื้อสินค้า!H:I,2,FALSE),)</f>
        <v>0</v>
      </c>
      <c r="I625" s="21">
        <f>IFERROR(VLOOKUP(G625,ซื้อสินค้า!H:J,3,FALSE),)</f>
        <v>0</v>
      </c>
      <c r="J625" s="21">
        <f t="shared" si="16"/>
        <v>0</v>
      </c>
      <c r="K625" s="21">
        <f t="shared" si="17"/>
        <v>0</v>
      </c>
      <c r="L625" s="12">
        <f t="shared" si="18"/>
        <v>0</v>
      </c>
      <c r="M625" s="21">
        <f t="shared" si="19"/>
        <v>0</v>
      </c>
      <c r="N625" s="9" t="str">
        <f ca="1">IFERROR(__xludf.DUMMYFUNCTION("IF(G625&lt;&gt;"""",G625, IFERROR(TRANSPOSE(FILTER('ซื้อสินค้า'!H:H,'ซื้อสินค้า'!B:B=B625,'ซื้อสินค้า'!I:I&gt;0)),))"),"")</f>
        <v/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>
      <c r="A626" s="5"/>
      <c r="B626" s="6"/>
      <c r="C626" s="20">
        <f>IFERROR(VLOOKUP(B626,ชื่อสินค้า!A:C,3,FALSE),)</f>
        <v>0</v>
      </c>
      <c r="D626" s="8" t="str">
        <f>IFERROR(VLOOKUP(B626,ชื่อสินค้า!A:D,4,FALSE),"")</f>
        <v/>
      </c>
      <c r="E626" s="9"/>
      <c r="F626" s="21" t="str">
        <f t="shared" si="15"/>
        <v/>
      </c>
      <c r="G626" s="22"/>
      <c r="H626" s="8">
        <f>IFERROR(VLOOKUP(G626,ซื้อสินค้า!H:I,2,FALSE),)</f>
        <v>0</v>
      </c>
      <c r="I626" s="21">
        <f>IFERROR(VLOOKUP(G626,ซื้อสินค้า!H:J,3,FALSE),)</f>
        <v>0</v>
      </c>
      <c r="J626" s="21">
        <f t="shared" si="16"/>
        <v>0</v>
      </c>
      <c r="K626" s="21">
        <f t="shared" si="17"/>
        <v>0</v>
      </c>
      <c r="L626" s="12">
        <f t="shared" si="18"/>
        <v>0</v>
      </c>
      <c r="M626" s="21">
        <f t="shared" si="19"/>
        <v>0</v>
      </c>
      <c r="N626" s="9" t="str">
        <f ca="1">IFERROR(__xludf.DUMMYFUNCTION("IF(G626&lt;&gt;"""",G626, IFERROR(TRANSPOSE(FILTER('ซื้อสินค้า'!H:H,'ซื้อสินค้า'!B:B=B626,'ซื้อสินค้า'!I:I&gt;0)),))"),"")</f>
        <v/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>
      <c r="A627" s="5"/>
      <c r="B627" s="6"/>
      <c r="C627" s="20">
        <f>IFERROR(VLOOKUP(B627,ชื่อสินค้า!A:C,3,FALSE),)</f>
        <v>0</v>
      </c>
      <c r="D627" s="8" t="str">
        <f>IFERROR(VLOOKUP(B627,ชื่อสินค้า!A:D,4,FALSE),"")</f>
        <v/>
      </c>
      <c r="E627" s="9"/>
      <c r="F627" s="21" t="str">
        <f t="shared" si="15"/>
        <v/>
      </c>
      <c r="G627" s="22"/>
      <c r="H627" s="8">
        <f>IFERROR(VLOOKUP(G627,ซื้อสินค้า!H:I,2,FALSE),)</f>
        <v>0</v>
      </c>
      <c r="I627" s="21">
        <f>IFERROR(VLOOKUP(G627,ซื้อสินค้า!H:J,3,FALSE),)</f>
        <v>0</v>
      </c>
      <c r="J627" s="21">
        <f t="shared" si="16"/>
        <v>0</v>
      </c>
      <c r="K627" s="21">
        <f t="shared" si="17"/>
        <v>0</v>
      </c>
      <c r="L627" s="12">
        <f t="shared" si="18"/>
        <v>0</v>
      </c>
      <c r="M627" s="21">
        <f t="shared" si="19"/>
        <v>0</v>
      </c>
      <c r="N627" s="9" t="str">
        <f ca="1">IFERROR(__xludf.DUMMYFUNCTION("IF(G627&lt;&gt;"""",G627, IFERROR(TRANSPOSE(FILTER('ซื้อสินค้า'!H:H,'ซื้อสินค้า'!B:B=B627,'ซื้อสินค้า'!I:I&gt;0)),))"),"")</f>
        <v/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>
      <c r="A628" s="5"/>
      <c r="B628" s="6"/>
      <c r="C628" s="20">
        <f>IFERROR(VLOOKUP(B628,ชื่อสินค้า!A:C,3,FALSE),)</f>
        <v>0</v>
      </c>
      <c r="D628" s="8" t="str">
        <f>IFERROR(VLOOKUP(B628,ชื่อสินค้า!A:D,4,FALSE),"")</f>
        <v/>
      </c>
      <c r="E628" s="9"/>
      <c r="F628" s="21" t="str">
        <f t="shared" si="15"/>
        <v/>
      </c>
      <c r="G628" s="22"/>
      <c r="H628" s="8">
        <f>IFERROR(VLOOKUP(G628,ซื้อสินค้า!H:I,2,FALSE),)</f>
        <v>0</v>
      </c>
      <c r="I628" s="21">
        <f>IFERROR(VLOOKUP(G628,ซื้อสินค้า!H:J,3,FALSE),)</f>
        <v>0</v>
      </c>
      <c r="J628" s="21">
        <f t="shared" si="16"/>
        <v>0</v>
      </c>
      <c r="K628" s="21">
        <f t="shared" si="17"/>
        <v>0</v>
      </c>
      <c r="L628" s="12">
        <f t="shared" si="18"/>
        <v>0</v>
      </c>
      <c r="M628" s="21">
        <f t="shared" si="19"/>
        <v>0</v>
      </c>
      <c r="N628" s="9" t="str">
        <f ca="1">IFERROR(__xludf.DUMMYFUNCTION("IF(G628&lt;&gt;"""",G628, IFERROR(TRANSPOSE(FILTER('ซื้อสินค้า'!H:H,'ซื้อสินค้า'!B:B=B628,'ซื้อสินค้า'!I:I&gt;0)),))"),"")</f>
        <v/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>
      <c r="A629" s="5"/>
      <c r="B629" s="6"/>
      <c r="C629" s="20">
        <f>IFERROR(VLOOKUP(B629,ชื่อสินค้า!A:C,3,FALSE),)</f>
        <v>0</v>
      </c>
      <c r="D629" s="8" t="str">
        <f>IFERROR(VLOOKUP(B629,ชื่อสินค้า!A:D,4,FALSE),"")</f>
        <v/>
      </c>
      <c r="E629" s="9"/>
      <c r="F629" s="21" t="str">
        <f t="shared" si="15"/>
        <v/>
      </c>
      <c r="G629" s="22"/>
      <c r="H629" s="8">
        <f>IFERROR(VLOOKUP(G629,ซื้อสินค้า!H:I,2,FALSE),)</f>
        <v>0</v>
      </c>
      <c r="I629" s="21">
        <f>IFERROR(VLOOKUP(G629,ซื้อสินค้า!H:J,3,FALSE),)</f>
        <v>0</v>
      </c>
      <c r="J629" s="21">
        <f t="shared" si="16"/>
        <v>0</v>
      </c>
      <c r="K629" s="21">
        <f t="shared" si="17"/>
        <v>0</v>
      </c>
      <c r="L629" s="12">
        <f t="shared" si="18"/>
        <v>0</v>
      </c>
      <c r="M629" s="21">
        <f t="shared" si="19"/>
        <v>0</v>
      </c>
      <c r="N629" s="9" t="str">
        <f ca="1">IFERROR(__xludf.DUMMYFUNCTION("IF(G629&lt;&gt;"""",G629, IFERROR(TRANSPOSE(FILTER('ซื้อสินค้า'!H:H,'ซื้อสินค้า'!B:B=B629,'ซื้อสินค้า'!I:I&gt;0)),))"),"")</f>
        <v/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>
      <c r="A630" s="5"/>
      <c r="B630" s="6"/>
      <c r="C630" s="20">
        <f>IFERROR(VLOOKUP(B630,ชื่อสินค้า!A:C,3,FALSE),)</f>
        <v>0</v>
      </c>
      <c r="D630" s="8" t="str">
        <f>IFERROR(VLOOKUP(B630,ชื่อสินค้า!A:D,4,FALSE),"")</f>
        <v/>
      </c>
      <c r="E630" s="9"/>
      <c r="F630" s="21" t="str">
        <f t="shared" si="15"/>
        <v/>
      </c>
      <c r="G630" s="22"/>
      <c r="H630" s="8">
        <f>IFERROR(VLOOKUP(G630,ซื้อสินค้า!H:I,2,FALSE),)</f>
        <v>0</v>
      </c>
      <c r="I630" s="21">
        <f>IFERROR(VLOOKUP(G630,ซื้อสินค้า!H:J,3,FALSE),)</f>
        <v>0</v>
      </c>
      <c r="J630" s="21">
        <f t="shared" si="16"/>
        <v>0</v>
      </c>
      <c r="K630" s="21">
        <f t="shared" si="17"/>
        <v>0</v>
      </c>
      <c r="L630" s="12">
        <f t="shared" si="18"/>
        <v>0</v>
      </c>
      <c r="M630" s="21">
        <f t="shared" si="19"/>
        <v>0</v>
      </c>
      <c r="N630" s="9" t="str">
        <f ca="1">IFERROR(__xludf.DUMMYFUNCTION("IF(G630&lt;&gt;"""",G630, IFERROR(TRANSPOSE(FILTER('ซื้อสินค้า'!H:H,'ซื้อสินค้า'!B:B=B630,'ซื้อสินค้า'!I:I&gt;0)),))"),"")</f>
        <v/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>
      <c r="A631" s="5"/>
      <c r="B631" s="6"/>
      <c r="C631" s="20">
        <f>IFERROR(VLOOKUP(B631,ชื่อสินค้า!A:C,3,FALSE),)</f>
        <v>0</v>
      </c>
      <c r="D631" s="8" t="str">
        <f>IFERROR(VLOOKUP(B631,ชื่อสินค้า!A:D,4,FALSE),"")</f>
        <v/>
      </c>
      <c r="E631" s="9"/>
      <c r="F631" s="21" t="str">
        <f t="shared" si="15"/>
        <v/>
      </c>
      <c r="G631" s="22"/>
      <c r="H631" s="8">
        <f>IFERROR(VLOOKUP(G631,ซื้อสินค้า!H:I,2,FALSE),)</f>
        <v>0</v>
      </c>
      <c r="I631" s="21">
        <f>IFERROR(VLOOKUP(G631,ซื้อสินค้า!H:J,3,FALSE),)</f>
        <v>0</v>
      </c>
      <c r="J631" s="21">
        <f t="shared" si="16"/>
        <v>0</v>
      </c>
      <c r="K631" s="21">
        <f t="shared" si="17"/>
        <v>0</v>
      </c>
      <c r="L631" s="12">
        <f t="shared" si="18"/>
        <v>0</v>
      </c>
      <c r="M631" s="21">
        <f t="shared" si="19"/>
        <v>0</v>
      </c>
      <c r="N631" s="9" t="str">
        <f ca="1">IFERROR(__xludf.DUMMYFUNCTION("IF(G631&lt;&gt;"""",G631, IFERROR(TRANSPOSE(FILTER('ซื้อสินค้า'!H:H,'ซื้อสินค้า'!B:B=B631,'ซื้อสินค้า'!I:I&gt;0)),))"),"")</f>
        <v/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>
      <c r="A632" s="5"/>
      <c r="B632" s="6"/>
      <c r="C632" s="20">
        <f>IFERROR(VLOOKUP(B632,ชื่อสินค้า!A:C,3,FALSE),)</f>
        <v>0</v>
      </c>
      <c r="D632" s="8" t="str">
        <f>IFERROR(VLOOKUP(B632,ชื่อสินค้า!A:D,4,FALSE),"")</f>
        <v/>
      </c>
      <c r="E632" s="9"/>
      <c r="F632" s="21" t="str">
        <f t="shared" si="15"/>
        <v/>
      </c>
      <c r="G632" s="22"/>
      <c r="H632" s="8">
        <f>IFERROR(VLOOKUP(G632,ซื้อสินค้า!H:I,2,FALSE),)</f>
        <v>0</v>
      </c>
      <c r="I632" s="21">
        <f>IFERROR(VLOOKUP(G632,ซื้อสินค้า!H:J,3,FALSE),)</f>
        <v>0</v>
      </c>
      <c r="J632" s="21">
        <f t="shared" si="16"/>
        <v>0</v>
      </c>
      <c r="K632" s="21">
        <f t="shared" si="17"/>
        <v>0</v>
      </c>
      <c r="L632" s="12">
        <f t="shared" si="18"/>
        <v>0</v>
      </c>
      <c r="M632" s="21">
        <f t="shared" si="19"/>
        <v>0</v>
      </c>
      <c r="N632" s="9" t="str">
        <f ca="1">IFERROR(__xludf.DUMMYFUNCTION("IF(G632&lt;&gt;"""",G632, IFERROR(TRANSPOSE(FILTER('ซื้อสินค้า'!H:H,'ซื้อสินค้า'!B:B=B632,'ซื้อสินค้า'!I:I&gt;0)),))"),"")</f>
        <v/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>
      <c r="A633" s="5"/>
      <c r="B633" s="6"/>
      <c r="C633" s="20">
        <f>IFERROR(VLOOKUP(B633,ชื่อสินค้า!A:C,3,FALSE),)</f>
        <v>0</v>
      </c>
      <c r="D633" s="8" t="str">
        <f>IFERROR(VLOOKUP(B633,ชื่อสินค้า!A:D,4,FALSE),"")</f>
        <v/>
      </c>
      <c r="E633" s="9"/>
      <c r="F633" s="21" t="str">
        <f t="shared" si="15"/>
        <v/>
      </c>
      <c r="G633" s="22"/>
      <c r="H633" s="8">
        <f>IFERROR(VLOOKUP(G633,ซื้อสินค้า!H:I,2,FALSE),)</f>
        <v>0</v>
      </c>
      <c r="I633" s="21">
        <f>IFERROR(VLOOKUP(G633,ซื้อสินค้า!H:J,3,FALSE),)</f>
        <v>0</v>
      </c>
      <c r="J633" s="21">
        <f t="shared" si="16"/>
        <v>0</v>
      </c>
      <c r="K633" s="21">
        <f t="shared" si="17"/>
        <v>0</v>
      </c>
      <c r="L633" s="12">
        <f t="shared" si="18"/>
        <v>0</v>
      </c>
      <c r="M633" s="21">
        <f t="shared" si="19"/>
        <v>0</v>
      </c>
      <c r="N633" s="9" t="str">
        <f ca="1">IFERROR(__xludf.DUMMYFUNCTION("IF(G633&lt;&gt;"""",G633, IFERROR(TRANSPOSE(FILTER('ซื้อสินค้า'!H:H,'ซื้อสินค้า'!B:B=B633,'ซื้อสินค้า'!I:I&gt;0)),))"),"")</f>
        <v/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>
      <c r="A634" s="5"/>
      <c r="B634" s="6"/>
      <c r="C634" s="20">
        <f>IFERROR(VLOOKUP(B634,ชื่อสินค้า!A:C,3,FALSE),)</f>
        <v>0</v>
      </c>
      <c r="D634" s="8" t="str">
        <f>IFERROR(VLOOKUP(B634,ชื่อสินค้า!A:D,4,FALSE),"")</f>
        <v/>
      </c>
      <c r="E634" s="9"/>
      <c r="F634" s="21" t="str">
        <f t="shared" si="15"/>
        <v/>
      </c>
      <c r="G634" s="22"/>
      <c r="H634" s="8">
        <f>IFERROR(VLOOKUP(G634,ซื้อสินค้า!H:I,2,FALSE),)</f>
        <v>0</v>
      </c>
      <c r="I634" s="21">
        <f>IFERROR(VLOOKUP(G634,ซื้อสินค้า!H:J,3,FALSE),)</f>
        <v>0</v>
      </c>
      <c r="J634" s="21">
        <f t="shared" si="16"/>
        <v>0</v>
      </c>
      <c r="K634" s="21">
        <f t="shared" si="17"/>
        <v>0</v>
      </c>
      <c r="L634" s="12">
        <f t="shared" si="18"/>
        <v>0</v>
      </c>
      <c r="M634" s="21">
        <f t="shared" si="19"/>
        <v>0</v>
      </c>
      <c r="N634" s="9" t="str">
        <f ca="1">IFERROR(__xludf.DUMMYFUNCTION("IF(G634&lt;&gt;"""",G634, IFERROR(TRANSPOSE(FILTER('ซื้อสินค้า'!H:H,'ซื้อสินค้า'!B:B=B634,'ซื้อสินค้า'!I:I&gt;0)),))"),"")</f>
        <v/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>
      <c r="A635" s="5"/>
      <c r="B635" s="6"/>
      <c r="C635" s="20">
        <f>IFERROR(VLOOKUP(B635,ชื่อสินค้า!A:C,3,FALSE),)</f>
        <v>0</v>
      </c>
      <c r="D635" s="8" t="str">
        <f>IFERROR(VLOOKUP(B635,ชื่อสินค้า!A:D,4,FALSE),"")</f>
        <v/>
      </c>
      <c r="E635" s="9"/>
      <c r="F635" s="21" t="str">
        <f t="shared" si="15"/>
        <v/>
      </c>
      <c r="G635" s="22"/>
      <c r="H635" s="8">
        <f>IFERROR(VLOOKUP(G635,ซื้อสินค้า!H:I,2,FALSE),)</f>
        <v>0</v>
      </c>
      <c r="I635" s="21">
        <f>IFERROR(VLOOKUP(G635,ซื้อสินค้า!H:J,3,FALSE),)</f>
        <v>0</v>
      </c>
      <c r="J635" s="21">
        <f t="shared" si="16"/>
        <v>0</v>
      </c>
      <c r="K635" s="21">
        <f t="shared" si="17"/>
        <v>0</v>
      </c>
      <c r="L635" s="12">
        <f t="shared" si="18"/>
        <v>0</v>
      </c>
      <c r="M635" s="21">
        <f t="shared" si="19"/>
        <v>0</v>
      </c>
      <c r="N635" s="9" t="str">
        <f ca="1">IFERROR(__xludf.DUMMYFUNCTION("IF(G635&lt;&gt;"""",G635, IFERROR(TRANSPOSE(FILTER('ซื้อสินค้า'!H:H,'ซื้อสินค้า'!B:B=B635,'ซื้อสินค้า'!I:I&gt;0)),))"),"")</f>
        <v/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>
      <c r="A636" s="5"/>
      <c r="B636" s="6"/>
      <c r="C636" s="20">
        <f>IFERROR(VLOOKUP(B636,ชื่อสินค้า!A:C,3,FALSE),)</f>
        <v>0</v>
      </c>
      <c r="D636" s="8" t="str">
        <f>IFERROR(VLOOKUP(B636,ชื่อสินค้า!A:D,4,FALSE),"")</f>
        <v/>
      </c>
      <c r="E636" s="9"/>
      <c r="F636" s="21" t="str">
        <f t="shared" si="15"/>
        <v/>
      </c>
      <c r="G636" s="22"/>
      <c r="H636" s="8">
        <f>IFERROR(VLOOKUP(G636,ซื้อสินค้า!H:I,2,FALSE),)</f>
        <v>0</v>
      </c>
      <c r="I636" s="21">
        <f>IFERROR(VLOOKUP(G636,ซื้อสินค้า!H:J,3,FALSE),)</f>
        <v>0</v>
      </c>
      <c r="J636" s="21">
        <f t="shared" si="16"/>
        <v>0</v>
      </c>
      <c r="K636" s="21">
        <f t="shared" si="17"/>
        <v>0</v>
      </c>
      <c r="L636" s="12">
        <f t="shared" si="18"/>
        <v>0</v>
      </c>
      <c r="M636" s="21">
        <f t="shared" si="19"/>
        <v>0</v>
      </c>
      <c r="N636" s="9" t="str">
        <f ca="1">IFERROR(__xludf.DUMMYFUNCTION("IF(G636&lt;&gt;"""",G636, IFERROR(TRANSPOSE(FILTER('ซื้อสินค้า'!H:H,'ซื้อสินค้า'!B:B=B636,'ซื้อสินค้า'!I:I&gt;0)),))"),"")</f>
        <v/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>
      <c r="A637" s="5"/>
      <c r="B637" s="6"/>
      <c r="C637" s="20">
        <f>IFERROR(VLOOKUP(B637,ชื่อสินค้า!A:C,3,FALSE),)</f>
        <v>0</v>
      </c>
      <c r="D637" s="8" t="str">
        <f>IFERROR(VLOOKUP(B637,ชื่อสินค้า!A:D,4,FALSE),"")</f>
        <v/>
      </c>
      <c r="E637" s="9"/>
      <c r="F637" s="21" t="str">
        <f t="shared" si="15"/>
        <v/>
      </c>
      <c r="G637" s="22"/>
      <c r="H637" s="8">
        <f>IFERROR(VLOOKUP(G637,ซื้อสินค้า!H:I,2,FALSE),)</f>
        <v>0</v>
      </c>
      <c r="I637" s="21">
        <f>IFERROR(VLOOKUP(G637,ซื้อสินค้า!H:J,3,FALSE),)</f>
        <v>0</v>
      </c>
      <c r="J637" s="21">
        <f t="shared" si="16"/>
        <v>0</v>
      </c>
      <c r="K637" s="21">
        <f t="shared" si="17"/>
        <v>0</v>
      </c>
      <c r="L637" s="12">
        <f t="shared" si="18"/>
        <v>0</v>
      </c>
      <c r="M637" s="21">
        <f t="shared" si="19"/>
        <v>0</v>
      </c>
      <c r="N637" s="9" t="str">
        <f ca="1">IFERROR(__xludf.DUMMYFUNCTION("IF(G637&lt;&gt;"""",G637, IFERROR(TRANSPOSE(FILTER('ซื้อสินค้า'!H:H,'ซื้อสินค้า'!B:B=B637,'ซื้อสินค้า'!I:I&gt;0)),))"),"")</f>
        <v/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>
      <c r="A638" s="5"/>
      <c r="B638" s="6"/>
      <c r="C638" s="20">
        <f>IFERROR(VLOOKUP(B638,ชื่อสินค้า!A:C,3,FALSE),)</f>
        <v>0</v>
      </c>
      <c r="D638" s="8" t="str">
        <f>IFERROR(VLOOKUP(B638,ชื่อสินค้า!A:D,4,FALSE),"")</f>
        <v/>
      </c>
      <c r="E638" s="9"/>
      <c r="F638" s="21" t="str">
        <f t="shared" si="15"/>
        <v/>
      </c>
      <c r="G638" s="22"/>
      <c r="H638" s="8">
        <f>IFERROR(VLOOKUP(G638,ซื้อสินค้า!H:I,2,FALSE),)</f>
        <v>0</v>
      </c>
      <c r="I638" s="21">
        <f>IFERROR(VLOOKUP(G638,ซื้อสินค้า!H:J,3,FALSE),)</f>
        <v>0</v>
      </c>
      <c r="J638" s="21">
        <f t="shared" si="16"/>
        <v>0</v>
      </c>
      <c r="K638" s="21">
        <f t="shared" si="17"/>
        <v>0</v>
      </c>
      <c r="L638" s="12">
        <f t="shared" si="18"/>
        <v>0</v>
      </c>
      <c r="M638" s="21">
        <f t="shared" si="19"/>
        <v>0</v>
      </c>
      <c r="N638" s="9" t="str">
        <f ca="1">IFERROR(__xludf.DUMMYFUNCTION("IF(G638&lt;&gt;"""",G638, IFERROR(TRANSPOSE(FILTER('ซื้อสินค้า'!H:H,'ซื้อสินค้า'!B:B=B638,'ซื้อสินค้า'!I:I&gt;0)),))"),"")</f>
        <v/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>
      <c r="A639" s="5"/>
      <c r="B639" s="6"/>
      <c r="C639" s="20">
        <f>IFERROR(VLOOKUP(B639,ชื่อสินค้า!A:C,3,FALSE),)</f>
        <v>0</v>
      </c>
      <c r="D639" s="8" t="str">
        <f>IFERROR(VLOOKUP(B639,ชื่อสินค้า!A:D,4,FALSE),"")</f>
        <v/>
      </c>
      <c r="E639" s="9"/>
      <c r="F639" s="21" t="str">
        <f t="shared" si="15"/>
        <v/>
      </c>
      <c r="G639" s="22"/>
      <c r="H639" s="8">
        <f>IFERROR(VLOOKUP(G639,ซื้อสินค้า!H:I,2,FALSE),)</f>
        <v>0</v>
      </c>
      <c r="I639" s="21">
        <f>IFERROR(VLOOKUP(G639,ซื้อสินค้า!H:J,3,FALSE),)</f>
        <v>0</v>
      </c>
      <c r="J639" s="21">
        <f t="shared" si="16"/>
        <v>0</v>
      </c>
      <c r="K639" s="21">
        <f t="shared" si="17"/>
        <v>0</v>
      </c>
      <c r="L639" s="12">
        <f t="shared" si="18"/>
        <v>0</v>
      </c>
      <c r="M639" s="21">
        <f t="shared" si="19"/>
        <v>0</v>
      </c>
      <c r="N639" s="9" t="str">
        <f ca="1">IFERROR(__xludf.DUMMYFUNCTION("IF(G639&lt;&gt;"""",G639, IFERROR(TRANSPOSE(FILTER('ซื้อสินค้า'!H:H,'ซื้อสินค้า'!B:B=B639,'ซื้อสินค้า'!I:I&gt;0)),))"),"")</f>
        <v/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>
      <c r="A640" s="5"/>
      <c r="B640" s="6"/>
      <c r="C640" s="20">
        <f>IFERROR(VLOOKUP(B640,ชื่อสินค้า!A:C,3,FALSE),)</f>
        <v>0</v>
      </c>
      <c r="D640" s="8" t="str">
        <f>IFERROR(VLOOKUP(B640,ชื่อสินค้า!A:D,4,FALSE),"")</f>
        <v/>
      </c>
      <c r="E640" s="9"/>
      <c r="F640" s="21" t="str">
        <f t="shared" si="15"/>
        <v/>
      </c>
      <c r="G640" s="22"/>
      <c r="H640" s="8">
        <f>IFERROR(VLOOKUP(G640,ซื้อสินค้า!H:I,2,FALSE),)</f>
        <v>0</v>
      </c>
      <c r="I640" s="21">
        <f>IFERROR(VLOOKUP(G640,ซื้อสินค้า!H:J,3,FALSE),)</f>
        <v>0</v>
      </c>
      <c r="J640" s="21">
        <f t="shared" si="16"/>
        <v>0</v>
      </c>
      <c r="K640" s="21">
        <f t="shared" si="17"/>
        <v>0</v>
      </c>
      <c r="L640" s="12">
        <f t="shared" si="18"/>
        <v>0</v>
      </c>
      <c r="M640" s="21">
        <f t="shared" si="19"/>
        <v>0</v>
      </c>
      <c r="N640" s="9" t="str">
        <f ca="1">IFERROR(__xludf.DUMMYFUNCTION("IF(G640&lt;&gt;"""",G640, IFERROR(TRANSPOSE(FILTER('ซื้อสินค้า'!H:H,'ซื้อสินค้า'!B:B=B640,'ซื้อสินค้า'!I:I&gt;0)),))"),"")</f>
        <v/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>
      <c r="A641" s="5"/>
      <c r="B641" s="6"/>
      <c r="C641" s="20">
        <f>IFERROR(VLOOKUP(B641,ชื่อสินค้า!A:C,3,FALSE),)</f>
        <v>0</v>
      </c>
      <c r="D641" s="8" t="str">
        <f>IFERROR(VLOOKUP(B641,ชื่อสินค้า!A:D,4,FALSE),"")</f>
        <v/>
      </c>
      <c r="E641" s="9"/>
      <c r="F641" s="21" t="str">
        <f t="shared" si="15"/>
        <v/>
      </c>
      <c r="G641" s="22"/>
      <c r="H641" s="8">
        <f>IFERROR(VLOOKUP(G641,ซื้อสินค้า!H:I,2,FALSE),)</f>
        <v>0</v>
      </c>
      <c r="I641" s="21">
        <f>IFERROR(VLOOKUP(G641,ซื้อสินค้า!H:J,3,FALSE),)</f>
        <v>0</v>
      </c>
      <c r="J641" s="21">
        <f t="shared" si="16"/>
        <v>0</v>
      </c>
      <c r="K641" s="21">
        <f t="shared" si="17"/>
        <v>0</v>
      </c>
      <c r="L641" s="12">
        <f t="shared" si="18"/>
        <v>0</v>
      </c>
      <c r="M641" s="21">
        <f t="shared" si="19"/>
        <v>0</v>
      </c>
      <c r="N641" s="9" t="str">
        <f ca="1">IFERROR(__xludf.DUMMYFUNCTION("IF(G641&lt;&gt;"""",G641, IFERROR(TRANSPOSE(FILTER('ซื้อสินค้า'!H:H,'ซื้อสินค้า'!B:B=B641,'ซื้อสินค้า'!I:I&gt;0)),))"),"")</f>
        <v/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>
      <c r="A642" s="5"/>
      <c r="B642" s="6"/>
      <c r="C642" s="20">
        <f>IFERROR(VLOOKUP(B642,ชื่อสินค้า!A:C,3,FALSE),)</f>
        <v>0</v>
      </c>
      <c r="D642" s="8" t="str">
        <f>IFERROR(VLOOKUP(B642,ชื่อสินค้า!A:D,4,FALSE),"")</f>
        <v/>
      </c>
      <c r="E642" s="9"/>
      <c r="F642" s="21" t="str">
        <f t="shared" si="15"/>
        <v/>
      </c>
      <c r="G642" s="22"/>
      <c r="H642" s="8">
        <f>IFERROR(VLOOKUP(G642,ซื้อสินค้า!H:I,2,FALSE),)</f>
        <v>0</v>
      </c>
      <c r="I642" s="21">
        <f>IFERROR(VLOOKUP(G642,ซื้อสินค้า!H:J,3,FALSE),)</f>
        <v>0</v>
      </c>
      <c r="J642" s="21">
        <f t="shared" si="16"/>
        <v>0</v>
      </c>
      <c r="K642" s="21">
        <f t="shared" si="17"/>
        <v>0</v>
      </c>
      <c r="L642" s="12">
        <f t="shared" si="18"/>
        <v>0</v>
      </c>
      <c r="M642" s="21">
        <f t="shared" si="19"/>
        <v>0</v>
      </c>
      <c r="N642" s="9" t="str">
        <f ca="1">IFERROR(__xludf.DUMMYFUNCTION("IF(G642&lt;&gt;"""",G642, IFERROR(TRANSPOSE(FILTER('ซื้อสินค้า'!H:H,'ซื้อสินค้า'!B:B=B642,'ซื้อสินค้า'!I:I&gt;0)),))"),"")</f>
        <v/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>
      <c r="A643" s="5"/>
      <c r="B643" s="6"/>
      <c r="C643" s="20">
        <f>IFERROR(VLOOKUP(B643,ชื่อสินค้า!A:C,3,FALSE),)</f>
        <v>0</v>
      </c>
      <c r="D643" s="8" t="str">
        <f>IFERROR(VLOOKUP(B643,ชื่อสินค้า!A:D,4,FALSE),"")</f>
        <v/>
      </c>
      <c r="E643" s="9"/>
      <c r="F643" s="21" t="str">
        <f t="shared" si="15"/>
        <v/>
      </c>
      <c r="G643" s="22"/>
      <c r="H643" s="8">
        <f>IFERROR(VLOOKUP(G643,ซื้อสินค้า!H:I,2,FALSE),)</f>
        <v>0</v>
      </c>
      <c r="I643" s="21">
        <f>IFERROR(VLOOKUP(G643,ซื้อสินค้า!H:J,3,FALSE),)</f>
        <v>0</v>
      </c>
      <c r="J643" s="21">
        <f t="shared" si="16"/>
        <v>0</v>
      </c>
      <c r="K643" s="21">
        <f t="shared" si="17"/>
        <v>0</v>
      </c>
      <c r="L643" s="12">
        <f t="shared" si="18"/>
        <v>0</v>
      </c>
      <c r="M643" s="21">
        <f t="shared" si="19"/>
        <v>0</v>
      </c>
      <c r="N643" s="9" t="str">
        <f ca="1">IFERROR(__xludf.DUMMYFUNCTION("IF(G643&lt;&gt;"""",G643, IFERROR(TRANSPOSE(FILTER('ซื้อสินค้า'!H:H,'ซื้อสินค้า'!B:B=B643,'ซื้อสินค้า'!I:I&gt;0)),))"),"")</f>
        <v/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>
      <c r="A644" s="5"/>
      <c r="B644" s="6"/>
      <c r="C644" s="20">
        <f>IFERROR(VLOOKUP(B644,ชื่อสินค้า!A:C,3,FALSE),)</f>
        <v>0</v>
      </c>
      <c r="D644" s="8" t="str">
        <f>IFERROR(VLOOKUP(B644,ชื่อสินค้า!A:D,4,FALSE),"")</f>
        <v/>
      </c>
      <c r="E644" s="9"/>
      <c r="F644" s="21" t="str">
        <f t="shared" si="15"/>
        <v/>
      </c>
      <c r="G644" s="22"/>
      <c r="H644" s="8">
        <f>IFERROR(VLOOKUP(G644,ซื้อสินค้า!H:I,2,FALSE),)</f>
        <v>0</v>
      </c>
      <c r="I644" s="21">
        <f>IFERROR(VLOOKUP(G644,ซื้อสินค้า!H:J,3,FALSE),)</f>
        <v>0</v>
      </c>
      <c r="J644" s="21">
        <f t="shared" si="16"/>
        <v>0</v>
      </c>
      <c r="K644" s="21">
        <f t="shared" si="17"/>
        <v>0</v>
      </c>
      <c r="L644" s="12">
        <f t="shared" si="18"/>
        <v>0</v>
      </c>
      <c r="M644" s="21">
        <f t="shared" si="19"/>
        <v>0</v>
      </c>
      <c r="N644" s="9" t="str">
        <f ca="1">IFERROR(__xludf.DUMMYFUNCTION("IF(G644&lt;&gt;"""",G644, IFERROR(TRANSPOSE(FILTER('ซื้อสินค้า'!H:H,'ซื้อสินค้า'!B:B=B644,'ซื้อสินค้า'!I:I&gt;0)),))"),"")</f>
        <v/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>
      <c r="A645" s="5"/>
      <c r="B645" s="6"/>
      <c r="C645" s="20">
        <f>IFERROR(VLOOKUP(B645,ชื่อสินค้า!A:C,3,FALSE),)</f>
        <v>0</v>
      </c>
      <c r="D645" s="8" t="str">
        <f>IFERROR(VLOOKUP(B645,ชื่อสินค้า!A:D,4,FALSE),"")</f>
        <v/>
      </c>
      <c r="E645" s="9"/>
      <c r="F645" s="21" t="str">
        <f t="shared" si="15"/>
        <v/>
      </c>
      <c r="G645" s="22"/>
      <c r="H645" s="8">
        <f>IFERROR(VLOOKUP(G645,ซื้อสินค้า!H:I,2,FALSE),)</f>
        <v>0</v>
      </c>
      <c r="I645" s="21">
        <f>IFERROR(VLOOKUP(G645,ซื้อสินค้า!H:J,3,FALSE),)</f>
        <v>0</v>
      </c>
      <c r="J645" s="21">
        <f t="shared" si="16"/>
        <v>0</v>
      </c>
      <c r="K645" s="21">
        <f t="shared" si="17"/>
        <v>0</v>
      </c>
      <c r="L645" s="12">
        <f t="shared" si="18"/>
        <v>0</v>
      </c>
      <c r="M645" s="21">
        <f t="shared" si="19"/>
        <v>0</v>
      </c>
      <c r="N645" s="9" t="str">
        <f ca="1">IFERROR(__xludf.DUMMYFUNCTION("IF(G645&lt;&gt;"""",G645, IFERROR(TRANSPOSE(FILTER('ซื้อสินค้า'!H:H,'ซื้อสินค้า'!B:B=B645,'ซื้อสินค้า'!I:I&gt;0)),))"),"")</f>
        <v/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>
      <c r="A646" s="5"/>
      <c r="B646" s="6"/>
      <c r="C646" s="20">
        <f>IFERROR(VLOOKUP(B646,ชื่อสินค้า!A:C,3,FALSE),)</f>
        <v>0</v>
      </c>
      <c r="D646" s="8" t="str">
        <f>IFERROR(VLOOKUP(B646,ชื่อสินค้า!A:D,4,FALSE),"")</f>
        <v/>
      </c>
      <c r="E646" s="9"/>
      <c r="F646" s="21" t="str">
        <f t="shared" si="15"/>
        <v/>
      </c>
      <c r="G646" s="22"/>
      <c r="H646" s="8">
        <f>IFERROR(VLOOKUP(G646,ซื้อสินค้า!H:I,2,FALSE),)</f>
        <v>0</v>
      </c>
      <c r="I646" s="21">
        <f>IFERROR(VLOOKUP(G646,ซื้อสินค้า!H:J,3,FALSE),)</f>
        <v>0</v>
      </c>
      <c r="J646" s="21">
        <f t="shared" si="16"/>
        <v>0</v>
      </c>
      <c r="K646" s="21">
        <f t="shared" si="17"/>
        <v>0</v>
      </c>
      <c r="L646" s="12">
        <f t="shared" si="18"/>
        <v>0</v>
      </c>
      <c r="M646" s="21">
        <f t="shared" si="19"/>
        <v>0</v>
      </c>
      <c r="N646" s="9" t="str">
        <f ca="1">IFERROR(__xludf.DUMMYFUNCTION("IF(G646&lt;&gt;"""",G646, IFERROR(TRANSPOSE(FILTER('ซื้อสินค้า'!H:H,'ซื้อสินค้า'!B:B=B646,'ซื้อสินค้า'!I:I&gt;0)),))"),"")</f>
        <v/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>
      <c r="A647" s="5"/>
      <c r="B647" s="6"/>
      <c r="C647" s="20">
        <f>IFERROR(VLOOKUP(B647,ชื่อสินค้า!A:C,3,FALSE),)</f>
        <v>0</v>
      </c>
      <c r="D647" s="8" t="str">
        <f>IFERROR(VLOOKUP(B647,ชื่อสินค้า!A:D,4,FALSE),"")</f>
        <v/>
      </c>
      <c r="E647" s="9"/>
      <c r="F647" s="21" t="str">
        <f t="shared" si="15"/>
        <v/>
      </c>
      <c r="G647" s="22"/>
      <c r="H647" s="8">
        <f>IFERROR(VLOOKUP(G647,ซื้อสินค้า!H:I,2,FALSE),)</f>
        <v>0</v>
      </c>
      <c r="I647" s="21">
        <f>IFERROR(VLOOKUP(G647,ซื้อสินค้า!H:J,3,FALSE),)</f>
        <v>0</v>
      </c>
      <c r="J647" s="21">
        <f t="shared" si="16"/>
        <v>0</v>
      </c>
      <c r="K647" s="21">
        <f t="shared" si="17"/>
        <v>0</v>
      </c>
      <c r="L647" s="12">
        <f t="shared" si="18"/>
        <v>0</v>
      </c>
      <c r="M647" s="21">
        <f t="shared" si="19"/>
        <v>0</v>
      </c>
      <c r="N647" s="9" t="str">
        <f ca="1">IFERROR(__xludf.DUMMYFUNCTION("IF(G647&lt;&gt;"""",G647, IFERROR(TRANSPOSE(FILTER('ซื้อสินค้า'!H:H,'ซื้อสินค้า'!B:B=B647,'ซื้อสินค้า'!I:I&gt;0)),))"),"")</f>
        <v/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>
      <c r="A648" s="5"/>
      <c r="B648" s="6"/>
      <c r="C648" s="20">
        <f>IFERROR(VLOOKUP(B648,ชื่อสินค้า!A:C,3,FALSE),)</f>
        <v>0</v>
      </c>
      <c r="D648" s="8" t="str">
        <f>IFERROR(VLOOKUP(B648,ชื่อสินค้า!A:D,4,FALSE),"")</f>
        <v/>
      </c>
      <c r="E648" s="9"/>
      <c r="F648" s="21" t="str">
        <f t="shared" si="15"/>
        <v/>
      </c>
      <c r="G648" s="22"/>
      <c r="H648" s="8">
        <f>IFERROR(VLOOKUP(G648,ซื้อสินค้า!H:I,2,FALSE),)</f>
        <v>0</v>
      </c>
      <c r="I648" s="21">
        <f>IFERROR(VLOOKUP(G648,ซื้อสินค้า!H:J,3,FALSE),)</f>
        <v>0</v>
      </c>
      <c r="J648" s="21">
        <f t="shared" si="16"/>
        <v>0</v>
      </c>
      <c r="K648" s="21">
        <f t="shared" si="17"/>
        <v>0</v>
      </c>
      <c r="L648" s="12">
        <f t="shared" si="18"/>
        <v>0</v>
      </c>
      <c r="M648" s="21">
        <f t="shared" si="19"/>
        <v>0</v>
      </c>
      <c r="N648" s="9" t="str">
        <f ca="1">IFERROR(__xludf.DUMMYFUNCTION("IF(G648&lt;&gt;"""",G648, IFERROR(TRANSPOSE(FILTER('ซื้อสินค้า'!H:H,'ซื้อสินค้า'!B:B=B648,'ซื้อสินค้า'!I:I&gt;0)),))"),"")</f>
        <v/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>
      <c r="A649" s="5"/>
      <c r="B649" s="6"/>
      <c r="C649" s="20">
        <f>IFERROR(VLOOKUP(B649,ชื่อสินค้า!A:C,3,FALSE),)</f>
        <v>0</v>
      </c>
      <c r="D649" s="8" t="str">
        <f>IFERROR(VLOOKUP(B649,ชื่อสินค้า!A:D,4,FALSE),"")</f>
        <v/>
      </c>
      <c r="E649" s="9"/>
      <c r="F649" s="21" t="str">
        <f t="shared" si="15"/>
        <v/>
      </c>
      <c r="G649" s="22"/>
      <c r="H649" s="8">
        <f>IFERROR(VLOOKUP(G649,ซื้อสินค้า!H:I,2,FALSE),)</f>
        <v>0</v>
      </c>
      <c r="I649" s="21">
        <f>IFERROR(VLOOKUP(G649,ซื้อสินค้า!H:J,3,FALSE),)</f>
        <v>0</v>
      </c>
      <c r="J649" s="21">
        <f t="shared" si="16"/>
        <v>0</v>
      </c>
      <c r="K649" s="21">
        <f t="shared" si="17"/>
        <v>0</v>
      </c>
      <c r="L649" s="12">
        <f t="shared" si="18"/>
        <v>0</v>
      </c>
      <c r="M649" s="21">
        <f t="shared" si="19"/>
        <v>0</v>
      </c>
      <c r="N649" s="9" t="str">
        <f ca="1">IFERROR(__xludf.DUMMYFUNCTION("IF(G649&lt;&gt;"""",G649, IFERROR(TRANSPOSE(FILTER('ซื้อสินค้า'!H:H,'ซื้อสินค้า'!B:B=B649,'ซื้อสินค้า'!I:I&gt;0)),))"),"")</f>
        <v/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>
      <c r="A650" s="5"/>
      <c r="B650" s="6"/>
      <c r="C650" s="20">
        <f>IFERROR(VLOOKUP(B650,ชื่อสินค้า!A:C,3,FALSE),)</f>
        <v>0</v>
      </c>
      <c r="D650" s="8" t="str">
        <f>IFERROR(VLOOKUP(B650,ชื่อสินค้า!A:D,4,FALSE),"")</f>
        <v/>
      </c>
      <c r="E650" s="9"/>
      <c r="F650" s="21" t="str">
        <f t="shared" si="15"/>
        <v/>
      </c>
      <c r="G650" s="22"/>
      <c r="H650" s="8">
        <f>IFERROR(VLOOKUP(G650,ซื้อสินค้า!H:I,2,FALSE),)</f>
        <v>0</v>
      </c>
      <c r="I650" s="21">
        <f>IFERROR(VLOOKUP(G650,ซื้อสินค้า!H:J,3,FALSE),)</f>
        <v>0</v>
      </c>
      <c r="J650" s="21">
        <f t="shared" si="16"/>
        <v>0</v>
      </c>
      <c r="K650" s="21">
        <f t="shared" si="17"/>
        <v>0</v>
      </c>
      <c r="L650" s="12">
        <f t="shared" si="18"/>
        <v>0</v>
      </c>
      <c r="M650" s="21">
        <f t="shared" si="19"/>
        <v>0</v>
      </c>
      <c r="N650" s="9" t="str">
        <f ca="1">IFERROR(__xludf.DUMMYFUNCTION("IF(G650&lt;&gt;"""",G650, IFERROR(TRANSPOSE(FILTER('ซื้อสินค้า'!H:H,'ซื้อสินค้า'!B:B=B650,'ซื้อสินค้า'!I:I&gt;0)),))"),"")</f>
        <v/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>
      <c r="A651" s="5"/>
      <c r="B651" s="6"/>
      <c r="C651" s="20">
        <f>IFERROR(VLOOKUP(B651,ชื่อสินค้า!A:C,3,FALSE),)</f>
        <v>0</v>
      </c>
      <c r="D651" s="8" t="str">
        <f>IFERROR(VLOOKUP(B651,ชื่อสินค้า!A:D,4,FALSE),"")</f>
        <v/>
      </c>
      <c r="E651" s="9"/>
      <c r="F651" s="21" t="str">
        <f t="shared" si="15"/>
        <v/>
      </c>
      <c r="G651" s="22"/>
      <c r="H651" s="8">
        <f>IFERROR(VLOOKUP(G651,ซื้อสินค้า!H:I,2,FALSE),)</f>
        <v>0</v>
      </c>
      <c r="I651" s="21">
        <f>IFERROR(VLOOKUP(G651,ซื้อสินค้า!H:J,3,FALSE),)</f>
        <v>0</v>
      </c>
      <c r="J651" s="21">
        <f t="shared" si="16"/>
        <v>0</v>
      </c>
      <c r="K651" s="21">
        <f t="shared" si="17"/>
        <v>0</v>
      </c>
      <c r="L651" s="12">
        <f t="shared" si="18"/>
        <v>0</v>
      </c>
      <c r="M651" s="21">
        <f t="shared" si="19"/>
        <v>0</v>
      </c>
      <c r="N651" s="9" t="str">
        <f ca="1">IFERROR(__xludf.DUMMYFUNCTION("IF(G651&lt;&gt;"""",G651, IFERROR(TRANSPOSE(FILTER('ซื้อสินค้า'!H:H,'ซื้อสินค้า'!B:B=B651,'ซื้อสินค้า'!I:I&gt;0)),))"),"")</f>
        <v/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>
      <c r="A652" s="5"/>
      <c r="B652" s="6"/>
      <c r="C652" s="20">
        <f>IFERROR(VLOOKUP(B652,ชื่อสินค้า!A:C,3,FALSE),)</f>
        <v>0</v>
      </c>
      <c r="D652" s="8" t="str">
        <f>IFERROR(VLOOKUP(B652,ชื่อสินค้า!A:D,4,FALSE),"")</f>
        <v/>
      </c>
      <c r="E652" s="9"/>
      <c r="F652" s="21" t="str">
        <f t="shared" si="15"/>
        <v/>
      </c>
      <c r="G652" s="22"/>
      <c r="H652" s="8">
        <f>IFERROR(VLOOKUP(G652,ซื้อสินค้า!H:I,2,FALSE),)</f>
        <v>0</v>
      </c>
      <c r="I652" s="21">
        <f>IFERROR(VLOOKUP(G652,ซื้อสินค้า!H:J,3,FALSE),)</f>
        <v>0</v>
      </c>
      <c r="J652" s="21">
        <f t="shared" si="16"/>
        <v>0</v>
      </c>
      <c r="K652" s="21">
        <f t="shared" si="17"/>
        <v>0</v>
      </c>
      <c r="L652" s="12">
        <f t="shared" si="18"/>
        <v>0</v>
      </c>
      <c r="M652" s="21">
        <f t="shared" si="19"/>
        <v>0</v>
      </c>
      <c r="N652" s="9" t="str">
        <f ca="1">IFERROR(__xludf.DUMMYFUNCTION("IF(G652&lt;&gt;"""",G652, IFERROR(TRANSPOSE(FILTER('ซื้อสินค้า'!H:H,'ซื้อสินค้า'!B:B=B652,'ซื้อสินค้า'!I:I&gt;0)),))"),"")</f>
        <v/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>
      <c r="A653" s="5"/>
      <c r="B653" s="6"/>
      <c r="C653" s="20">
        <f>IFERROR(VLOOKUP(B653,ชื่อสินค้า!A:C,3,FALSE),)</f>
        <v>0</v>
      </c>
      <c r="D653" s="8" t="str">
        <f>IFERROR(VLOOKUP(B653,ชื่อสินค้า!A:D,4,FALSE),"")</f>
        <v/>
      </c>
      <c r="E653" s="9"/>
      <c r="F653" s="21" t="str">
        <f t="shared" si="15"/>
        <v/>
      </c>
      <c r="G653" s="22"/>
      <c r="H653" s="8">
        <f>IFERROR(VLOOKUP(G653,ซื้อสินค้า!H:I,2,FALSE),)</f>
        <v>0</v>
      </c>
      <c r="I653" s="21">
        <f>IFERROR(VLOOKUP(G653,ซื้อสินค้า!H:J,3,FALSE),)</f>
        <v>0</v>
      </c>
      <c r="J653" s="21">
        <f t="shared" si="16"/>
        <v>0</v>
      </c>
      <c r="K653" s="21">
        <f t="shared" si="17"/>
        <v>0</v>
      </c>
      <c r="L653" s="12">
        <f t="shared" si="18"/>
        <v>0</v>
      </c>
      <c r="M653" s="21">
        <f t="shared" si="19"/>
        <v>0</v>
      </c>
      <c r="N653" s="9" t="str">
        <f ca="1">IFERROR(__xludf.DUMMYFUNCTION("IF(G653&lt;&gt;"""",G653, IFERROR(TRANSPOSE(FILTER('ซื้อสินค้า'!H:H,'ซื้อสินค้า'!B:B=B653,'ซื้อสินค้า'!I:I&gt;0)),))"),"")</f>
        <v/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>
      <c r="A654" s="5"/>
      <c r="B654" s="6"/>
      <c r="C654" s="20">
        <f>IFERROR(VLOOKUP(B654,ชื่อสินค้า!A:C,3,FALSE),)</f>
        <v>0</v>
      </c>
      <c r="D654" s="8" t="str">
        <f>IFERROR(VLOOKUP(B654,ชื่อสินค้า!A:D,4,FALSE),"")</f>
        <v/>
      </c>
      <c r="E654" s="9"/>
      <c r="F654" s="21" t="str">
        <f t="shared" si="15"/>
        <v/>
      </c>
      <c r="G654" s="22"/>
      <c r="H654" s="8">
        <f>IFERROR(VLOOKUP(G654,ซื้อสินค้า!H:I,2,FALSE),)</f>
        <v>0</v>
      </c>
      <c r="I654" s="21">
        <f>IFERROR(VLOOKUP(G654,ซื้อสินค้า!H:J,3,FALSE),)</f>
        <v>0</v>
      </c>
      <c r="J654" s="21">
        <f t="shared" si="16"/>
        <v>0</v>
      </c>
      <c r="K654" s="21">
        <f t="shared" si="17"/>
        <v>0</v>
      </c>
      <c r="L654" s="12">
        <f t="shared" si="18"/>
        <v>0</v>
      </c>
      <c r="M654" s="21">
        <f t="shared" si="19"/>
        <v>0</v>
      </c>
      <c r="N654" s="9" t="str">
        <f ca="1">IFERROR(__xludf.DUMMYFUNCTION("IF(G654&lt;&gt;"""",G654, IFERROR(TRANSPOSE(FILTER('ซื้อสินค้า'!H:H,'ซื้อสินค้า'!B:B=B654,'ซื้อสินค้า'!I:I&gt;0)),))"),"")</f>
        <v/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>
      <c r="A655" s="5"/>
      <c r="B655" s="6"/>
      <c r="C655" s="20">
        <f>IFERROR(VLOOKUP(B655,ชื่อสินค้า!A:C,3,FALSE),)</f>
        <v>0</v>
      </c>
      <c r="D655" s="8" t="str">
        <f>IFERROR(VLOOKUP(B655,ชื่อสินค้า!A:D,4,FALSE),"")</f>
        <v/>
      </c>
      <c r="E655" s="9"/>
      <c r="F655" s="21" t="str">
        <f t="shared" si="15"/>
        <v/>
      </c>
      <c r="G655" s="22"/>
      <c r="H655" s="8">
        <f>IFERROR(VLOOKUP(G655,ซื้อสินค้า!H:I,2,FALSE),)</f>
        <v>0</v>
      </c>
      <c r="I655" s="21">
        <f>IFERROR(VLOOKUP(G655,ซื้อสินค้า!H:J,3,FALSE),)</f>
        <v>0</v>
      </c>
      <c r="J655" s="21">
        <f t="shared" si="16"/>
        <v>0</v>
      </c>
      <c r="K655" s="21">
        <f t="shared" si="17"/>
        <v>0</v>
      </c>
      <c r="L655" s="12">
        <f t="shared" si="18"/>
        <v>0</v>
      </c>
      <c r="M655" s="21">
        <f t="shared" si="19"/>
        <v>0</v>
      </c>
      <c r="N655" s="9" t="str">
        <f ca="1">IFERROR(__xludf.DUMMYFUNCTION("IF(G655&lt;&gt;"""",G655, IFERROR(TRANSPOSE(FILTER('ซื้อสินค้า'!H:H,'ซื้อสินค้า'!B:B=B655,'ซื้อสินค้า'!I:I&gt;0)),))"),"")</f>
        <v/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>
      <c r="A656" s="5"/>
      <c r="B656" s="6"/>
      <c r="C656" s="20">
        <f>IFERROR(VLOOKUP(B656,ชื่อสินค้า!A:C,3,FALSE),)</f>
        <v>0</v>
      </c>
      <c r="D656" s="8" t="str">
        <f>IFERROR(VLOOKUP(B656,ชื่อสินค้า!A:D,4,FALSE),"")</f>
        <v/>
      </c>
      <c r="E656" s="9"/>
      <c r="F656" s="21" t="str">
        <f t="shared" si="15"/>
        <v/>
      </c>
      <c r="G656" s="22"/>
      <c r="H656" s="8">
        <f>IFERROR(VLOOKUP(G656,ซื้อสินค้า!H:I,2,FALSE),)</f>
        <v>0</v>
      </c>
      <c r="I656" s="21">
        <f>IFERROR(VLOOKUP(G656,ซื้อสินค้า!H:J,3,FALSE),)</f>
        <v>0</v>
      </c>
      <c r="J656" s="21">
        <f t="shared" si="16"/>
        <v>0</v>
      </c>
      <c r="K656" s="21">
        <f t="shared" si="17"/>
        <v>0</v>
      </c>
      <c r="L656" s="12">
        <f t="shared" si="18"/>
        <v>0</v>
      </c>
      <c r="M656" s="21">
        <f t="shared" si="19"/>
        <v>0</v>
      </c>
      <c r="N656" s="9" t="str">
        <f ca="1">IFERROR(__xludf.DUMMYFUNCTION("IF(G656&lt;&gt;"""",G656, IFERROR(TRANSPOSE(FILTER('ซื้อสินค้า'!H:H,'ซื้อสินค้า'!B:B=B656,'ซื้อสินค้า'!I:I&gt;0)),))"),"")</f>
        <v/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>
      <c r="A657" s="5"/>
      <c r="B657" s="6"/>
      <c r="C657" s="20">
        <f>IFERROR(VLOOKUP(B657,ชื่อสินค้า!A:C,3,FALSE),)</f>
        <v>0</v>
      </c>
      <c r="D657" s="8" t="str">
        <f>IFERROR(VLOOKUP(B657,ชื่อสินค้า!A:D,4,FALSE),"")</f>
        <v/>
      </c>
      <c r="E657" s="9"/>
      <c r="F657" s="21" t="str">
        <f t="shared" si="15"/>
        <v/>
      </c>
      <c r="G657" s="22"/>
      <c r="H657" s="8">
        <f>IFERROR(VLOOKUP(G657,ซื้อสินค้า!H:I,2,FALSE),)</f>
        <v>0</v>
      </c>
      <c r="I657" s="21">
        <f>IFERROR(VLOOKUP(G657,ซื้อสินค้า!H:J,3,FALSE),)</f>
        <v>0</v>
      </c>
      <c r="J657" s="21">
        <f t="shared" si="16"/>
        <v>0</v>
      </c>
      <c r="K657" s="21">
        <f t="shared" si="17"/>
        <v>0</v>
      </c>
      <c r="L657" s="12">
        <f t="shared" si="18"/>
        <v>0</v>
      </c>
      <c r="M657" s="21">
        <f t="shared" si="19"/>
        <v>0</v>
      </c>
      <c r="N657" s="9" t="str">
        <f ca="1">IFERROR(__xludf.DUMMYFUNCTION("IF(G657&lt;&gt;"""",G657, IFERROR(TRANSPOSE(FILTER('ซื้อสินค้า'!H:H,'ซื้อสินค้า'!B:B=B657,'ซื้อสินค้า'!I:I&gt;0)),))"),"")</f>
        <v/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>
      <c r="A658" s="5"/>
      <c r="B658" s="6"/>
      <c r="C658" s="20">
        <f>IFERROR(VLOOKUP(B658,ชื่อสินค้า!A:C,3,FALSE),)</f>
        <v>0</v>
      </c>
      <c r="D658" s="8" t="str">
        <f>IFERROR(VLOOKUP(B658,ชื่อสินค้า!A:D,4,FALSE),"")</f>
        <v/>
      </c>
      <c r="E658" s="9"/>
      <c r="F658" s="21" t="str">
        <f t="shared" si="15"/>
        <v/>
      </c>
      <c r="G658" s="22"/>
      <c r="H658" s="8">
        <f>IFERROR(VLOOKUP(G658,ซื้อสินค้า!H:I,2,FALSE),)</f>
        <v>0</v>
      </c>
      <c r="I658" s="21">
        <f>IFERROR(VLOOKUP(G658,ซื้อสินค้า!H:J,3,FALSE),)</f>
        <v>0</v>
      </c>
      <c r="J658" s="21">
        <f t="shared" si="16"/>
        <v>0</v>
      </c>
      <c r="K658" s="21">
        <f t="shared" si="17"/>
        <v>0</v>
      </c>
      <c r="L658" s="12">
        <f t="shared" si="18"/>
        <v>0</v>
      </c>
      <c r="M658" s="21">
        <f t="shared" si="19"/>
        <v>0</v>
      </c>
      <c r="N658" s="9" t="str">
        <f ca="1">IFERROR(__xludf.DUMMYFUNCTION("IF(G658&lt;&gt;"""",G658, IFERROR(TRANSPOSE(FILTER('ซื้อสินค้า'!H:H,'ซื้อสินค้า'!B:B=B658,'ซื้อสินค้า'!I:I&gt;0)),))"),"")</f>
        <v/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>
      <c r="A659" s="5"/>
      <c r="B659" s="6"/>
      <c r="C659" s="20">
        <f>IFERROR(VLOOKUP(B659,ชื่อสินค้า!A:C,3,FALSE),)</f>
        <v>0</v>
      </c>
      <c r="D659" s="8" t="str">
        <f>IFERROR(VLOOKUP(B659,ชื่อสินค้า!A:D,4,FALSE),"")</f>
        <v/>
      </c>
      <c r="E659" s="9"/>
      <c r="F659" s="21" t="str">
        <f t="shared" si="15"/>
        <v/>
      </c>
      <c r="G659" s="22"/>
      <c r="H659" s="8">
        <f>IFERROR(VLOOKUP(G659,ซื้อสินค้า!H:I,2,FALSE),)</f>
        <v>0</v>
      </c>
      <c r="I659" s="21">
        <f>IFERROR(VLOOKUP(G659,ซื้อสินค้า!H:J,3,FALSE),)</f>
        <v>0</v>
      </c>
      <c r="J659" s="21">
        <f t="shared" si="16"/>
        <v>0</v>
      </c>
      <c r="K659" s="21">
        <f t="shared" si="17"/>
        <v>0</v>
      </c>
      <c r="L659" s="12">
        <f t="shared" si="18"/>
        <v>0</v>
      </c>
      <c r="M659" s="21">
        <f t="shared" si="19"/>
        <v>0</v>
      </c>
      <c r="N659" s="9" t="str">
        <f ca="1">IFERROR(__xludf.DUMMYFUNCTION("IF(G659&lt;&gt;"""",G659, IFERROR(TRANSPOSE(FILTER('ซื้อสินค้า'!H:H,'ซื้อสินค้า'!B:B=B659,'ซื้อสินค้า'!I:I&gt;0)),))"),"")</f>
        <v/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>
      <c r="A660" s="5"/>
      <c r="B660" s="6"/>
      <c r="C660" s="20">
        <f>IFERROR(VLOOKUP(B660,ชื่อสินค้า!A:C,3,FALSE),)</f>
        <v>0</v>
      </c>
      <c r="D660" s="8" t="str">
        <f>IFERROR(VLOOKUP(B660,ชื่อสินค้า!A:D,4,FALSE),"")</f>
        <v/>
      </c>
      <c r="E660" s="9"/>
      <c r="F660" s="21" t="str">
        <f t="shared" si="15"/>
        <v/>
      </c>
      <c r="G660" s="22"/>
      <c r="H660" s="8">
        <f>IFERROR(VLOOKUP(G660,ซื้อสินค้า!H:I,2,FALSE),)</f>
        <v>0</v>
      </c>
      <c r="I660" s="21">
        <f>IFERROR(VLOOKUP(G660,ซื้อสินค้า!H:J,3,FALSE),)</f>
        <v>0</v>
      </c>
      <c r="J660" s="21">
        <f t="shared" si="16"/>
        <v>0</v>
      </c>
      <c r="K660" s="21">
        <f t="shared" si="17"/>
        <v>0</v>
      </c>
      <c r="L660" s="12">
        <f t="shared" si="18"/>
        <v>0</v>
      </c>
      <c r="M660" s="21">
        <f t="shared" si="19"/>
        <v>0</v>
      </c>
      <c r="N660" s="9" t="str">
        <f ca="1">IFERROR(__xludf.DUMMYFUNCTION("IF(G660&lt;&gt;"""",G660, IFERROR(TRANSPOSE(FILTER('ซื้อสินค้า'!H:H,'ซื้อสินค้า'!B:B=B660,'ซื้อสินค้า'!I:I&gt;0)),))"),"")</f>
        <v/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>
      <c r="A661" s="5"/>
      <c r="B661" s="6"/>
      <c r="C661" s="20">
        <f>IFERROR(VLOOKUP(B661,ชื่อสินค้า!A:C,3,FALSE),)</f>
        <v>0</v>
      </c>
      <c r="D661" s="8" t="str">
        <f>IFERROR(VLOOKUP(B661,ชื่อสินค้า!A:D,4,FALSE),"")</f>
        <v/>
      </c>
      <c r="E661" s="9"/>
      <c r="F661" s="21" t="str">
        <f t="shared" si="15"/>
        <v/>
      </c>
      <c r="G661" s="22"/>
      <c r="H661" s="8">
        <f>IFERROR(VLOOKUP(G661,ซื้อสินค้า!H:I,2,FALSE),)</f>
        <v>0</v>
      </c>
      <c r="I661" s="21">
        <f>IFERROR(VLOOKUP(G661,ซื้อสินค้า!H:J,3,FALSE),)</f>
        <v>0</v>
      </c>
      <c r="J661" s="21">
        <f t="shared" si="16"/>
        <v>0</v>
      </c>
      <c r="K661" s="21">
        <f t="shared" si="17"/>
        <v>0</v>
      </c>
      <c r="L661" s="12">
        <f t="shared" si="18"/>
        <v>0</v>
      </c>
      <c r="M661" s="21">
        <f t="shared" si="19"/>
        <v>0</v>
      </c>
      <c r="N661" s="9" t="str">
        <f ca="1">IFERROR(__xludf.DUMMYFUNCTION("IF(G661&lt;&gt;"""",G661, IFERROR(TRANSPOSE(FILTER('ซื้อสินค้า'!H:H,'ซื้อสินค้า'!B:B=B661,'ซื้อสินค้า'!I:I&gt;0)),))"),"")</f>
        <v/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>
      <c r="A662" s="5"/>
      <c r="B662" s="6"/>
      <c r="C662" s="20">
        <f>IFERROR(VLOOKUP(B662,ชื่อสินค้า!A:C,3,FALSE),)</f>
        <v>0</v>
      </c>
      <c r="D662" s="8" t="str">
        <f>IFERROR(VLOOKUP(B662,ชื่อสินค้า!A:D,4,FALSE),"")</f>
        <v/>
      </c>
      <c r="E662" s="9"/>
      <c r="F662" s="21" t="str">
        <f t="shared" si="15"/>
        <v/>
      </c>
      <c r="G662" s="22"/>
      <c r="H662" s="8">
        <f>IFERROR(VLOOKUP(G662,ซื้อสินค้า!H:I,2,FALSE),)</f>
        <v>0</v>
      </c>
      <c r="I662" s="21">
        <f>IFERROR(VLOOKUP(G662,ซื้อสินค้า!H:J,3,FALSE),)</f>
        <v>0</v>
      </c>
      <c r="J662" s="21">
        <f t="shared" si="16"/>
        <v>0</v>
      </c>
      <c r="K662" s="21">
        <f t="shared" si="17"/>
        <v>0</v>
      </c>
      <c r="L662" s="12">
        <f t="shared" si="18"/>
        <v>0</v>
      </c>
      <c r="M662" s="21">
        <f t="shared" si="19"/>
        <v>0</v>
      </c>
      <c r="N662" s="9" t="str">
        <f ca="1">IFERROR(__xludf.DUMMYFUNCTION("IF(G662&lt;&gt;"""",G662, IFERROR(TRANSPOSE(FILTER('ซื้อสินค้า'!H:H,'ซื้อสินค้า'!B:B=B662,'ซื้อสินค้า'!I:I&gt;0)),))"),"")</f>
        <v/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>
      <c r="A663" s="5"/>
      <c r="B663" s="6"/>
      <c r="C663" s="20">
        <f>IFERROR(VLOOKUP(B663,ชื่อสินค้า!A:C,3,FALSE),)</f>
        <v>0</v>
      </c>
      <c r="D663" s="8" t="str">
        <f>IFERROR(VLOOKUP(B663,ชื่อสินค้า!A:D,4,FALSE),"")</f>
        <v/>
      </c>
      <c r="E663" s="9"/>
      <c r="F663" s="21" t="str">
        <f t="shared" si="15"/>
        <v/>
      </c>
      <c r="G663" s="22"/>
      <c r="H663" s="8">
        <f>IFERROR(VLOOKUP(G663,ซื้อสินค้า!H:I,2,FALSE),)</f>
        <v>0</v>
      </c>
      <c r="I663" s="21">
        <f>IFERROR(VLOOKUP(G663,ซื้อสินค้า!H:J,3,FALSE),)</f>
        <v>0</v>
      </c>
      <c r="J663" s="21">
        <f t="shared" si="16"/>
        <v>0</v>
      </c>
      <c r="K663" s="21">
        <f t="shared" si="17"/>
        <v>0</v>
      </c>
      <c r="L663" s="12">
        <f t="shared" si="18"/>
        <v>0</v>
      </c>
      <c r="M663" s="21">
        <f t="shared" si="19"/>
        <v>0</v>
      </c>
      <c r="N663" s="9" t="str">
        <f ca="1">IFERROR(__xludf.DUMMYFUNCTION("IF(G663&lt;&gt;"""",G663, IFERROR(TRANSPOSE(FILTER('ซื้อสินค้า'!H:H,'ซื้อสินค้า'!B:B=B663,'ซื้อสินค้า'!I:I&gt;0)),))"),"")</f>
        <v/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>
      <c r="A664" s="5"/>
      <c r="B664" s="6"/>
      <c r="C664" s="20">
        <f>IFERROR(VLOOKUP(B664,ชื่อสินค้า!A:C,3,FALSE),)</f>
        <v>0</v>
      </c>
      <c r="D664" s="8" t="str">
        <f>IFERROR(VLOOKUP(B664,ชื่อสินค้า!A:D,4,FALSE),"")</f>
        <v/>
      </c>
      <c r="E664" s="9"/>
      <c r="F664" s="21" t="str">
        <f t="shared" si="15"/>
        <v/>
      </c>
      <c r="G664" s="22"/>
      <c r="H664" s="8">
        <f>IFERROR(VLOOKUP(G664,ซื้อสินค้า!H:I,2,FALSE),)</f>
        <v>0</v>
      </c>
      <c r="I664" s="21">
        <f>IFERROR(VLOOKUP(G664,ซื้อสินค้า!H:J,3,FALSE),)</f>
        <v>0</v>
      </c>
      <c r="J664" s="21">
        <f t="shared" si="16"/>
        <v>0</v>
      </c>
      <c r="K664" s="21">
        <f t="shared" si="17"/>
        <v>0</v>
      </c>
      <c r="L664" s="12">
        <f t="shared" si="18"/>
        <v>0</v>
      </c>
      <c r="M664" s="21">
        <f t="shared" si="19"/>
        <v>0</v>
      </c>
      <c r="N664" s="9" t="str">
        <f ca="1">IFERROR(__xludf.DUMMYFUNCTION("IF(G664&lt;&gt;"""",G664, IFERROR(TRANSPOSE(FILTER('ซื้อสินค้า'!H:H,'ซื้อสินค้า'!B:B=B664,'ซื้อสินค้า'!I:I&gt;0)),))"),"")</f>
        <v/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>
      <c r="A665" s="5"/>
      <c r="B665" s="6"/>
      <c r="C665" s="20">
        <f>IFERROR(VLOOKUP(B665,ชื่อสินค้า!A:C,3,FALSE),)</f>
        <v>0</v>
      </c>
      <c r="D665" s="8" t="str">
        <f>IFERROR(VLOOKUP(B665,ชื่อสินค้า!A:D,4,FALSE),"")</f>
        <v/>
      </c>
      <c r="E665" s="9"/>
      <c r="F665" s="21" t="str">
        <f t="shared" si="15"/>
        <v/>
      </c>
      <c r="G665" s="22"/>
      <c r="H665" s="8">
        <f>IFERROR(VLOOKUP(G665,ซื้อสินค้า!H:I,2,FALSE),)</f>
        <v>0</v>
      </c>
      <c r="I665" s="21">
        <f>IFERROR(VLOOKUP(G665,ซื้อสินค้า!H:J,3,FALSE),)</f>
        <v>0</v>
      </c>
      <c r="J665" s="21">
        <f t="shared" si="16"/>
        <v>0</v>
      </c>
      <c r="K665" s="21">
        <f t="shared" si="17"/>
        <v>0</v>
      </c>
      <c r="L665" s="12">
        <f t="shared" si="18"/>
        <v>0</v>
      </c>
      <c r="M665" s="21">
        <f t="shared" si="19"/>
        <v>0</v>
      </c>
      <c r="N665" s="9" t="str">
        <f ca="1">IFERROR(__xludf.DUMMYFUNCTION("IF(G665&lt;&gt;"""",G665, IFERROR(TRANSPOSE(FILTER('ซื้อสินค้า'!H:H,'ซื้อสินค้า'!B:B=B665,'ซื้อสินค้า'!I:I&gt;0)),))"),"")</f>
        <v/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>
      <c r="A666" s="5"/>
      <c r="B666" s="6"/>
      <c r="C666" s="20">
        <f>IFERROR(VLOOKUP(B666,ชื่อสินค้า!A:C,3,FALSE),)</f>
        <v>0</v>
      </c>
      <c r="D666" s="8" t="str">
        <f>IFERROR(VLOOKUP(B666,ชื่อสินค้า!A:D,4,FALSE),"")</f>
        <v/>
      </c>
      <c r="E666" s="9"/>
      <c r="F666" s="21" t="str">
        <f t="shared" si="15"/>
        <v/>
      </c>
      <c r="G666" s="22"/>
      <c r="H666" s="8">
        <f>IFERROR(VLOOKUP(G666,ซื้อสินค้า!H:I,2,FALSE),)</f>
        <v>0</v>
      </c>
      <c r="I666" s="21">
        <f>IFERROR(VLOOKUP(G666,ซื้อสินค้า!H:J,3,FALSE),)</f>
        <v>0</v>
      </c>
      <c r="J666" s="21">
        <f t="shared" si="16"/>
        <v>0</v>
      </c>
      <c r="K666" s="21">
        <f t="shared" si="17"/>
        <v>0</v>
      </c>
      <c r="L666" s="12">
        <f t="shared" si="18"/>
        <v>0</v>
      </c>
      <c r="M666" s="21">
        <f t="shared" si="19"/>
        <v>0</v>
      </c>
      <c r="N666" s="9" t="str">
        <f ca="1">IFERROR(__xludf.DUMMYFUNCTION("IF(G666&lt;&gt;"""",G666, IFERROR(TRANSPOSE(FILTER('ซื้อสินค้า'!H:H,'ซื้อสินค้า'!B:B=B666,'ซื้อสินค้า'!I:I&gt;0)),))"),"")</f>
        <v/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>
      <c r="A667" s="5"/>
      <c r="B667" s="6"/>
      <c r="C667" s="20">
        <f>IFERROR(VLOOKUP(B667,ชื่อสินค้า!A:C,3,FALSE),)</f>
        <v>0</v>
      </c>
      <c r="D667" s="8" t="str">
        <f>IFERROR(VLOOKUP(B667,ชื่อสินค้า!A:D,4,FALSE),"")</f>
        <v/>
      </c>
      <c r="E667" s="9"/>
      <c r="F667" s="21" t="str">
        <f t="shared" si="15"/>
        <v/>
      </c>
      <c r="G667" s="22"/>
      <c r="H667" s="8">
        <f>IFERROR(VLOOKUP(G667,ซื้อสินค้า!H:I,2,FALSE),)</f>
        <v>0</v>
      </c>
      <c r="I667" s="21">
        <f>IFERROR(VLOOKUP(G667,ซื้อสินค้า!H:J,3,FALSE),)</f>
        <v>0</v>
      </c>
      <c r="J667" s="21">
        <f t="shared" si="16"/>
        <v>0</v>
      </c>
      <c r="K667" s="21">
        <f t="shared" si="17"/>
        <v>0</v>
      </c>
      <c r="L667" s="12">
        <f t="shared" si="18"/>
        <v>0</v>
      </c>
      <c r="M667" s="21">
        <f t="shared" si="19"/>
        <v>0</v>
      </c>
      <c r="N667" s="9" t="str">
        <f ca="1">IFERROR(__xludf.DUMMYFUNCTION("IF(G667&lt;&gt;"""",G667, IFERROR(TRANSPOSE(FILTER('ซื้อสินค้า'!H:H,'ซื้อสินค้า'!B:B=B667,'ซื้อสินค้า'!I:I&gt;0)),))"),"")</f>
        <v/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>
      <c r="A668" s="5"/>
      <c r="B668" s="6"/>
      <c r="C668" s="20">
        <f>IFERROR(VLOOKUP(B668,ชื่อสินค้า!A:C,3,FALSE),)</f>
        <v>0</v>
      </c>
      <c r="D668" s="8" t="str">
        <f>IFERROR(VLOOKUP(B668,ชื่อสินค้า!A:D,4,FALSE),"")</f>
        <v/>
      </c>
      <c r="E668" s="9"/>
      <c r="F668" s="21" t="str">
        <f t="shared" si="15"/>
        <v/>
      </c>
      <c r="G668" s="22"/>
      <c r="H668" s="8">
        <f>IFERROR(VLOOKUP(G668,ซื้อสินค้า!H:I,2,FALSE),)</f>
        <v>0</v>
      </c>
      <c r="I668" s="21">
        <f>IFERROR(VLOOKUP(G668,ซื้อสินค้า!H:J,3,FALSE),)</f>
        <v>0</v>
      </c>
      <c r="J668" s="21">
        <f t="shared" si="16"/>
        <v>0</v>
      </c>
      <c r="K668" s="21">
        <f t="shared" si="17"/>
        <v>0</v>
      </c>
      <c r="L668" s="12">
        <f t="shared" si="18"/>
        <v>0</v>
      </c>
      <c r="M668" s="21">
        <f t="shared" si="19"/>
        <v>0</v>
      </c>
      <c r="N668" s="9" t="str">
        <f ca="1">IFERROR(__xludf.DUMMYFUNCTION("IF(G668&lt;&gt;"""",G668, IFERROR(TRANSPOSE(FILTER('ซื้อสินค้า'!H:H,'ซื้อสินค้า'!B:B=B668,'ซื้อสินค้า'!I:I&gt;0)),))"),"")</f>
        <v/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>
      <c r="A669" s="5"/>
      <c r="B669" s="6"/>
      <c r="C669" s="20">
        <f>IFERROR(VLOOKUP(B669,ชื่อสินค้า!A:C,3,FALSE),)</f>
        <v>0</v>
      </c>
      <c r="D669" s="8" t="str">
        <f>IFERROR(VLOOKUP(B669,ชื่อสินค้า!A:D,4,FALSE),"")</f>
        <v/>
      </c>
      <c r="E669" s="9"/>
      <c r="F669" s="21" t="str">
        <f t="shared" si="15"/>
        <v/>
      </c>
      <c r="G669" s="22"/>
      <c r="H669" s="8">
        <f>IFERROR(VLOOKUP(G669,ซื้อสินค้า!H:I,2,FALSE),)</f>
        <v>0</v>
      </c>
      <c r="I669" s="21">
        <f>IFERROR(VLOOKUP(G669,ซื้อสินค้า!H:J,3,FALSE),)</f>
        <v>0</v>
      </c>
      <c r="J669" s="21">
        <f t="shared" si="16"/>
        <v>0</v>
      </c>
      <c r="K669" s="21">
        <f t="shared" si="17"/>
        <v>0</v>
      </c>
      <c r="L669" s="12">
        <f t="shared" si="18"/>
        <v>0</v>
      </c>
      <c r="M669" s="21">
        <f t="shared" si="19"/>
        <v>0</v>
      </c>
      <c r="N669" s="9" t="str">
        <f ca="1">IFERROR(__xludf.DUMMYFUNCTION("IF(G669&lt;&gt;"""",G669, IFERROR(TRANSPOSE(FILTER('ซื้อสินค้า'!H:H,'ซื้อสินค้า'!B:B=B669,'ซื้อสินค้า'!I:I&gt;0)),))"),"")</f>
        <v/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spans="1:32">
      <c r="A670" s="5"/>
      <c r="B670" s="6"/>
      <c r="C670" s="20">
        <f>IFERROR(VLOOKUP(B670,ชื่อสินค้า!A:C,3,FALSE),)</f>
        <v>0</v>
      </c>
      <c r="D670" s="8" t="str">
        <f>IFERROR(VLOOKUP(B670,ชื่อสินค้า!A:D,4,FALSE),"")</f>
        <v/>
      </c>
      <c r="E670" s="9"/>
      <c r="F670" s="21" t="str">
        <f t="shared" si="15"/>
        <v/>
      </c>
      <c r="G670" s="22"/>
      <c r="H670" s="8">
        <f>IFERROR(VLOOKUP(G670,ซื้อสินค้า!H:I,2,FALSE),)</f>
        <v>0</v>
      </c>
      <c r="I670" s="21">
        <f>IFERROR(VLOOKUP(G670,ซื้อสินค้า!H:J,3,FALSE),)</f>
        <v>0</v>
      </c>
      <c r="J670" s="21">
        <f t="shared" si="16"/>
        <v>0</v>
      </c>
      <c r="K670" s="21">
        <f t="shared" si="17"/>
        <v>0</v>
      </c>
      <c r="L670" s="12">
        <f t="shared" si="18"/>
        <v>0</v>
      </c>
      <c r="M670" s="21">
        <f t="shared" si="19"/>
        <v>0</v>
      </c>
      <c r="N670" s="9" t="str">
        <f ca="1">IFERROR(__xludf.DUMMYFUNCTION("IF(G670&lt;&gt;"""",G670, IFERROR(TRANSPOSE(FILTER('ซื้อสินค้า'!H:H,'ซื้อสินค้า'!B:B=B670,'ซื้อสินค้า'!I:I&gt;0)),))"),"")</f>
        <v/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spans="1:32">
      <c r="A671" s="5"/>
      <c r="B671" s="6"/>
      <c r="C671" s="20">
        <f>IFERROR(VLOOKUP(B671,ชื่อสินค้า!A:C,3,FALSE),)</f>
        <v>0</v>
      </c>
      <c r="D671" s="8" t="str">
        <f>IFERROR(VLOOKUP(B671,ชื่อสินค้า!A:D,4,FALSE),"")</f>
        <v/>
      </c>
      <c r="E671" s="9"/>
      <c r="F671" s="21" t="str">
        <f t="shared" si="15"/>
        <v/>
      </c>
      <c r="G671" s="22"/>
      <c r="H671" s="8">
        <f>IFERROR(VLOOKUP(G671,ซื้อสินค้า!H:I,2,FALSE),)</f>
        <v>0</v>
      </c>
      <c r="I671" s="21">
        <f>IFERROR(VLOOKUP(G671,ซื้อสินค้า!H:J,3,FALSE),)</f>
        <v>0</v>
      </c>
      <c r="J671" s="21">
        <f t="shared" si="16"/>
        <v>0</v>
      </c>
      <c r="K671" s="21">
        <f t="shared" si="17"/>
        <v>0</v>
      </c>
      <c r="L671" s="12">
        <f t="shared" si="18"/>
        <v>0</v>
      </c>
      <c r="M671" s="21">
        <f t="shared" si="19"/>
        <v>0</v>
      </c>
      <c r="N671" s="9" t="str">
        <f ca="1">IFERROR(__xludf.DUMMYFUNCTION("IF(G671&lt;&gt;"""",G671, IFERROR(TRANSPOSE(FILTER('ซื้อสินค้า'!H:H,'ซื้อสินค้า'!B:B=B671,'ซื้อสินค้า'!I:I&gt;0)),))"),"")</f>
        <v/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spans="1:32">
      <c r="A672" s="5"/>
      <c r="B672" s="6"/>
      <c r="C672" s="20">
        <f>IFERROR(VLOOKUP(B672,ชื่อสินค้า!A:C,3,FALSE),)</f>
        <v>0</v>
      </c>
      <c r="D672" s="8" t="str">
        <f>IFERROR(VLOOKUP(B672,ชื่อสินค้า!A:D,4,FALSE),"")</f>
        <v/>
      </c>
      <c r="E672" s="9"/>
      <c r="F672" s="21" t="str">
        <f t="shared" si="15"/>
        <v/>
      </c>
      <c r="G672" s="22"/>
      <c r="H672" s="8">
        <f>IFERROR(VLOOKUP(G672,ซื้อสินค้า!H:I,2,FALSE),)</f>
        <v>0</v>
      </c>
      <c r="I672" s="21">
        <f>IFERROR(VLOOKUP(G672,ซื้อสินค้า!H:J,3,FALSE),)</f>
        <v>0</v>
      </c>
      <c r="J672" s="21">
        <f t="shared" si="16"/>
        <v>0</v>
      </c>
      <c r="K672" s="21">
        <f t="shared" si="17"/>
        <v>0</v>
      </c>
      <c r="L672" s="12">
        <f t="shared" si="18"/>
        <v>0</v>
      </c>
      <c r="M672" s="21">
        <f t="shared" si="19"/>
        <v>0</v>
      </c>
      <c r="N672" s="9" t="str">
        <f ca="1">IFERROR(__xludf.DUMMYFUNCTION("IF(G672&lt;&gt;"""",G672, IFERROR(TRANSPOSE(FILTER('ซื้อสินค้า'!H:H,'ซื้อสินค้า'!B:B=B672,'ซื้อสินค้า'!I:I&gt;0)),))"),"")</f>
        <v/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spans="1:32">
      <c r="A673" s="5"/>
      <c r="B673" s="6"/>
      <c r="C673" s="20">
        <f>IFERROR(VLOOKUP(B673,ชื่อสินค้า!A:C,3,FALSE),)</f>
        <v>0</v>
      </c>
      <c r="D673" s="8" t="str">
        <f>IFERROR(VLOOKUP(B673,ชื่อสินค้า!A:D,4,FALSE),"")</f>
        <v/>
      </c>
      <c r="E673" s="9"/>
      <c r="F673" s="21" t="str">
        <f t="shared" si="15"/>
        <v/>
      </c>
      <c r="G673" s="22"/>
      <c r="H673" s="8">
        <f>IFERROR(VLOOKUP(G673,ซื้อสินค้า!H:I,2,FALSE),)</f>
        <v>0</v>
      </c>
      <c r="I673" s="21">
        <f>IFERROR(VLOOKUP(G673,ซื้อสินค้า!H:J,3,FALSE),)</f>
        <v>0</v>
      </c>
      <c r="J673" s="21">
        <f t="shared" si="16"/>
        <v>0</v>
      </c>
      <c r="K673" s="21">
        <f t="shared" si="17"/>
        <v>0</v>
      </c>
      <c r="L673" s="12">
        <f t="shared" si="18"/>
        <v>0</v>
      </c>
      <c r="M673" s="21">
        <f t="shared" si="19"/>
        <v>0</v>
      </c>
      <c r="N673" s="9" t="str">
        <f ca="1">IFERROR(__xludf.DUMMYFUNCTION("IF(G673&lt;&gt;"""",G673, IFERROR(TRANSPOSE(FILTER('ซื้อสินค้า'!H:H,'ซื้อสินค้า'!B:B=B673,'ซื้อสินค้า'!I:I&gt;0)),))"),"")</f>
        <v/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spans="1:32">
      <c r="A674" s="5"/>
      <c r="B674" s="6"/>
      <c r="C674" s="20">
        <f>IFERROR(VLOOKUP(B674,ชื่อสินค้า!A:C,3,FALSE),)</f>
        <v>0</v>
      </c>
      <c r="D674" s="8" t="str">
        <f>IFERROR(VLOOKUP(B674,ชื่อสินค้า!A:D,4,FALSE),"")</f>
        <v/>
      </c>
      <c r="E674" s="9"/>
      <c r="F674" s="21" t="str">
        <f t="shared" si="15"/>
        <v/>
      </c>
      <c r="G674" s="22"/>
      <c r="H674" s="8">
        <f>IFERROR(VLOOKUP(G674,ซื้อสินค้า!H:I,2,FALSE),)</f>
        <v>0</v>
      </c>
      <c r="I674" s="21">
        <f>IFERROR(VLOOKUP(G674,ซื้อสินค้า!H:J,3,FALSE),)</f>
        <v>0</v>
      </c>
      <c r="J674" s="21">
        <f t="shared" si="16"/>
        <v>0</v>
      </c>
      <c r="K674" s="21">
        <f t="shared" si="17"/>
        <v>0</v>
      </c>
      <c r="L674" s="12">
        <f t="shared" si="18"/>
        <v>0</v>
      </c>
      <c r="M674" s="21">
        <f t="shared" si="19"/>
        <v>0</v>
      </c>
      <c r="N674" s="9" t="str">
        <f ca="1">IFERROR(__xludf.DUMMYFUNCTION("IF(G674&lt;&gt;"""",G674, IFERROR(TRANSPOSE(FILTER('ซื้อสินค้า'!H:H,'ซื้อสินค้า'!B:B=B674,'ซื้อสินค้า'!I:I&gt;0)),))"),"")</f>
        <v/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spans="1:32">
      <c r="A675" s="5"/>
      <c r="B675" s="6"/>
      <c r="C675" s="20">
        <f>IFERROR(VLOOKUP(B675,ชื่อสินค้า!A:C,3,FALSE),)</f>
        <v>0</v>
      </c>
      <c r="D675" s="8" t="str">
        <f>IFERROR(VLOOKUP(B675,ชื่อสินค้า!A:D,4,FALSE),"")</f>
        <v/>
      </c>
      <c r="E675" s="9"/>
      <c r="F675" s="21" t="str">
        <f t="shared" si="15"/>
        <v/>
      </c>
      <c r="G675" s="22"/>
      <c r="H675" s="8">
        <f>IFERROR(VLOOKUP(G675,ซื้อสินค้า!H:I,2,FALSE),)</f>
        <v>0</v>
      </c>
      <c r="I675" s="21">
        <f>IFERROR(VLOOKUP(G675,ซื้อสินค้า!H:J,3,FALSE),)</f>
        <v>0</v>
      </c>
      <c r="J675" s="21">
        <f t="shared" si="16"/>
        <v>0</v>
      </c>
      <c r="K675" s="21">
        <f t="shared" si="17"/>
        <v>0</v>
      </c>
      <c r="L675" s="12">
        <f t="shared" si="18"/>
        <v>0</v>
      </c>
      <c r="M675" s="21">
        <f t="shared" si="19"/>
        <v>0</v>
      </c>
      <c r="N675" s="9" t="str">
        <f ca="1">IFERROR(__xludf.DUMMYFUNCTION("IF(G675&lt;&gt;"""",G675, IFERROR(TRANSPOSE(FILTER('ซื้อสินค้า'!H:H,'ซื้อสินค้า'!B:B=B675,'ซื้อสินค้า'!I:I&gt;0)),))"),"")</f>
        <v/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spans="1:32">
      <c r="A676" s="5"/>
      <c r="B676" s="6"/>
      <c r="C676" s="20">
        <f>IFERROR(VLOOKUP(B676,ชื่อสินค้า!A:C,3,FALSE),)</f>
        <v>0</v>
      </c>
      <c r="D676" s="8" t="str">
        <f>IFERROR(VLOOKUP(B676,ชื่อสินค้า!A:D,4,FALSE),"")</f>
        <v/>
      </c>
      <c r="E676" s="9"/>
      <c r="F676" s="21" t="str">
        <f t="shared" si="15"/>
        <v/>
      </c>
      <c r="G676" s="22"/>
      <c r="H676" s="8">
        <f>IFERROR(VLOOKUP(G676,ซื้อสินค้า!H:I,2,FALSE),)</f>
        <v>0</v>
      </c>
      <c r="I676" s="21">
        <f>IFERROR(VLOOKUP(G676,ซื้อสินค้า!H:J,3,FALSE),)</f>
        <v>0</v>
      </c>
      <c r="J676" s="21">
        <f t="shared" si="16"/>
        <v>0</v>
      </c>
      <c r="K676" s="21">
        <f t="shared" si="17"/>
        <v>0</v>
      </c>
      <c r="L676" s="12">
        <f t="shared" si="18"/>
        <v>0</v>
      </c>
      <c r="M676" s="21">
        <f t="shared" si="19"/>
        <v>0</v>
      </c>
      <c r="N676" s="9" t="str">
        <f ca="1">IFERROR(__xludf.DUMMYFUNCTION("IF(G676&lt;&gt;"""",G676, IFERROR(TRANSPOSE(FILTER('ซื้อสินค้า'!H:H,'ซื้อสินค้า'!B:B=B676,'ซื้อสินค้า'!I:I&gt;0)),))"),"")</f>
        <v/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spans="1:32">
      <c r="A677" s="5"/>
      <c r="B677" s="6"/>
      <c r="C677" s="20">
        <f>IFERROR(VLOOKUP(B677,ชื่อสินค้า!A:C,3,FALSE),)</f>
        <v>0</v>
      </c>
      <c r="D677" s="8" t="str">
        <f>IFERROR(VLOOKUP(B677,ชื่อสินค้า!A:D,4,FALSE),"")</f>
        <v/>
      </c>
      <c r="E677" s="9"/>
      <c r="F677" s="21" t="str">
        <f t="shared" si="15"/>
        <v/>
      </c>
      <c r="G677" s="22"/>
      <c r="H677" s="8">
        <f>IFERROR(VLOOKUP(G677,ซื้อสินค้า!H:I,2,FALSE),)</f>
        <v>0</v>
      </c>
      <c r="I677" s="21">
        <f>IFERROR(VLOOKUP(G677,ซื้อสินค้า!H:J,3,FALSE),)</f>
        <v>0</v>
      </c>
      <c r="J677" s="21">
        <f t="shared" si="16"/>
        <v>0</v>
      </c>
      <c r="K677" s="21">
        <f t="shared" si="17"/>
        <v>0</v>
      </c>
      <c r="L677" s="12">
        <f t="shared" si="18"/>
        <v>0</v>
      </c>
      <c r="M677" s="21">
        <f t="shared" si="19"/>
        <v>0</v>
      </c>
      <c r="N677" s="9" t="str">
        <f ca="1">IFERROR(__xludf.DUMMYFUNCTION("IF(G677&lt;&gt;"""",G677, IFERROR(TRANSPOSE(FILTER('ซื้อสินค้า'!H:H,'ซื้อสินค้า'!B:B=B677,'ซื้อสินค้า'!I:I&gt;0)),))"),"")</f>
        <v/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spans="1:32">
      <c r="A678" s="5"/>
      <c r="B678" s="6"/>
      <c r="C678" s="20">
        <f>IFERROR(VLOOKUP(B678,ชื่อสินค้า!A:C,3,FALSE),)</f>
        <v>0</v>
      </c>
      <c r="D678" s="8" t="str">
        <f>IFERROR(VLOOKUP(B678,ชื่อสินค้า!A:D,4,FALSE),"")</f>
        <v/>
      </c>
      <c r="E678" s="9"/>
      <c r="F678" s="21" t="str">
        <f t="shared" si="15"/>
        <v/>
      </c>
      <c r="G678" s="22"/>
      <c r="H678" s="8">
        <f>IFERROR(VLOOKUP(G678,ซื้อสินค้า!H:I,2,FALSE),)</f>
        <v>0</v>
      </c>
      <c r="I678" s="21">
        <f>IFERROR(VLOOKUP(G678,ซื้อสินค้า!H:J,3,FALSE),)</f>
        <v>0</v>
      </c>
      <c r="J678" s="21">
        <f t="shared" si="16"/>
        <v>0</v>
      </c>
      <c r="K678" s="21">
        <f t="shared" si="17"/>
        <v>0</v>
      </c>
      <c r="L678" s="12">
        <f t="shared" si="18"/>
        <v>0</v>
      </c>
      <c r="M678" s="21">
        <f t="shared" si="19"/>
        <v>0</v>
      </c>
      <c r="N678" s="9" t="str">
        <f ca="1">IFERROR(__xludf.DUMMYFUNCTION("IF(G678&lt;&gt;"""",G678, IFERROR(TRANSPOSE(FILTER('ซื้อสินค้า'!H:H,'ซื้อสินค้า'!B:B=B678,'ซื้อสินค้า'!I:I&gt;0)),))"),"")</f>
        <v/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spans="1:32">
      <c r="A679" s="5"/>
      <c r="B679" s="6"/>
      <c r="C679" s="20">
        <f>IFERROR(VLOOKUP(B679,ชื่อสินค้า!A:C,3,FALSE),)</f>
        <v>0</v>
      </c>
      <c r="D679" s="8" t="str">
        <f>IFERROR(VLOOKUP(B679,ชื่อสินค้า!A:D,4,FALSE),"")</f>
        <v/>
      </c>
      <c r="E679" s="9"/>
      <c r="F679" s="21" t="str">
        <f t="shared" si="15"/>
        <v/>
      </c>
      <c r="G679" s="22"/>
      <c r="H679" s="8">
        <f>IFERROR(VLOOKUP(G679,ซื้อสินค้า!H:I,2,FALSE),)</f>
        <v>0</v>
      </c>
      <c r="I679" s="21">
        <f>IFERROR(VLOOKUP(G679,ซื้อสินค้า!H:J,3,FALSE),)</f>
        <v>0</v>
      </c>
      <c r="J679" s="21">
        <f t="shared" si="16"/>
        <v>0</v>
      </c>
      <c r="K679" s="21">
        <f t="shared" si="17"/>
        <v>0</v>
      </c>
      <c r="L679" s="12">
        <f t="shared" si="18"/>
        <v>0</v>
      </c>
      <c r="M679" s="21">
        <f t="shared" si="19"/>
        <v>0</v>
      </c>
      <c r="N679" s="9" t="str">
        <f ca="1">IFERROR(__xludf.DUMMYFUNCTION("IF(G679&lt;&gt;"""",G679, IFERROR(TRANSPOSE(FILTER('ซื้อสินค้า'!H:H,'ซื้อสินค้า'!B:B=B679,'ซื้อสินค้า'!I:I&gt;0)),))"),"")</f>
        <v/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spans="1:32">
      <c r="A680" s="5"/>
      <c r="B680" s="6"/>
      <c r="C680" s="20">
        <f>IFERROR(VLOOKUP(B680,ชื่อสินค้า!A:C,3,FALSE),)</f>
        <v>0</v>
      </c>
      <c r="D680" s="8" t="str">
        <f>IFERROR(VLOOKUP(B680,ชื่อสินค้า!A:D,4,FALSE),"")</f>
        <v/>
      </c>
      <c r="E680" s="9"/>
      <c r="F680" s="21" t="str">
        <f t="shared" si="15"/>
        <v/>
      </c>
      <c r="G680" s="22"/>
      <c r="H680" s="8">
        <f>IFERROR(VLOOKUP(G680,ซื้อสินค้า!H:I,2,FALSE),)</f>
        <v>0</v>
      </c>
      <c r="I680" s="21">
        <f>IFERROR(VLOOKUP(G680,ซื้อสินค้า!H:J,3,FALSE),)</f>
        <v>0</v>
      </c>
      <c r="J680" s="21">
        <f t="shared" si="16"/>
        <v>0</v>
      </c>
      <c r="K680" s="21">
        <f t="shared" si="17"/>
        <v>0</v>
      </c>
      <c r="L680" s="12">
        <f t="shared" si="18"/>
        <v>0</v>
      </c>
      <c r="M680" s="21">
        <f t="shared" si="19"/>
        <v>0</v>
      </c>
      <c r="N680" s="9" t="str">
        <f ca="1">IFERROR(__xludf.DUMMYFUNCTION("IF(G680&lt;&gt;"""",G680, IFERROR(TRANSPOSE(FILTER('ซื้อสินค้า'!H:H,'ซื้อสินค้า'!B:B=B680,'ซื้อสินค้า'!I:I&gt;0)),))"),"")</f>
        <v/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spans="1:32">
      <c r="A681" s="5"/>
      <c r="B681" s="6"/>
      <c r="C681" s="20">
        <f>IFERROR(VLOOKUP(B681,ชื่อสินค้า!A:C,3,FALSE),)</f>
        <v>0</v>
      </c>
      <c r="D681" s="8" t="str">
        <f>IFERROR(VLOOKUP(B681,ชื่อสินค้า!A:D,4,FALSE),"")</f>
        <v/>
      </c>
      <c r="E681" s="9"/>
      <c r="F681" s="21" t="str">
        <f t="shared" si="15"/>
        <v/>
      </c>
      <c r="G681" s="22"/>
      <c r="H681" s="8">
        <f>IFERROR(VLOOKUP(G681,ซื้อสินค้า!H:I,2,FALSE),)</f>
        <v>0</v>
      </c>
      <c r="I681" s="21">
        <f>IFERROR(VLOOKUP(G681,ซื้อสินค้า!H:J,3,FALSE),)</f>
        <v>0</v>
      </c>
      <c r="J681" s="21">
        <f t="shared" si="16"/>
        <v>0</v>
      </c>
      <c r="K681" s="21">
        <f t="shared" si="17"/>
        <v>0</v>
      </c>
      <c r="L681" s="12">
        <f t="shared" si="18"/>
        <v>0</v>
      </c>
      <c r="M681" s="21">
        <f t="shared" si="19"/>
        <v>0</v>
      </c>
      <c r="N681" s="9" t="str">
        <f ca="1">IFERROR(__xludf.DUMMYFUNCTION("IF(G681&lt;&gt;"""",G681, IFERROR(TRANSPOSE(FILTER('ซื้อสินค้า'!H:H,'ซื้อสินค้า'!B:B=B681,'ซื้อสินค้า'!I:I&gt;0)),))"),"")</f>
        <v/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spans="1:32">
      <c r="A682" s="5"/>
      <c r="B682" s="6"/>
      <c r="C682" s="20">
        <f>IFERROR(VLOOKUP(B682,ชื่อสินค้า!A:C,3,FALSE),)</f>
        <v>0</v>
      </c>
      <c r="D682" s="8" t="str">
        <f>IFERROR(VLOOKUP(B682,ชื่อสินค้า!A:D,4,FALSE),"")</f>
        <v/>
      </c>
      <c r="E682" s="9"/>
      <c r="F682" s="21" t="str">
        <f t="shared" si="15"/>
        <v/>
      </c>
      <c r="G682" s="22"/>
      <c r="H682" s="8">
        <f>IFERROR(VLOOKUP(G682,ซื้อสินค้า!H:I,2,FALSE),)</f>
        <v>0</v>
      </c>
      <c r="I682" s="21">
        <f>IFERROR(VLOOKUP(G682,ซื้อสินค้า!H:J,3,FALSE),)</f>
        <v>0</v>
      </c>
      <c r="J682" s="21">
        <f t="shared" si="16"/>
        <v>0</v>
      </c>
      <c r="K682" s="21">
        <f t="shared" si="17"/>
        <v>0</v>
      </c>
      <c r="L682" s="12">
        <f t="shared" si="18"/>
        <v>0</v>
      </c>
      <c r="M682" s="21">
        <f t="shared" si="19"/>
        <v>0</v>
      </c>
      <c r="N682" s="9" t="str">
        <f ca="1">IFERROR(__xludf.DUMMYFUNCTION("IF(G682&lt;&gt;"""",G682, IFERROR(TRANSPOSE(FILTER('ซื้อสินค้า'!H:H,'ซื้อสินค้า'!B:B=B682,'ซื้อสินค้า'!I:I&gt;0)),))"),"")</f>
        <v/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spans="1:32">
      <c r="A683" s="5"/>
      <c r="B683" s="6"/>
      <c r="C683" s="20">
        <f>IFERROR(VLOOKUP(B683,ชื่อสินค้า!A:C,3,FALSE),)</f>
        <v>0</v>
      </c>
      <c r="D683" s="8" t="str">
        <f>IFERROR(VLOOKUP(B683,ชื่อสินค้า!A:D,4,FALSE),"")</f>
        <v/>
      </c>
      <c r="E683" s="9"/>
      <c r="F683" s="21" t="str">
        <f t="shared" si="15"/>
        <v/>
      </c>
      <c r="G683" s="22"/>
      <c r="H683" s="8">
        <f>IFERROR(VLOOKUP(G683,ซื้อสินค้า!H:I,2,FALSE),)</f>
        <v>0</v>
      </c>
      <c r="I683" s="21">
        <f>IFERROR(VLOOKUP(G683,ซื้อสินค้า!H:J,3,FALSE),)</f>
        <v>0</v>
      </c>
      <c r="J683" s="21">
        <f t="shared" si="16"/>
        <v>0</v>
      </c>
      <c r="K683" s="21">
        <f t="shared" si="17"/>
        <v>0</v>
      </c>
      <c r="L683" s="12">
        <f t="shared" si="18"/>
        <v>0</v>
      </c>
      <c r="M683" s="21">
        <f t="shared" si="19"/>
        <v>0</v>
      </c>
      <c r="N683" s="9" t="str">
        <f ca="1">IFERROR(__xludf.DUMMYFUNCTION("IF(G683&lt;&gt;"""",G683, IFERROR(TRANSPOSE(FILTER('ซื้อสินค้า'!H:H,'ซื้อสินค้า'!B:B=B683,'ซื้อสินค้า'!I:I&gt;0)),))"),"")</f>
        <v/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spans="1:32">
      <c r="A684" s="5"/>
      <c r="B684" s="6"/>
      <c r="C684" s="20">
        <f>IFERROR(VLOOKUP(B684,ชื่อสินค้า!A:C,3,FALSE),)</f>
        <v>0</v>
      </c>
      <c r="D684" s="8" t="str">
        <f>IFERROR(VLOOKUP(B684,ชื่อสินค้า!A:D,4,FALSE),"")</f>
        <v/>
      </c>
      <c r="E684" s="9"/>
      <c r="F684" s="21" t="str">
        <f t="shared" si="15"/>
        <v/>
      </c>
      <c r="G684" s="22"/>
      <c r="H684" s="8">
        <f>IFERROR(VLOOKUP(G684,ซื้อสินค้า!H:I,2,FALSE),)</f>
        <v>0</v>
      </c>
      <c r="I684" s="21">
        <f>IFERROR(VLOOKUP(G684,ซื้อสินค้า!H:J,3,FALSE),)</f>
        <v>0</v>
      </c>
      <c r="J684" s="21">
        <f t="shared" si="16"/>
        <v>0</v>
      </c>
      <c r="K684" s="21">
        <f t="shared" si="17"/>
        <v>0</v>
      </c>
      <c r="L684" s="12">
        <f t="shared" si="18"/>
        <v>0</v>
      </c>
      <c r="M684" s="21">
        <f t="shared" si="19"/>
        <v>0</v>
      </c>
      <c r="N684" s="9" t="str">
        <f ca="1">IFERROR(__xludf.DUMMYFUNCTION("IF(G684&lt;&gt;"""",G684, IFERROR(TRANSPOSE(FILTER('ซื้อสินค้า'!H:H,'ซื้อสินค้า'!B:B=B684,'ซื้อสินค้า'!I:I&gt;0)),))"),"")</f>
        <v/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spans="1:32">
      <c r="A685" s="5"/>
      <c r="B685" s="6"/>
      <c r="C685" s="20">
        <f>IFERROR(VLOOKUP(B685,ชื่อสินค้า!A:C,3,FALSE),)</f>
        <v>0</v>
      </c>
      <c r="D685" s="8" t="str">
        <f>IFERROR(VLOOKUP(B685,ชื่อสินค้า!A:D,4,FALSE),"")</f>
        <v/>
      </c>
      <c r="E685" s="9"/>
      <c r="F685" s="21" t="str">
        <f t="shared" si="15"/>
        <v/>
      </c>
      <c r="G685" s="22"/>
      <c r="H685" s="8">
        <f>IFERROR(VLOOKUP(G685,ซื้อสินค้า!H:I,2,FALSE),)</f>
        <v>0</v>
      </c>
      <c r="I685" s="21">
        <f>IFERROR(VLOOKUP(G685,ซื้อสินค้า!H:J,3,FALSE),)</f>
        <v>0</v>
      </c>
      <c r="J685" s="21">
        <f t="shared" si="16"/>
        <v>0</v>
      </c>
      <c r="K685" s="21">
        <f t="shared" si="17"/>
        <v>0</v>
      </c>
      <c r="L685" s="12">
        <f t="shared" si="18"/>
        <v>0</v>
      </c>
      <c r="M685" s="21">
        <f t="shared" si="19"/>
        <v>0</v>
      </c>
      <c r="N685" s="9" t="str">
        <f ca="1">IFERROR(__xludf.DUMMYFUNCTION("IF(G685&lt;&gt;"""",G685, IFERROR(TRANSPOSE(FILTER('ซื้อสินค้า'!H:H,'ซื้อสินค้า'!B:B=B685,'ซื้อสินค้า'!I:I&gt;0)),))"),"")</f>
        <v/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spans="1:32">
      <c r="A686" s="5"/>
      <c r="B686" s="6"/>
      <c r="C686" s="20">
        <f>IFERROR(VLOOKUP(B686,ชื่อสินค้า!A:C,3,FALSE),)</f>
        <v>0</v>
      </c>
      <c r="D686" s="8" t="str">
        <f>IFERROR(VLOOKUP(B686,ชื่อสินค้า!A:D,4,FALSE),"")</f>
        <v/>
      </c>
      <c r="E686" s="9"/>
      <c r="F686" s="21" t="str">
        <f t="shared" si="15"/>
        <v/>
      </c>
      <c r="G686" s="22"/>
      <c r="H686" s="8">
        <f>IFERROR(VLOOKUP(G686,ซื้อสินค้า!H:I,2,FALSE),)</f>
        <v>0</v>
      </c>
      <c r="I686" s="21">
        <f>IFERROR(VLOOKUP(G686,ซื้อสินค้า!H:J,3,FALSE),)</f>
        <v>0</v>
      </c>
      <c r="J686" s="21">
        <f t="shared" si="16"/>
        <v>0</v>
      </c>
      <c r="K686" s="21">
        <f t="shared" si="17"/>
        <v>0</v>
      </c>
      <c r="L686" s="12">
        <f t="shared" si="18"/>
        <v>0</v>
      </c>
      <c r="M686" s="21">
        <f t="shared" si="19"/>
        <v>0</v>
      </c>
      <c r="N686" s="9" t="str">
        <f ca="1">IFERROR(__xludf.DUMMYFUNCTION("IF(G686&lt;&gt;"""",G686, IFERROR(TRANSPOSE(FILTER('ซื้อสินค้า'!H:H,'ซื้อสินค้า'!B:B=B686,'ซื้อสินค้า'!I:I&gt;0)),))"),"")</f>
        <v/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spans="1:32">
      <c r="A687" s="5"/>
      <c r="B687" s="6"/>
      <c r="C687" s="20">
        <f>IFERROR(VLOOKUP(B687,ชื่อสินค้า!A:C,3,FALSE),)</f>
        <v>0</v>
      </c>
      <c r="D687" s="8" t="str">
        <f>IFERROR(VLOOKUP(B687,ชื่อสินค้า!A:D,4,FALSE),"")</f>
        <v/>
      </c>
      <c r="E687" s="9"/>
      <c r="F687" s="21" t="str">
        <f t="shared" si="15"/>
        <v/>
      </c>
      <c r="G687" s="22"/>
      <c r="H687" s="8">
        <f>IFERROR(VLOOKUP(G687,ซื้อสินค้า!H:I,2,FALSE),)</f>
        <v>0</v>
      </c>
      <c r="I687" s="21">
        <f>IFERROR(VLOOKUP(G687,ซื้อสินค้า!H:J,3,FALSE),)</f>
        <v>0</v>
      </c>
      <c r="J687" s="21">
        <f t="shared" si="16"/>
        <v>0</v>
      </c>
      <c r="K687" s="21">
        <f t="shared" si="17"/>
        <v>0</v>
      </c>
      <c r="L687" s="12">
        <f t="shared" si="18"/>
        <v>0</v>
      </c>
      <c r="M687" s="21">
        <f t="shared" si="19"/>
        <v>0</v>
      </c>
      <c r="N687" s="9" t="str">
        <f ca="1">IFERROR(__xludf.DUMMYFUNCTION("IF(G687&lt;&gt;"""",G687, IFERROR(TRANSPOSE(FILTER('ซื้อสินค้า'!H:H,'ซื้อสินค้า'!B:B=B687,'ซื้อสินค้า'!I:I&gt;0)),))"),"")</f>
        <v/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spans="1:32">
      <c r="A688" s="5"/>
      <c r="B688" s="6"/>
      <c r="C688" s="20">
        <f>IFERROR(VLOOKUP(B688,ชื่อสินค้า!A:C,3,FALSE),)</f>
        <v>0</v>
      </c>
      <c r="D688" s="8" t="str">
        <f>IFERROR(VLOOKUP(B688,ชื่อสินค้า!A:D,4,FALSE),"")</f>
        <v/>
      </c>
      <c r="E688" s="9"/>
      <c r="F688" s="21" t="str">
        <f t="shared" si="15"/>
        <v/>
      </c>
      <c r="G688" s="22"/>
      <c r="H688" s="8">
        <f>IFERROR(VLOOKUP(G688,ซื้อสินค้า!H:I,2,FALSE),)</f>
        <v>0</v>
      </c>
      <c r="I688" s="21">
        <f>IFERROR(VLOOKUP(G688,ซื้อสินค้า!H:J,3,FALSE),)</f>
        <v>0</v>
      </c>
      <c r="J688" s="21">
        <f t="shared" si="16"/>
        <v>0</v>
      </c>
      <c r="K688" s="21">
        <f t="shared" si="17"/>
        <v>0</v>
      </c>
      <c r="L688" s="12">
        <f t="shared" si="18"/>
        <v>0</v>
      </c>
      <c r="M688" s="21">
        <f t="shared" si="19"/>
        <v>0</v>
      </c>
      <c r="N688" s="9" t="str">
        <f ca="1">IFERROR(__xludf.DUMMYFUNCTION("IF(G688&lt;&gt;"""",G688, IFERROR(TRANSPOSE(FILTER('ซื้อสินค้า'!H:H,'ซื้อสินค้า'!B:B=B688,'ซื้อสินค้า'!I:I&gt;0)),))"),"")</f>
        <v/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spans="1:32">
      <c r="A689" s="5"/>
      <c r="B689" s="6"/>
      <c r="C689" s="20">
        <f>IFERROR(VLOOKUP(B689,ชื่อสินค้า!A:C,3,FALSE),)</f>
        <v>0</v>
      </c>
      <c r="D689" s="8" t="str">
        <f>IFERROR(VLOOKUP(B689,ชื่อสินค้า!A:D,4,FALSE),"")</f>
        <v/>
      </c>
      <c r="E689" s="9"/>
      <c r="F689" s="21" t="str">
        <f t="shared" si="15"/>
        <v/>
      </c>
      <c r="G689" s="22"/>
      <c r="H689" s="8">
        <f>IFERROR(VLOOKUP(G689,ซื้อสินค้า!H:I,2,FALSE),)</f>
        <v>0</v>
      </c>
      <c r="I689" s="21">
        <f>IFERROR(VLOOKUP(G689,ซื้อสินค้า!H:J,3,FALSE),)</f>
        <v>0</v>
      </c>
      <c r="J689" s="21">
        <f t="shared" si="16"/>
        <v>0</v>
      </c>
      <c r="K689" s="21">
        <f t="shared" si="17"/>
        <v>0</v>
      </c>
      <c r="L689" s="12">
        <f t="shared" si="18"/>
        <v>0</v>
      </c>
      <c r="M689" s="21">
        <f t="shared" si="19"/>
        <v>0</v>
      </c>
      <c r="N689" s="9" t="str">
        <f ca="1">IFERROR(__xludf.DUMMYFUNCTION("IF(G689&lt;&gt;"""",G689, IFERROR(TRANSPOSE(FILTER('ซื้อสินค้า'!H:H,'ซื้อสินค้า'!B:B=B689,'ซื้อสินค้า'!I:I&gt;0)),))"),"")</f>
        <v/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spans="1:32">
      <c r="A690" s="5"/>
      <c r="B690" s="6"/>
      <c r="C690" s="20">
        <f>IFERROR(VLOOKUP(B690,ชื่อสินค้า!A:C,3,FALSE),)</f>
        <v>0</v>
      </c>
      <c r="D690" s="8" t="str">
        <f>IFERROR(VLOOKUP(B690,ชื่อสินค้า!A:D,4,FALSE),"")</f>
        <v/>
      </c>
      <c r="E690" s="9"/>
      <c r="F690" s="21" t="str">
        <f t="shared" si="15"/>
        <v/>
      </c>
      <c r="G690" s="22"/>
      <c r="H690" s="8">
        <f>IFERROR(VLOOKUP(G690,ซื้อสินค้า!H:I,2,FALSE),)</f>
        <v>0</v>
      </c>
      <c r="I690" s="21">
        <f>IFERROR(VLOOKUP(G690,ซื้อสินค้า!H:J,3,FALSE),)</f>
        <v>0</v>
      </c>
      <c r="J690" s="21">
        <f t="shared" si="16"/>
        <v>0</v>
      </c>
      <c r="K690" s="21">
        <f t="shared" si="17"/>
        <v>0</v>
      </c>
      <c r="L690" s="12">
        <f t="shared" si="18"/>
        <v>0</v>
      </c>
      <c r="M690" s="21">
        <f t="shared" si="19"/>
        <v>0</v>
      </c>
      <c r="N690" s="9" t="str">
        <f ca="1">IFERROR(__xludf.DUMMYFUNCTION("IF(G690&lt;&gt;"""",G690, IFERROR(TRANSPOSE(FILTER('ซื้อสินค้า'!H:H,'ซื้อสินค้า'!B:B=B690,'ซื้อสินค้า'!I:I&gt;0)),))"),"")</f>
        <v/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spans="1:32">
      <c r="A691" s="5"/>
      <c r="B691" s="6"/>
      <c r="C691" s="20">
        <f>IFERROR(VLOOKUP(B691,ชื่อสินค้า!A:C,3,FALSE),)</f>
        <v>0</v>
      </c>
      <c r="D691" s="8" t="str">
        <f>IFERROR(VLOOKUP(B691,ชื่อสินค้า!A:D,4,FALSE),"")</f>
        <v/>
      </c>
      <c r="E691" s="9"/>
      <c r="F691" s="21" t="str">
        <f t="shared" si="15"/>
        <v/>
      </c>
      <c r="G691" s="22"/>
      <c r="H691" s="8">
        <f>IFERROR(VLOOKUP(G691,ซื้อสินค้า!H:I,2,FALSE),)</f>
        <v>0</v>
      </c>
      <c r="I691" s="21">
        <f>IFERROR(VLOOKUP(G691,ซื้อสินค้า!H:J,3,FALSE),)</f>
        <v>0</v>
      </c>
      <c r="J691" s="21">
        <f t="shared" si="16"/>
        <v>0</v>
      </c>
      <c r="K691" s="21">
        <f t="shared" si="17"/>
        <v>0</v>
      </c>
      <c r="L691" s="12">
        <f t="shared" si="18"/>
        <v>0</v>
      </c>
      <c r="M691" s="21">
        <f t="shared" si="19"/>
        <v>0</v>
      </c>
      <c r="N691" s="9" t="str">
        <f ca="1">IFERROR(__xludf.DUMMYFUNCTION("IF(G691&lt;&gt;"""",G691, IFERROR(TRANSPOSE(FILTER('ซื้อสินค้า'!H:H,'ซื้อสินค้า'!B:B=B691,'ซื้อสินค้า'!I:I&gt;0)),))"),"")</f>
        <v/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spans="1:32">
      <c r="A692" s="5"/>
      <c r="B692" s="6"/>
      <c r="C692" s="20">
        <f>IFERROR(VLOOKUP(B692,ชื่อสินค้า!A:C,3,FALSE),)</f>
        <v>0</v>
      </c>
      <c r="D692" s="8" t="str">
        <f>IFERROR(VLOOKUP(B692,ชื่อสินค้า!A:D,4,FALSE),"")</f>
        <v/>
      </c>
      <c r="E692" s="9"/>
      <c r="F692" s="21" t="str">
        <f t="shared" si="15"/>
        <v/>
      </c>
      <c r="G692" s="22"/>
      <c r="H692" s="8">
        <f>IFERROR(VLOOKUP(G692,ซื้อสินค้า!H:I,2,FALSE),)</f>
        <v>0</v>
      </c>
      <c r="I692" s="21">
        <f>IFERROR(VLOOKUP(G692,ซื้อสินค้า!H:J,3,FALSE),)</f>
        <v>0</v>
      </c>
      <c r="J692" s="21">
        <f t="shared" si="16"/>
        <v>0</v>
      </c>
      <c r="K692" s="21">
        <f t="shared" si="17"/>
        <v>0</v>
      </c>
      <c r="L692" s="12">
        <f t="shared" si="18"/>
        <v>0</v>
      </c>
      <c r="M692" s="21">
        <f t="shared" si="19"/>
        <v>0</v>
      </c>
      <c r="N692" s="9" t="str">
        <f ca="1">IFERROR(__xludf.DUMMYFUNCTION("IF(G692&lt;&gt;"""",G692, IFERROR(TRANSPOSE(FILTER('ซื้อสินค้า'!H:H,'ซื้อสินค้า'!B:B=B692,'ซื้อสินค้า'!I:I&gt;0)),))"),"")</f>
        <v/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spans="1:32">
      <c r="A693" s="5"/>
      <c r="B693" s="6"/>
      <c r="C693" s="20">
        <f>IFERROR(VLOOKUP(B693,ชื่อสินค้า!A:C,3,FALSE),)</f>
        <v>0</v>
      </c>
      <c r="D693" s="8" t="str">
        <f>IFERROR(VLOOKUP(B693,ชื่อสินค้า!A:D,4,FALSE),"")</f>
        <v/>
      </c>
      <c r="E693" s="9"/>
      <c r="F693" s="21" t="str">
        <f t="shared" si="15"/>
        <v/>
      </c>
      <c r="G693" s="22"/>
      <c r="H693" s="8">
        <f>IFERROR(VLOOKUP(G693,ซื้อสินค้า!H:I,2,FALSE),)</f>
        <v>0</v>
      </c>
      <c r="I693" s="21">
        <f>IFERROR(VLOOKUP(G693,ซื้อสินค้า!H:J,3,FALSE),)</f>
        <v>0</v>
      </c>
      <c r="J693" s="21">
        <f t="shared" si="16"/>
        <v>0</v>
      </c>
      <c r="K693" s="21">
        <f t="shared" si="17"/>
        <v>0</v>
      </c>
      <c r="L693" s="12">
        <f t="shared" si="18"/>
        <v>0</v>
      </c>
      <c r="M693" s="21">
        <f t="shared" si="19"/>
        <v>0</v>
      </c>
      <c r="N693" s="9" t="str">
        <f ca="1">IFERROR(__xludf.DUMMYFUNCTION("IF(G693&lt;&gt;"""",G693, IFERROR(TRANSPOSE(FILTER('ซื้อสินค้า'!H:H,'ซื้อสินค้า'!B:B=B693,'ซื้อสินค้า'!I:I&gt;0)),))"),"")</f>
        <v/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spans="1:32">
      <c r="A694" s="5"/>
      <c r="B694" s="6"/>
      <c r="C694" s="20">
        <f>IFERROR(VLOOKUP(B694,ชื่อสินค้า!A:C,3,FALSE),)</f>
        <v>0</v>
      </c>
      <c r="D694" s="8" t="str">
        <f>IFERROR(VLOOKUP(B694,ชื่อสินค้า!A:D,4,FALSE),"")</f>
        <v/>
      </c>
      <c r="E694" s="9"/>
      <c r="F694" s="21" t="str">
        <f t="shared" si="15"/>
        <v/>
      </c>
      <c r="G694" s="22"/>
      <c r="H694" s="8">
        <f>IFERROR(VLOOKUP(G694,ซื้อสินค้า!H:I,2,FALSE),)</f>
        <v>0</v>
      </c>
      <c r="I694" s="21">
        <f>IFERROR(VLOOKUP(G694,ซื้อสินค้า!H:J,3,FALSE),)</f>
        <v>0</v>
      </c>
      <c r="J694" s="21">
        <f t="shared" si="16"/>
        <v>0</v>
      </c>
      <c r="K694" s="21">
        <f t="shared" si="17"/>
        <v>0</v>
      </c>
      <c r="L694" s="12">
        <f t="shared" si="18"/>
        <v>0</v>
      </c>
      <c r="M694" s="21">
        <f t="shared" si="19"/>
        <v>0</v>
      </c>
      <c r="N694" s="9" t="str">
        <f ca="1">IFERROR(__xludf.DUMMYFUNCTION("IF(G694&lt;&gt;"""",G694, IFERROR(TRANSPOSE(FILTER('ซื้อสินค้า'!H:H,'ซื้อสินค้า'!B:B=B694,'ซื้อสินค้า'!I:I&gt;0)),))"),"")</f>
        <v/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spans="1:32">
      <c r="A695" s="5"/>
      <c r="B695" s="6"/>
      <c r="C695" s="20">
        <f>IFERROR(VLOOKUP(B695,ชื่อสินค้า!A:C,3,FALSE),)</f>
        <v>0</v>
      </c>
      <c r="D695" s="8" t="str">
        <f>IFERROR(VLOOKUP(B695,ชื่อสินค้า!A:D,4,FALSE),"")</f>
        <v/>
      </c>
      <c r="E695" s="9"/>
      <c r="F695" s="21" t="str">
        <f t="shared" si="15"/>
        <v/>
      </c>
      <c r="G695" s="22"/>
      <c r="H695" s="8">
        <f>IFERROR(VLOOKUP(G695,ซื้อสินค้า!H:I,2,FALSE),)</f>
        <v>0</v>
      </c>
      <c r="I695" s="21">
        <f>IFERROR(VLOOKUP(G695,ซื้อสินค้า!H:J,3,FALSE),)</f>
        <v>0</v>
      </c>
      <c r="J695" s="21">
        <f t="shared" si="16"/>
        <v>0</v>
      </c>
      <c r="K695" s="21">
        <f t="shared" si="17"/>
        <v>0</v>
      </c>
      <c r="L695" s="12">
        <f t="shared" si="18"/>
        <v>0</v>
      </c>
      <c r="M695" s="21">
        <f t="shared" si="19"/>
        <v>0</v>
      </c>
      <c r="N695" s="9" t="str">
        <f ca="1">IFERROR(__xludf.DUMMYFUNCTION("IF(G695&lt;&gt;"""",G695, IFERROR(TRANSPOSE(FILTER('ซื้อสินค้า'!H:H,'ซื้อสินค้า'!B:B=B695,'ซื้อสินค้า'!I:I&gt;0)),))"),"")</f>
        <v/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spans="1:32">
      <c r="A696" s="5"/>
      <c r="B696" s="6"/>
      <c r="C696" s="20">
        <f>IFERROR(VLOOKUP(B696,ชื่อสินค้า!A:C,3,FALSE),)</f>
        <v>0</v>
      </c>
      <c r="D696" s="8" t="str">
        <f>IFERROR(VLOOKUP(B696,ชื่อสินค้า!A:D,4,FALSE),"")</f>
        <v/>
      </c>
      <c r="E696" s="9"/>
      <c r="F696" s="21" t="str">
        <f t="shared" si="15"/>
        <v/>
      </c>
      <c r="G696" s="22"/>
      <c r="H696" s="8">
        <f>IFERROR(VLOOKUP(G696,ซื้อสินค้า!H:I,2,FALSE),)</f>
        <v>0</v>
      </c>
      <c r="I696" s="21">
        <f>IFERROR(VLOOKUP(G696,ซื้อสินค้า!H:J,3,FALSE),)</f>
        <v>0</v>
      </c>
      <c r="J696" s="21">
        <f t="shared" si="16"/>
        <v>0</v>
      </c>
      <c r="K696" s="21">
        <f t="shared" si="17"/>
        <v>0</v>
      </c>
      <c r="L696" s="12">
        <f t="shared" si="18"/>
        <v>0</v>
      </c>
      <c r="M696" s="21">
        <f t="shared" si="19"/>
        <v>0</v>
      </c>
      <c r="N696" s="9" t="str">
        <f ca="1">IFERROR(__xludf.DUMMYFUNCTION("IF(G696&lt;&gt;"""",G696, IFERROR(TRANSPOSE(FILTER('ซื้อสินค้า'!H:H,'ซื้อสินค้า'!B:B=B696,'ซื้อสินค้า'!I:I&gt;0)),))"),"")</f>
        <v/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spans="1:32">
      <c r="A697" s="5"/>
      <c r="B697" s="6"/>
      <c r="C697" s="20">
        <f>IFERROR(VLOOKUP(B697,ชื่อสินค้า!A:C,3,FALSE),)</f>
        <v>0</v>
      </c>
      <c r="D697" s="8" t="str">
        <f>IFERROR(VLOOKUP(B697,ชื่อสินค้า!A:D,4,FALSE),"")</f>
        <v/>
      </c>
      <c r="E697" s="9"/>
      <c r="F697" s="21" t="str">
        <f t="shared" si="15"/>
        <v/>
      </c>
      <c r="G697" s="22"/>
      <c r="H697" s="8">
        <f>IFERROR(VLOOKUP(G697,ซื้อสินค้า!H:I,2,FALSE),)</f>
        <v>0</v>
      </c>
      <c r="I697" s="21">
        <f>IFERROR(VLOOKUP(G697,ซื้อสินค้า!H:J,3,FALSE),)</f>
        <v>0</v>
      </c>
      <c r="J697" s="21">
        <f t="shared" si="16"/>
        <v>0</v>
      </c>
      <c r="K697" s="21">
        <f t="shared" si="17"/>
        <v>0</v>
      </c>
      <c r="L697" s="12">
        <f t="shared" si="18"/>
        <v>0</v>
      </c>
      <c r="M697" s="21">
        <f t="shared" si="19"/>
        <v>0</v>
      </c>
      <c r="N697" s="9" t="str">
        <f ca="1">IFERROR(__xludf.DUMMYFUNCTION("IF(G697&lt;&gt;"""",G697, IFERROR(TRANSPOSE(FILTER('ซื้อสินค้า'!H:H,'ซื้อสินค้า'!B:B=B697,'ซื้อสินค้า'!I:I&gt;0)),))"),"")</f>
        <v/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spans="1:32">
      <c r="A698" s="5"/>
      <c r="B698" s="6"/>
      <c r="C698" s="20">
        <f>IFERROR(VLOOKUP(B698,ชื่อสินค้า!A:C,3,FALSE),)</f>
        <v>0</v>
      </c>
      <c r="D698" s="8" t="str">
        <f>IFERROR(VLOOKUP(B698,ชื่อสินค้า!A:D,4,FALSE),"")</f>
        <v/>
      </c>
      <c r="E698" s="9"/>
      <c r="F698" s="21" t="str">
        <f t="shared" si="15"/>
        <v/>
      </c>
      <c r="G698" s="22"/>
      <c r="H698" s="8">
        <f>IFERROR(VLOOKUP(G698,ซื้อสินค้า!H:I,2,FALSE),)</f>
        <v>0</v>
      </c>
      <c r="I698" s="21">
        <f>IFERROR(VLOOKUP(G698,ซื้อสินค้า!H:J,3,FALSE),)</f>
        <v>0</v>
      </c>
      <c r="J698" s="21">
        <f t="shared" si="16"/>
        <v>0</v>
      </c>
      <c r="K698" s="21">
        <f t="shared" si="17"/>
        <v>0</v>
      </c>
      <c r="L698" s="12">
        <f t="shared" si="18"/>
        <v>0</v>
      </c>
      <c r="M698" s="21">
        <f t="shared" si="19"/>
        <v>0</v>
      </c>
      <c r="N698" s="9" t="str">
        <f ca="1">IFERROR(__xludf.DUMMYFUNCTION("IF(G698&lt;&gt;"""",G698, IFERROR(TRANSPOSE(FILTER('ซื้อสินค้า'!H:H,'ซื้อสินค้า'!B:B=B698,'ซื้อสินค้า'!I:I&gt;0)),))"),"")</f>
        <v/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spans="1:32">
      <c r="A699" s="5"/>
      <c r="B699" s="6"/>
      <c r="C699" s="20">
        <f>IFERROR(VLOOKUP(B699,ชื่อสินค้า!A:C,3,FALSE),)</f>
        <v>0</v>
      </c>
      <c r="D699" s="8" t="str">
        <f>IFERROR(VLOOKUP(B699,ชื่อสินค้า!A:D,4,FALSE),"")</f>
        <v/>
      </c>
      <c r="E699" s="9"/>
      <c r="F699" s="21" t="str">
        <f t="shared" si="15"/>
        <v/>
      </c>
      <c r="G699" s="22"/>
      <c r="H699" s="8">
        <f>IFERROR(VLOOKUP(G699,ซื้อสินค้า!H:I,2,FALSE),)</f>
        <v>0</v>
      </c>
      <c r="I699" s="21">
        <f>IFERROR(VLOOKUP(G699,ซื้อสินค้า!H:J,3,FALSE),)</f>
        <v>0</v>
      </c>
      <c r="J699" s="21">
        <f t="shared" si="16"/>
        <v>0</v>
      </c>
      <c r="K699" s="21">
        <f t="shared" si="17"/>
        <v>0</v>
      </c>
      <c r="L699" s="12">
        <f t="shared" si="18"/>
        <v>0</v>
      </c>
      <c r="M699" s="21">
        <f t="shared" si="19"/>
        <v>0</v>
      </c>
      <c r="N699" s="9" t="str">
        <f ca="1">IFERROR(__xludf.DUMMYFUNCTION("IF(G699&lt;&gt;"""",G699, IFERROR(TRANSPOSE(FILTER('ซื้อสินค้า'!H:H,'ซื้อสินค้า'!B:B=B699,'ซื้อสินค้า'!I:I&gt;0)),))"),"")</f>
        <v/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spans="1:32">
      <c r="A700" s="5"/>
      <c r="B700" s="6"/>
      <c r="C700" s="20">
        <f>IFERROR(VLOOKUP(B700,ชื่อสินค้า!A:C,3,FALSE),)</f>
        <v>0</v>
      </c>
      <c r="D700" s="8" t="str">
        <f>IFERROR(VLOOKUP(B700,ชื่อสินค้า!A:D,4,FALSE),"")</f>
        <v/>
      </c>
      <c r="E700" s="9"/>
      <c r="F700" s="21" t="str">
        <f t="shared" si="15"/>
        <v/>
      </c>
      <c r="G700" s="22"/>
      <c r="H700" s="8">
        <f>IFERROR(VLOOKUP(G700,ซื้อสินค้า!H:I,2,FALSE),)</f>
        <v>0</v>
      </c>
      <c r="I700" s="21">
        <f>IFERROR(VLOOKUP(G700,ซื้อสินค้า!H:J,3,FALSE),)</f>
        <v>0</v>
      </c>
      <c r="J700" s="21">
        <f t="shared" si="16"/>
        <v>0</v>
      </c>
      <c r="K700" s="21">
        <f t="shared" si="17"/>
        <v>0</v>
      </c>
      <c r="L700" s="12">
        <f t="shared" si="18"/>
        <v>0</v>
      </c>
      <c r="M700" s="21">
        <f t="shared" si="19"/>
        <v>0</v>
      </c>
      <c r="N700" s="9" t="str">
        <f ca="1">IFERROR(__xludf.DUMMYFUNCTION("IF(G700&lt;&gt;"""",G700, IFERROR(TRANSPOSE(FILTER('ซื้อสินค้า'!H:H,'ซื้อสินค้า'!B:B=B700,'ซื้อสินค้า'!I:I&gt;0)),))"),"")</f>
        <v/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spans="1:32">
      <c r="A701" s="5"/>
      <c r="B701" s="6"/>
      <c r="C701" s="20">
        <f>IFERROR(VLOOKUP(B701,ชื่อสินค้า!A:C,3,FALSE),)</f>
        <v>0</v>
      </c>
      <c r="D701" s="8" t="str">
        <f>IFERROR(VLOOKUP(B701,ชื่อสินค้า!A:D,4,FALSE),"")</f>
        <v/>
      </c>
      <c r="E701" s="9"/>
      <c r="F701" s="21" t="str">
        <f t="shared" si="15"/>
        <v/>
      </c>
      <c r="G701" s="22"/>
      <c r="H701" s="8">
        <f>IFERROR(VLOOKUP(G701,ซื้อสินค้า!H:I,2,FALSE),)</f>
        <v>0</v>
      </c>
      <c r="I701" s="21">
        <f>IFERROR(VLOOKUP(G701,ซื้อสินค้า!H:J,3,FALSE),)</f>
        <v>0</v>
      </c>
      <c r="J701" s="21">
        <f t="shared" si="16"/>
        <v>0</v>
      </c>
      <c r="K701" s="21">
        <f t="shared" si="17"/>
        <v>0</v>
      </c>
      <c r="L701" s="12">
        <f t="shared" si="18"/>
        <v>0</v>
      </c>
      <c r="M701" s="21">
        <f t="shared" si="19"/>
        <v>0</v>
      </c>
      <c r="N701" s="9" t="str">
        <f ca="1">IFERROR(__xludf.DUMMYFUNCTION("IF(G701&lt;&gt;"""",G701, IFERROR(TRANSPOSE(FILTER('ซื้อสินค้า'!H:H,'ซื้อสินค้า'!B:B=B701,'ซื้อสินค้า'!I:I&gt;0)),))"),"")</f>
        <v/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spans="1:32">
      <c r="A702" s="5"/>
      <c r="B702" s="6"/>
      <c r="C702" s="20">
        <f>IFERROR(VLOOKUP(B702,ชื่อสินค้า!A:C,3,FALSE),)</f>
        <v>0</v>
      </c>
      <c r="D702" s="8" t="str">
        <f>IFERROR(VLOOKUP(B702,ชื่อสินค้า!A:D,4,FALSE),"")</f>
        <v/>
      </c>
      <c r="E702" s="9"/>
      <c r="F702" s="21" t="str">
        <f t="shared" si="15"/>
        <v/>
      </c>
      <c r="G702" s="22"/>
      <c r="H702" s="8">
        <f>IFERROR(VLOOKUP(G702,ซื้อสินค้า!H:I,2,FALSE),)</f>
        <v>0</v>
      </c>
      <c r="I702" s="21">
        <f>IFERROR(VLOOKUP(G702,ซื้อสินค้า!H:J,3,FALSE),)</f>
        <v>0</v>
      </c>
      <c r="J702" s="21">
        <f t="shared" si="16"/>
        <v>0</v>
      </c>
      <c r="K702" s="21">
        <f t="shared" si="17"/>
        <v>0</v>
      </c>
      <c r="L702" s="12">
        <f t="shared" si="18"/>
        <v>0</v>
      </c>
      <c r="M702" s="21">
        <f t="shared" si="19"/>
        <v>0</v>
      </c>
      <c r="N702" s="9" t="str">
        <f ca="1">IFERROR(__xludf.DUMMYFUNCTION("IF(G702&lt;&gt;"""",G702, IFERROR(TRANSPOSE(FILTER('ซื้อสินค้า'!H:H,'ซื้อสินค้า'!B:B=B702,'ซื้อสินค้า'!I:I&gt;0)),))"),"")</f>
        <v/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spans="1:32">
      <c r="A703" s="5"/>
      <c r="B703" s="6"/>
      <c r="C703" s="20">
        <f>IFERROR(VLOOKUP(B703,ชื่อสินค้า!A:C,3,FALSE),)</f>
        <v>0</v>
      </c>
      <c r="D703" s="8" t="str">
        <f>IFERROR(VLOOKUP(B703,ชื่อสินค้า!A:D,4,FALSE),"")</f>
        <v/>
      </c>
      <c r="E703" s="9"/>
      <c r="F703" s="21" t="str">
        <f t="shared" si="15"/>
        <v/>
      </c>
      <c r="G703" s="22"/>
      <c r="H703" s="8">
        <f>IFERROR(VLOOKUP(G703,ซื้อสินค้า!H:I,2,FALSE),)</f>
        <v>0</v>
      </c>
      <c r="I703" s="21">
        <f>IFERROR(VLOOKUP(G703,ซื้อสินค้า!H:J,3,FALSE),)</f>
        <v>0</v>
      </c>
      <c r="J703" s="21">
        <f t="shared" si="16"/>
        <v>0</v>
      </c>
      <c r="K703" s="21">
        <f t="shared" si="17"/>
        <v>0</v>
      </c>
      <c r="L703" s="12">
        <f t="shared" si="18"/>
        <v>0</v>
      </c>
      <c r="M703" s="21">
        <f t="shared" si="19"/>
        <v>0</v>
      </c>
      <c r="N703" s="9" t="str">
        <f ca="1">IFERROR(__xludf.DUMMYFUNCTION("IF(G703&lt;&gt;"""",G703, IFERROR(TRANSPOSE(FILTER('ซื้อสินค้า'!H:H,'ซื้อสินค้า'!B:B=B703,'ซื้อสินค้า'!I:I&gt;0)),))"),"")</f>
        <v/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spans="1:32">
      <c r="A704" s="5"/>
      <c r="B704" s="6"/>
      <c r="C704" s="20">
        <f>IFERROR(VLOOKUP(B704,ชื่อสินค้า!A:C,3,FALSE),)</f>
        <v>0</v>
      </c>
      <c r="D704" s="8" t="str">
        <f>IFERROR(VLOOKUP(B704,ชื่อสินค้า!A:D,4,FALSE),"")</f>
        <v/>
      </c>
      <c r="E704" s="9"/>
      <c r="F704" s="21" t="str">
        <f t="shared" si="15"/>
        <v/>
      </c>
      <c r="G704" s="22"/>
      <c r="H704" s="8">
        <f>IFERROR(VLOOKUP(G704,ซื้อสินค้า!H:I,2,FALSE),)</f>
        <v>0</v>
      </c>
      <c r="I704" s="21">
        <f>IFERROR(VLOOKUP(G704,ซื้อสินค้า!H:J,3,FALSE),)</f>
        <v>0</v>
      </c>
      <c r="J704" s="21">
        <f t="shared" si="16"/>
        <v>0</v>
      </c>
      <c r="K704" s="21">
        <f t="shared" si="17"/>
        <v>0</v>
      </c>
      <c r="L704" s="12">
        <f t="shared" si="18"/>
        <v>0</v>
      </c>
      <c r="M704" s="21">
        <f t="shared" si="19"/>
        <v>0</v>
      </c>
      <c r="N704" s="9" t="str">
        <f ca="1">IFERROR(__xludf.DUMMYFUNCTION("IF(G704&lt;&gt;"""",G704, IFERROR(TRANSPOSE(FILTER('ซื้อสินค้า'!H:H,'ซื้อสินค้า'!B:B=B704,'ซื้อสินค้า'!I:I&gt;0)),))"),"")</f>
        <v/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spans="1:32">
      <c r="A705" s="5"/>
      <c r="B705" s="6"/>
      <c r="C705" s="20">
        <f>IFERROR(VLOOKUP(B705,ชื่อสินค้า!A:C,3,FALSE),)</f>
        <v>0</v>
      </c>
      <c r="D705" s="8" t="str">
        <f>IFERROR(VLOOKUP(B705,ชื่อสินค้า!A:D,4,FALSE),"")</f>
        <v/>
      </c>
      <c r="E705" s="9"/>
      <c r="F705" s="21" t="str">
        <f t="shared" si="15"/>
        <v/>
      </c>
      <c r="G705" s="22"/>
      <c r="H705" s="8">
        <f>IFERROR(VLOOKUP(G705,ซื้อสินค้า!H:I,2,FALSE),)</f>
        <v>0</v>
      </c>
      <c r="I705" s="21">
        <f>IFERROR(VLOOKUP(G705,ซื้อสินค้า!H:J,3,FALSE),)</f>
        <v>0</v>
      </c>
      <c r="J705" s="21">
        <f t="shared" si="16"/>
        <v>0</v>
      </c>
      <c r="K705" s="21">
        <f t="shared" si="17"/>
        <v>0</v>
      </c>
      <c r="L705" s="12">
        <f t="shared" si="18"/>
        <v>0</v>
      </c>
      <c r="M705" s="21">
        <f t="shared" si="19"/>
        <v>0</v>
      </c>
      <c r="N705" s="9" t="str">
        <f ca="1">IFERROR(__xludf.DUMMYFUNCTION("IF(G705&lt;&gt;"""",G705, IFERROR(TRANSPOSE(FILTER('ซื้อสินค้า'!H:H,'ซื้อสินค้า'!B:B=B705,'ซื้อสินค้า'!I:I&gt;0)),))"),"")</f>
        <v/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spans="1:32">
      <c r="A706" s="5"/>
      <c r="B706" s="6"/>
      <c r="C706" s="20">
        <f>IFERROR(VLOOKUP(B706,ชื่อสินค้า!A:C,3,FALSE),)</f>
        <v>0</v>
      </c>
      <c r="D706" s="8" t="str">
        <f>IFERROR(VLOOKUP(B706,ชื่อสินค้า!A:D,4,FALSE),"")</f>
        <v/>
      </c>
      <c r="E706" s="9"/>
      <c r="F706" s="21" t="str">
        <f t="shared" si="15"/>
        <v/>
      </c>
      <c r="G706" s="22"/>
      <c r="H706" s="8">
        <f>IFERROR(VLOOKUP(G706,ซื้อสินค้า!H:I,2,FALSE),)</f>
        <v>0</v>
      </c>
      <c r="I706" s="21">
        <f>IFERROR(VLOOKUP(G706,ซื้อสินค้า!H:J,3,FALSE),)</f>
        <v>0</v>
      </c>
      <c r="J706" s="21">
        <f t="shared" si="16"/>
        <v>0</v>
      </c>
      <c r="K706" s="21">
        <f t="shared" si="17"/>
        <v>0</v>
      </c>
      <c r="L706" s="12">
        <f t="shared" si="18"/>
        <v>0</v>
      </c>
      <c r="M706" s="21">
        <f t="shared" si="19"/>
        <v>0</v>
      </c>
      <c r="N706" s="9" t="str">
        <f ca="1">IFERROR(__xludf.DUMMYFUNCTION("IF(G706&lt;&gt;"""",G706, IFERROR(TRANSPOSE(FILTER('ซื้อสินค้า'!H:H,'ซื้อสินค้า'!B:B=B706,'ซื้อสินค้า'!I:I&gt;0)),))"),"")</f>
        <v/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spans="1:32">
      <c r="A707" s="5"/>
      <c r="B707" s="6"/>
      <c r="C707" s="20">
        <f>IFERROR(VLOOKUP(B707,ชื่อสินค้า!A:C,3,FALSE),)</f>
        <v>0</v>
      </c>
      <c r="D707" s="8" t="str">
        <f>IFERROR(VLOOKUP(B707,ชื่อสินค้า!A:D,4,FALSE),"")</f>
        <v/>
      </c>
      <c r="E707" s="9"/>
      <c r="F707" s="21" t="str">
        <f t="shared" si="15"/>
        <v/>
      </c>
      <c r="G707" s="22"/>
      <c r="H707" s="8">
        <f>IFERROR(VLOOKUP(G707,ซื้อสินค้า!H:I,2,FALSE),)</f>
        <v>0</v>
      </c>
      <c r="I707" s="21">
        <f>IFERROR(VLOOKUP(G707,ซื้อสินค้า!H:J,3,FALSE),)</f>
        <v>0</v>
      </c>
      <c r="J707" s="21">
        <f t="shared" si="16"/>
        <v>0</v>
      </c>
      <c r="K707" s="21">
        <f t="shared" si="17"/>
        <v>0</v>
      </c>
      <c r="L707" s="12">
        <f t="shared" si="18"/>
        <v>0</v>
      </c>
      <c r="M707" s="21">
        <f t="shared" si="19"/>
        <v>0</v>
      </c>
      <c r="N707" s="9" t="str">
        <f ca="1">IFERROR(__xludf.DUMMYFUNCTION("IF(G707&lt;&gt;"""",G707, IFERROR(TRANSPOSE(FILTER('ซื้อสินค้า'!H:H,'ซื้อสินค้า'!B:B=B707,'ซื้อสินค้า'!I:I&gt;0)),))"),"")</f>
        <v/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spans="1:32">
      <c r="A708" s="5"/>
      <c r="B708" s="6"/>
      <c r="C708" s="20">
        <f>IFERROR(VLOOKUP(B708,ชื่อสินค้า!A:C,3,FALSE),)</f>
        <v>0</v>
      </c>
      <c r="D708" s="8" t="str">
        <f>IFERROR(VLOOKUP(B708,ชื่อสินค้า!A:D,4,FALSE),"")</f>
        <v/>
      </c>
      <c r="E708" s="9"/>
      <c r="F708" s="21" t="str">
        <f t="shared" si="15"/>
        <v/>
      </c>
      <c r="G708" s="22"/>
      <c r="H708" s="8">
        <f>IFERROR(VLOOKUP(G708,ซื้อสินค้า!H:I,2,FALSE),)</f>
        <v>0</v>
      </c>
      <c r="I708" s="21">
        <f>IFERROR(VLOOKUP(G708,ซื้อสินค้า!H:J,3,FALSE),)</f>
        <v>0</v>
      </c>
      <c r="J708" s="21">
        <f t="shared" si="16"/>
        <v>0</v>
      </c>
      <c r="K708" s="21">
        <f t="shared" si="17"/>
        <v>0</v>
      </c>
      <c r="L708" s="12">
        <f t="shared" si="18"/>
        <v>0</v>
      </c>
      <c r="M708" s="21">
        <f t="shared" si="19"/>
        <v>0</v>
      </c>
      <c r="N708" s="9" t="str">
        <f ca="1">IFERROR(__xludf.DUMMYFUNCTION("IF(G708&lt;&gt;"""",G708, IFERROR(TRANSPOSE(FILTER('ซื้อสินค้า'!H:H,'ซื้อสินค้า'!B:B=B708,'ซื้อสินค้า'!I:I&gt;0)),))"),"")</f>
        <v/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spans="1:32">
      <c r="A709" s="5"/>
      <c r="B709" s="6"/>
      <c r="C709" s="20">
        <f>IFERROR(VLOOKUP(B709,ชื่อสินค้า!A:C,3,FALSE),)</f>
        <v>0</v>
      </c>
      <c r="D709" s="8" t="str">
        <f>IFERROR(VLOOKUP(B709,ชื่อสินค้า!A:D,4,FALSE),"")</f>
        <v/>
      </c>
      <c r="E709" s="9"/>
      <c r="F709" s="21" t="str">
        <f t="shared" si="15"/>
        <v/>
      </c>
      <c r="G709" s="22"/>
      <c r="H709" s="8">
        <f>IFERROR(VLOOKUP(G709,ซื้อสินค้า!H:I,2,FALSE),)</f>
        <v>0</v>
      </c>
      <c r="I709" s="21">
        <f>IFERROR(VLOOKUP(G709,ซื้อสินค้า!H:J,3,FALSE),)</f>
        <v>0</v>
      </c>
      <c r="J709" s="21">
        <f t="shared" si="16"/>
        <v>0</v>
      </c>
      <c r="K709" s="21">
        <f t="shared" si="17"/>
        <v>0</v>
      </c>
      <c r="L709" s="12">
        <f t="shared" si="18"/>
        <v>0</v>
      </c>
      <c r="M709" s="21">
        <f t="shared" si="19"/>
        <v>0</v>
      </c>
      <c r="N709" s="9" t="str">
        <f ca="1">IFERROR(__xludf.DUMMYFUNCTION("IF(G709&lt;&gt;"""",G709, IFERROR(TRANSPOSE(FILTER('ซื้อสินค้า'!H:H,'ซื้อสินค้า'!B:B=B709,'ซื้อสินค้า'!I:I&gt;0)),))"),"")</f>
        <v/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spans="1:32">
      <c r="A710" s="5"/>
      <c r="B710" s="6"/>
      <c r="C710" s="20">
        <f>IFERROR(VLOOKUP(B710,ชื่อสินค้า!A:C,3,FALSE),)</f>
        <v>0</v>
      </c>
      <c r="D710" s="8" t="str">
        <f>IFERROR(VLOOKUP(B710,ชื่อสินค้า!A:D,4,FALSE),"")</f>
        <v/>
      </c>
      <c r="E710" s="9"/>
      <c r="F710" s="21" t="str">
        <f t="shared" si="15"/>
        <v/>
      </c>
      <c r="G710" s="22"/>
      <c r="H710" s="8">
        <f>IFERROR(VLOOKUP(G710,ซื้อสินค้า!H:I,2,FALSE),)</f>
        <v>0</v>
      </c>
      <c r="I710" s="21">
        <f>IFERROR(VLOOKUP(G710,ซื้อสินค้า!H:J,3,FALSE),)</f>
        <v>0</v>
      </c>
      <c r="J710" s="21">
        <f t="shared" si="16"/>
        <v>0</v>
      </c>
      <c r="K710" s="21">
        <f t="shared" si="17"/>
        <v>0</v>
      </c>
      <c r="L710" s="12">
        <f t="shared" si="18"/>
        <v>0</v>
      </c>
      <c r="M710" s="21">
        <f t="shared" si="19"/>
        <v>0</v>
      </c>
      <c r="N710" s="9" t="str">
        <f ca="1">IFERROR(__xludf.DUMMYFUNCTION("IF(G710&lt;&gt;"""",G710, IFERROR(TRANSPOSE(FILTER('ซื้อสินค้า'!H:H,'ซื้อสินค้า'!B:B=B710,'ซื้อสินค้า'!I:I&gt;0)),))"),"")</f>
        <v/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spans="1:32">
      <c r="A711" s="5"/>
      <c r="B711" s="6"/>
      <c r="C711" s="20">
        <f>IFERROR(VLOOKUP(B711,ชื่อสินค้า!A:C,3,FALSE),)</f>
        <v>0</v>
      </c>
      <c r="D711" s="8" t="str">
        <f>IFERROR(VLOOKUP(B711,ชื่อสินค้า!A:D,4,FALSE),"")</f>
        <v/>
      </c>
      <c r="E711" s="9"/>
      <c r="F711" s="21" t="str">
        <f t="shared" si="15"/>
        <v/>
      </c>
      <c r="G711" s="22"/>
      <c r="H711" s="8">
        <f>IFERROR(VLOOKUP(G711,ซื้อสินค้า!H:I,2,FALSE),)</f>
        <v>0</v>
      </c>
      <c r="I711" s="21">
        <f>IFERROR(VLOOKUP(G711,ซื้อสินค้า!H:J,3,FALSE),)</f>
        <v>0</v>
      </c>
      <c r="J711" s="21">
        <f t="shared" si="16"/>
        <v>0</v>
      </c>
      <c r="K711" s="21">
        <f t="shared" si="17"/>
        <v>0</v>
      </c>
      <c r="L711" s="12">
        <f t="shared" si="18"/>
        <v>0</v>
      </c>
      <c r="M711" s="21">
        <f t="shared" si="19"/>
        <v>0</v>
      </c>
      <c r="N711" s="9" t="str">
        <f ca="1">IFERROR(__xludf.DUMMYFUNCTION("IF(G711&lt;&gt;"""",G711, IFERROR(TRANSPOSE(FILTER('ซื้อสินค้า'!H:H,'ซื้อสินค้า'!B:B=B711,'ซื้อสินค้า'!I:I&gt;0)),))"),"")</f>
        <v/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spans="1:32">
      <c r="A712" s="5"/>
      <c r="B712" s="6"/>
      <c r="C712" s="20">
        <f>IFERROR(VLOOKUP(B712,ชื่อสินค้า!A:C,3,FALSE),)</f>
        <v>0</v>
      </c>
      <c r="D712" s="8" t="str">
        <f>IFERROR(VLOOKUP(B712,ชื่อสินค้า!A:D,4,FALSE),"")</f>
        <v/>
      </c>
      <c r="E712" s="9"/>
      <c r="F712" s="21" t="str">
        <f t="shared" si="15"/>
        <v/>
      </c>
      <c r="G712" s="22"/>
      <c r="H712" s="8">
        <f>IFERROR(VLOOKUP(G712,ซื้อสินค้า!H:I,2,FALSE),)</f>
        <v>0</v>
      </c>
      <c r="I712" s="21">
        <f>IFERROR(VLOOKUP(G712,ซื้อสินค้า!H:J,3,FALSE),)</f>
        <v>0</v>
      </c>
      <c r="J712" s="21">
        <f t="shared" si="16"/>
        <v>0</v>
      </c>
      <c r="K712" s="21">
        <f t="shared" si="17"/>
        <v>0</v>
      </c>
      <c r="L712" s="12">
        <f t="shared" si="18"/>
        <v>0</v>
      </c>
      <c r="M712" s="21">
        <f t="shared" si="19"/>
        <v>0</v>
      </c>
      <c r="N712" s="9" t="str">
        <f ca="1">IFERROR(__xludf.DUMMYFUNCTION("IF(G712&lt;&gt;"""",G712, IFERROR(TRANSPOSE(FILTER('ซื้อสินค้า'!H:H,'ซื้อสินค้า'!B:B=B712,'ซื้อสินค้า'!I:I&gt;0)),))"),"")</f>
        <v/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spans="1:32">
      <c r="A713" s="5"/>
      <c r="B713" s="6"/>
      <c r="C713" s="20">
        <f>IFERROR(VLOOKUP(B713,ชื่อสินค้า!A:C,3,FALSE),)</f>
        <v>0</v>
      </c>
      <c r="D713" s="8" t="str">
        <f>IFERROR(VLOOKUP(B713,ชื่อสินค้า!A:D,4,FALSE),"")</f>
        <v/>
      </c>
      <c r="E713" s="9"/>
      <c r="F713" s="21" t="str">
        <f t="shared" si="15"/>
        <v/>
      </c>
      <c r="G713" s="22"/>
      <c r="H713" s="8">
        <f>IFERROR(VLOOKUP(G713,ซื้อสินค้า!H:I,2,FALSE),)</f>
        <v>0</v>
      </c>
      <c r="I713" s="21">
        <f>IFERROR(VLOOKUP(G713,ซื้อสินค้า!H:J,3,FALSE),)</f>
        <v>0</v>
      </c>
      <c r="J713" s="21">
        <f t="shared" si="16"/>
        <v>0</v>
      </c>
      <c r="K713" s="21">
        <f t="shared" si="17"/>
        <v>0</v>
      </c>
      <c r="L713" s="12">
        <f t="shared" si="18"/>
        <v>0</v>
      </c>
      <c r="M713" s="21">
        <f t="shared" si="19"/>
        <v>0</v>
      </c>
      <c r="N713" s="9" t="str">
        <f ca="1">IFERROR(__xludf.DUMMYFUNCTION("IF(G713&lt;&gt;"""",G713, IFERROR(TRANSPOSE(FILTER('ซื้อสินค้า'!H:H,'ซื้อสินค้า'!B:B=B713,'ซื้อสินค้า'!I:I&gt;0)),))"),"")</f>
        <v/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spans="1:32">
      <c r="A714" s="5"/>
      <c r="B714" s="6"/>
      <c r="C714" s="20">
        <f>IFERROR(VLOOKUP(B714,ชื่อสินค้า!A:C,3,FALSE),)</f>
        <v>0</v>
      </c>
      <c r="D714" s="8" t="str">
        <f>IFERROR(VLOOKUP(B714,ชื่อสินค้า!A:D,4,FALSE),"")</f>
        <v/>
      </c>
      <c r="E714" s="9"/>
      <c r="F714" s="21" t="str">
        <f t="shared" si="15"/>
        <v/>
      </c>
      <c r="G714" s="22"/>
      <c r="H714" s="8">
        <f>IFERROR(VLOOKUP(G714,ซื้อสินค้า!H:I,2,FALSE),)</f>
        <v>0</v>
      </c>
      <c r="I714" s="21">
        <f>IFERROR(VLOOKUP(G714,ซื้อสินค้า!H:J,3,FALSE),)</f>
        <v>0</v>
      </c>
      <c r="J714" s="21">
        <f t="shared" si="16"/>
        <v>0</v>
      </c>
      <c r="K714" s="21">
        <f t="shared" si="17"/>
        <v>0</v>
      </c>
      <c r="L714" s="12">
        <f t="shared" si="18"/>
        <v>0</v>
      </c>
      <c r="M714" s="21">
        <f t="shared" si="19"/>
        <v>0</v>
      </c>
      <c r="N714" s="9" t="str">
        <f ca="1">IFERROR(__xludf.DUMMYFUNCTION("IF(G714&lt;&gt;"""",G714, IFERROR(TRANSPOSE(FILTER('ซื้อสินค้า'!H:H,'ซื้อสินค้า'!B:B=B714,'ซื้อสินค้า'!I:I&gt;0)),))"),"")</f>
        <v/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spans="1:32">
      <c r="A715" s="5"/>
      <c r="B715" s="6"/>
      <c r="C715" s="20">
        <f>IFERROR(VLOOKUP(B715,ชื่อสินค้า!A:C,3,FALSE),)</f>
        <v>0</v>
      </c>
      <c r="D715" s="8" t="str">
        <f>IFERROR(VLOOKUP(B715,ชื่อสินค้า!A:D,4,FALSE),"")</f>
        <v/>
      </c>
      <c r="E715" s="9"/>
      <c r="F715" s="21" t="str">
        <f t="shared" si="15"/>
        <v/>
      </c>
      <c r="G715" s="22"/>
      <c r="H715" s="8">
        <f>IFERROR(VLOOKUP(G715,ซื้อสินค้า!H:I,2,FALSE),)</f>
        <v>0</v>
      </c>
      <c r="I715" s="21">
        <f>IFERROR(VLOOKUP(G715,ซื้อสินค้า!H:J,3,FALSE),)</f>
        <v>0</v>
      </c>
      <c r="J715" s="21">
        <f t="shared" si="16"/>
        <v>0</v>
      </c>
      <c r="K715" s="21">
        <f t="shared" si="17"/>
        <v>0</v>
      </c>
      <c r="L715" s="12">
        <f t="shared" si="18"/>
        <v>0</v>
      </c>
      <c r="M715" s="21">
        <f t="shared" si="19"/>
        <v>0</v>
      </c>
      <c r="N715" s="9" t="str">
        <f ca="1">IFERROR(__xludf.DUMMYFUNCTION("IF(G715&lt;&gt;"""",G715, IFERROR(TRANSPOSE(FILTER('ซื้อสินค้า'!H:H,'ซื้อสินค้า'!B:B=B715,'ซื้อสินค้า'!I:I&gt;0)),))"),"")</f>
        <v/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spans="1:32">
      <c r="A716" s="5"/>
      <c r="B716" s="6"/>
      <c r="C716" s="20">
        <f>IFERROR(VLOOKUP(B716,ชื่อสินค้า!A:C,3,FALSE),)</f>
        <v>0</v>
      </c>
      <c r="D716" s="8" t="str">
        <f>IFERROR(VLOOKUP(B716,ชื่อสินค้า!A:D,4,FALSE),"")</f>
        <v/>
      </c>
      <c r="E716" s="9"/>
      <c r="F716" s="21" t="str">
        <f t="shared" si="15"/>
        <v/>
      </c>
      <c r="G716" s="22"/>
      <c r="H716" s="8">
        <f>IFERROR(VLOOKUP(G716,ซื้อสินค้า!H:I,2,FALSE),)</f>
        <v>0</v>
      </c>
      <c r="I716" s="21">
        <f>IFERROR(VLOOKUP(G716,ซื้อสินค้า!H:J,3,FALSE),)</f>
        <v>0</v>
      </c>
      <c r="J716" s="21">
        <f t="shared" si="16"/>
        <v>0</v>
      </c>
      <c r="K716" s="21">
        <f t="shared" si="17"/>
        <v>0</v>
      </c>
      <c r="L716" s="12">
        <f t="shared" si="18"/>
        <v>0</v>
      </c>
      <c r="M716" s="21">
        <f t="shared" si="19"/>
        <v>0</v>
      </c>
      <c r="N716" s="9" t="str">
        <f ca="1">IFERROR(__xludf.DUMMYFUNCTION("IF(G716&lt;&gt;"""",G716, IFERROR(TRANSPOSE(FILTER('ซื้อสินค้า'!H:H,'ซื้อสินค้า'!B:B=B716,'ซื้อสินค้า'!I:I&gt;0)),))"),"")</f>
        <v/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spans="1:32">
      <c r="A717" s="5"/>
      <c r="B717" s="6"/>
      <c r="C717" s="20">
        <f>IFERROR(VLOOKUP(B717,ชื่อสินค้า!A:C,3,FALSE),)</f>
        <v>0</v>
      </c>
      <c r="D717" s="8" t="str">
        <f>IFERROR(VLOOKUP(B717,ชื่อสินค้า!A:D,4,FALSE),"")</f>
        <v/>
      </c>
      <c r="E717" s="9"/>
      <c r="F717" s="21" t="str">
        <f t="shared" si="15"/>
        <v/>
      </c>
      <c r="G717" s="22"/>
      <c r="H717" s="8">
        <f>IFERROR(VLOOKUP(G717,ซื้อสินค้า!H:I,2,FALSE),)</f>
        <v>0</v>
      </c>
      <c r="I717" s="21">
        <f>IFERROR(VLOOKUP(G717,ซื้อสินค้า!H:J,3,FALSE),)</f>
        <v>0</v>
      </c>
      <c r="J717" s="21">
        <f t="shared" si="16"/>
        <v>0</v>
      </c>
      <c r="K717" s="21">
        <f t="shared" si="17"/>
        <v>0</v>
      </c>
      <c r="L717" s="12">
        <f t="shared" si="18"/>
        <v>0</v>
      </c>
      <c r="M717" s="21">
        <f t="shared" si="19"/>
        <v>0</v>
      </c>
      <c r="N717" s="9" t="str">
        <f ca="1">IFERROR(__xludf.DUMMYFUNCTION("IF(G717&lt;&gt;"""",G717, IFERROR(TRANSPOSE(FILTER('ซื้อสินค้า'!H:H,'ซื้อสินค้า'!B:B=B717,'ซื้อสินค้า'!I:I&gt;0)),))"),"")</f>
        <v/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spans="1:32">
      <c r="A718" s="5"/>
      <c r="B718" s="6"/>
      <c r="C718" s="20">
        <f>IFERROR(VLOOKUP(B718,ชื่อสินค้า!A:C,3,FALSE),)</f>
        <v>0</v>
      </c>
      <c r="D718" s="8" t="str">
        <f>IFERROR(VLOOKUP(B718,ชื่อสินค้า!A:D,4,FALSE),"")</f>
        <v/>
      </c>
      <c r="E718" s="9"/>
      <c r="F718" s="21" t="str">
        <f t="shared" si="15"/>
        <v/>
      </c>
      <c r="G718" s="22"/>
      <c r="H718" s="8">
        <f>IFERROR(VLOOKUP(G718,ซื้อสินค้า!H:I,2,FALSE),)</f>
        <v>0</v>
      </c>
      <c r="I718" s="21">
        <f>IFERROR(VLOOKUP(G718,ซื้อสินค้า!H:J,3,FALSE),)</f>
        <v>0</v>
      </c>
      <c r="J718" s="21">
        <f t="shared" si="16"/>
        <v>0</v>
      </c>
      <c r="K718" s="21">
        <f t="shared" si="17"/>
        <v>0</v>
      </c>
      <c r="L718" s="12">
        <f t="shared" si="18"/>
        <v>0</v>
      </c>
      <c r="M718" s="21">
        <f t="shared" si="19"/>
        <v>0</v>
      </c>
      <c r="N718" s="9" t="str">
        <f ca="1">IFERROR(__xludf.DUMMYFUNCTION("IF(G718&lt;&gt;"""",G718, IFERROR(TRANSPOSE(FILTER('ซื้อสินค้า'!H:H,'ซื้อสินค้า'!B:B=B718,'ซื้อสินค้า'!I:I&gt;0)),))"),"")</f>
        <v/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spans="1:32">
      <c r="A719" s="5"/>
      <c r="B719" s="6"/>
      <c r="C719" s="20">
        <f>IFERROR(VLOOKUP(B719,ชื่อสินค้า!A:C,3,FALSE),)</f>
        <v>0</v>
      </c>
      <c r="D719" s="8" t="str">
        <f>IFERROR(VLOOKUP(B719,ชื่อสินค้า!A:D,4,FALSE),"")</f>
        <v/>
      </c>
      <c r="E719" s="9"/>
      <c r="F719" s="21" t="str">
        <f t="shared" si="15"/>
        <v/>
      </c>
      <c r="G719" s="22"/>
      <c r="H719" s="8">
        <f>IFERROR(VLOOKUP(G719,ซื้อสินค้า!H:I,2,FALSE),)</f>
        <v>0</v>
      </c>
      <c r="I719" s="21">
        <f>IFERROR(VLOOKUP(G719,ซื้อสินค้า!H:J,3,FALSE),)</f>
        <v>0</v>
      </c>
      <c r="J719" s="21">
        <f t="shared" si="16"/>
        <v>0</v>
      </c>
      <c r="K719" s="21">
        <f t="shared" si="17"/>
        <v>0</v>
      </c>
      <c r="L719" s="12">
        <f t="shared" si="18"/>
        <v>0</v>
      </c>
      <c r="M719" s="21">
        <f t="shared" si="19"/>
        <v>0</v>
      </c>
      <c r="N719" s="9" t="str">
        <f ca="1">IFERROR(__xludf.DUMMYFUNCTION("IF(G719&lt;&gt;"""",G719, IFERROR(TRANSPOSE(FILTER('ซื้อสินค้า'!H:H,'ซื้อสินค้า'!B:B=B719,'ซื้อสินค้า'!I:I&gt;0)),))"),"")</f>
        <v/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spans="1:32">
      <c r="A720" s="5"/>
      <c r="B720" s="6"/>
      <c r="C720" s="20">
        <f>IFERROR(VLOOKUP(B720,ชื่อสินค้า!A:C,3,FALSE),)</f>
        <v>0</v>
      </c>
      <c r="D720" s="8" t="str">
        <f>IFERROR(VLOOKUP(B720,ชื่อสินค้า!A:D,4,FALSE),"")</f>
        <v/>
      </c>
      <c r="E720" s="9"/>
      <c r="F720" s="21" t="str">
        <f t="shared" si="15"/>
        <v/>
      </c>
      <c r="G720" s="22"/>
      <c r="H720" s="8">
        <f>IFERROR(VLOOKUP(G720,ซื้อสินค้า!H:I,2,FALSE),)</f>
        <v>0</v>
      </c>
      <c r="I720" s="21">
        <f>IFERROR(VLOOKUP(G720,ซื้อสินค้า!H:J,3,FALSE),)</f>
        <v>0</v>
      </c>
      <c r="J720" s="21">
        <f t="shared" si="16"/>
        <v>0</v>
      </c>
      <c r="K720" s="21">
        <f t="shared" si="17"/>
        <v>0</v>
      </c>
      <c r="L720" s="12">
        <f t="shared" si="18"/>
        <v>0</v>
      </c>
      <c r="M720" s="21">
        <f t="shared" si="19"/>
        <v>0</v>
      </c>
      <c r="N720" s="9" t="str">
        <f ca="1">IFERROR(__xludf.DUMMYFUNCTION("IF(G720&lt;&gt;"""",G720, IFERROR(TRANSPOSE(FILTER('ซื้อสินค้า'!H:H,'ซื้อสินค้า'!B:B=B720,'ซื้อสินค้า'!I:I&gt;0)),))"),"")</f>
        <v/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spans="1:32">
      <c r="A721" s="5"/>
      <c r="B721" s="6"/>
      <c r="C721" s="20">
        <f>IFERROR(VLOOKUP(B721,ชื่อสินค้า!A:C,3,FALSE),)</f>
        <v>0</v>
      </c>
      <c r="D721" s="8" t="str">
        <f>IFERROR(VLOOKUP(B721,ชื่อสินค้า!A:D,4,FALSE),"")</f>
        <v/>
      </c>
      <c r="E721" s="9"/>
      <c r="F721" s="21" t="str">
        <f t="shared" si="15"/>
        <v/>
      </c>
      <c r="G721" s="22"/>
      <c r="H721" s="8">
        <f>IFERROR(VLOOKUP(G721,ซื้อสินค้า!H:I,2,FALSE),)</f>
        <v>0</v>
      </c>
      <c r="I721" s="21">
        <f>IFERROR(VLOOKUP(G721,ซื้อสินค้า!H:J,3,FALSE),)</f>
        <v>0</v>
      </c>
      <c r="J721" s="21">
        <f t="shared" si="16"/>
        <v>0</v>
      </c>
      <c r="K721" s="21">
        <f t="shared" si="17"/>
        <v>0</v>
      </c>
      <c r="L721" s="12">
        <f t="shared" si="18"/>
        <v>0</v>
      </c>
      <c r="M721" s="21">
        <f t="shared" si="19"/>
        <v>0</v>
      </c>
      <c r="N721" s="9" t="str">
        <f ca="1">IFERROR(__xludf.DUMMYFUNCTION("IF(G721&lt;&gt;"""",G721, IFERROR(TRANSPOSE(FILTER('ซื้อสินค้า'!H:H,'ซื้อสินค้า'!B:B=B721,'ซื้อสินค้า'!I:I&gt;0)),))"),"")</f>
        <v/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spans="1:32">
      <c r="A722" s="5"/>
      <c r="B722" s="6"/>
      <c r="C722" s="20">
        <f>IFERROR(VLOOKUP(B722,ชื่อสินค้า!A:C,3,FALSE),)</f>
        <v>0</v>
      </c>
      <c r="D722" s="8" t="str">
        <f>IFERROR(VLOOKUP(B722,ชื่อสินค้า!A:D,4,FALSE),"")</f>
        <v/>
      </c>
      <c r="E722" s="9"/>
      <c r="F722" s="21" t="str">
        <f t="shared" si="15"/>
        <v/>
      </c>
      <c r="G722" s="22"/>
      <c r="H722" s="8">
        <f>IFERROR(VLOOKUP(G722,ซื้อสินค้า!H:I,2,FALSE),)</f>
        <v>0</v>
      </c>
      <c r="I722" s="21">
        <f>IFERROR(VLOOKUP(G722,ซื้อสินค้า!H:J,3,FALSE),)</f>
        <v>0</v>
      </c>
      <c r="J722" s="21">
        <f t="shared" si="16"/>
        <v>0</v>
      </c>
      <c r="K722" s="21">
        <f t="shared" si="17"/>
        <v>0</v>
      </c>
      <c r="L722" s="12">
        <f t="shared" si="18"/>
        <v>0</v>
      </c>
      <c r="M722" s="21">
        <f t="shared" si="19"/>
        <v>0</v>
      </c>
      <c r="N722" s="9" t="str">
        <f ca="1">IFERROR(__xludf.DUMMYFUNCTION("IF(G722&lt;&gt;"""",G722, IFERROR(TRANSPOSE(FILTER('ซื้อสินค้า'!H:H,'ซื้อสินค้า'!B:B=B722,'ซื้อสินค้า'!I:I&gt;0)),))"),"")</f>
        <v/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spans="1:32">
      <c r="A723" s="5"/>
      <c r="B723" s="6"/>
      <c r="C723" s="20">
        <f>IFERROR(VLOOKUP(B723,ชื่อสินค้า!A:C,3,FALSE),)</f>
        <v>0</v>
      </c>
      <c r="D723" s="8" t="str">
        <f>IFERROR(VLOOKUP(B723,ชื่อสินค้า!A:D,4,FALSE),"")</f>
        <v/>
      </c>
      <c r="E723" s="9"/>
      <c r="F723" s="21" t="str">
        <f t="shared" si="15"/>
        <v/>
      </c>
      <c r="G723" s="22"/>
      <c r="H723" s="8">
        <f>IFERROR(VLOOKUP(G723,ซื้อสินค้า!H:I,2,FALSE),)</f>
        <v>0</v>
      </c>
      <c r="I723" s="21">
        <f>IFERROR(VLOOKUP(G723,ซื้อสินค้า!H:J,3,FALSE),)</f>
        <v>0</v>
      </c>
      <c r="J723" s="21">
        <f t="shared" si="16"/>
        <v>0</v>
      </c>
      <c r="K723" s="21">
        <f t="shared" si="17"/>
        <v>0</v>
      </c>
      <c r="L723" s="12">
        <f t="shared" si="18"/>
        <v>0</v>
      </c>
      <c r="M723" s="21">
        <f t="shared" si="19"/>
        <v>0</v>
      </c>
      <c r="N723" s="9" t="str">
        <f ca="1">IFERROR(__xludf.DUMMYFUNCTION("IF(G723&lt;&gt;"""",G723, IFERROR(TRANSPOSE(FILTER('ซื้อสินค้า'!H:H,'ซื้อสินค้า'!B:B=B723,'ซื้อสินค้า'!I:I&gt;0)),))"),"")</f>
        <v/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>
      <c r="A724" s="5"/>
      <c r="B724" s="6"/>
      <c r="C724" s="20">
        <f>IFERROR(VLOOKUP(B724,ชื่อสินค้า!A:C,3,FALSE),)</f>
        <v>0</v>
      </c>
      <c r="D724" s="8" t="str">
        <f>IFERROR(VLOOKUP(B724,ชื่อสินค้า!A:D,4,FALSE),"")</f>
        <v/>
      </c>
      <c r="E724" s="9"/>
      <c r="F724" s="21" t="str">
        <f t="shared" si="15"/>
        <v/>
      </c>
      <c r="G724" s="22"/>
      <c r="H724" s="8">
        <f>IFERROR(VLOOKUP(G724,ซื้อสินค้า!H:I,2,FALSE),)</f>
        <v>0</v>
      </c>
      <c r="I724" s="21">
        <f>IFERROR(VLOOKUP(G724,ซื้อสินค้า!H:J,3,FALSE),)</f>
        <v>0</v>
      </c>
      <c r="J724" s="21">
        <f t="shared" si="16"/>
        <v>0</v>
      </c>
      <c r="K724" s="21">
        <f t="shared" si="17"/>
        <v>0</v>
      </c>
      <c r="L724" s="12">
        <f t="shared" si="18"/>
        <v>0</v>
      </c>
      <c r="M724" s="21">
        <f t="shared" si="19"/>
        <v>0</v>
      </c>
      <c r="N724" s="9" t="str">
        <f ca="1">IFERROR(__xludf.DUMMYFUNCTION("IF(G724&lt;&gt;"""",G724, IFERROR(TRANSPOSE(FILTER('ซื้อสินค้า'!H:H,'ซื้อสินค้า'!B:B=B724,'ซื้อสินค้า'!I:I&gt;0)),))"),"")</f>
        <v/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>
      <c r="A725" s="5"/>
      <c r="B725" s="6"/>
      <c r="C725" s="20">
        <f>IFERROR(VLOOKUP(B725,ชื่อสินค้า!A:C,3,FALSE),)</f>
        <v>0</v>
      </c>
      <c r="D725" s="8" t="str">
        <f>IFERROR(VLOOKUP(B725,ชื่อสินค้า!A:D,4,FALSE),"")</f>
        <v/>
      </c>
      <c r="E725" s="9"/>
      <c r="F725" s="21" t="str">
        <f t="shared" si="15"/>
        <v/>
      </c>
      <c r="G725" s="22"/>
      <c r="H725" s="8">
        <f>IFERROR(VLOOKUP(G725,ซื้อสินค้า!H:I,2,FALSE),)</f>
        <v>0</v>
      </c>
      <c r="I725" s="21">
        <f>IFERROR(VLOOKUP(G725,ซื้อสินค้า!H:J,3,FALSE),)</f>
        <v>0</v>
      </c>
      <c r="J725" s="21">
        <f t="shared" si="16"/>
        <v>0</v>
      </c>
      <c r="K725" s="21">
        <f t="shared" si="17"/>
        <v>0</v>
      </c>
      <c r="L725" s="12">
        <f t="shared" si="18"/>
        <v>0</v>
      </c>
      <c r="M725" s="21">
        <f t="shared" si="19"/>
        <v>0</v>
      </c>
      <c r="N725" s="9" t="str">
        <f ca="1">IFERROR(__xludf.DUMMYFUNCTION("IF(G725&lt;&gt;"""",G725, IFERROR(TRANSPOSE(FILTER('ซื้อสินค้า'!H:H,'ซื้อสินค้า'!B:B=B725,'ซื้อสินค้า'!I:I&gt;0)),))"),"")</f>
        <v/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>
      <c r="A726" s="5"/>
      <c r="B726" s="6"/>
      <c r="C726" s="20">
        <f>IFERROR(VLOOKUP(B726,ชื่อสินค้า!A:C,3,FALSE),)</f>
        <v>0</v>
      </c>
      <c r="D726" s="8" t="str">
        <f>IFERROR(VLOOKUP(B726,ชื่อสินค้า!A:D,4,FALSE),"")</f>
        <v/>
      </c>
      <c r="E726" s="9"/>
      <c r="F726" s="21" t="str">
        <f t="shared" si="15"/>
        <v/>
      </c>
      <c r="G726" s="22"/>
      <c r="H726" s="8">
        <f>IFERROR(VLOOKUP(G726,ซื้อสินค้า!H:I,2,FALSE),)</f>
        <v>0</v>
      </c>
      <c r="I726" s="21">
        <f>IFERROR(VLOOKUP(G726,ซื้อสินค้า!H:J,3,FALSE),)</f>
        <v>0</v>
      </c>
      <c r="J726" s="21">
        <f t="shared" si="16"/>
        <v>0</v>
      </c>
      <c r="K726" s="21">
        <f t="shared" si="17"/>
        <v>0</v>
      </c>
      <c r="L726" s="12">
        <f t="shared" si="18"/>
        <v>0</v>
      </c>
      <c r="M726" s="21">
        <f t="shared" si="19"/>
        <v>0</v>
      </c>
      <c r="N726" s="9" t="str">
        <f ca="1">IFERROR(__xludf.DUMMYFUNCTION("IF(G726&lt;&gt;"""",G726, IFERROR(TRANSPOSE(FILTER('ซื้อสินค้า'!H:H,'ซื้อสินค้า'!B:B=B726,'ซื้อสินค้า'!I:I&gt;0)),))"),"")</f>
        <v/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>
      <c r="A727" s="5"/>
      <c r="B727" s="6"/>
      <c r="C727" s="20">
        <f>IFERROR(VLOOKUP(B727,ชื่อสินค้า!A:C,3,FALSE),)</f>
        <v>0</v>
      </c>
      <c r="D727" s="8" t="str">
        <f>IFERROR(VLOOKUP(B727,ชื่อสินค้า!A:D,4,FALSE),"")</f>
        <v/>
      </c>
      <c r="E727" s="9"/>
      <c r="F727" s="21" t="str">
        <f t="shared" si="15"/>
        <v/>
      </c>
      <c r="G727" s="22"/>
      <c r="H727" s="8">
        <f>IFERROR(VLOOKUP(G727,ซื้อสินค้า!H:I,2,FALSE),)</f>
        <v>0</v>
      </c>
      <c r="I727" s="21">
        <f>IFERROR(VLOOKUP(G727,ซื้อสินค้า!H:J,3,FALSE),)</f>
        <v>0</v>
      </c>
      <c r="J727" s="21">
        <f t="shared" si="16"/>
        <v>0</v>
      </c>
      <c r="K727" s="21">
        <f t="shared" si="17"/>
        <v>0</v>
      </c>
      <c r="L727" s="12">
        <f t="shared" si="18"/>
        <v>0</v>
      </c>
      <c r="M727" s="21">
        <f t="shared" si="19"/>
        <v>0</v>
      </c>
      <c r="N727" s="9" t="str">
        <f ca="1">IFERROR(__xludf.DUMMYFUNCTION("IF(G727&lt;&gt;"""",G727, IFERROR(TRANSPOSE(FILTER('ซื้อสินค้า'!H:H,'ซื้อสินค้า'!B:B=B727,'ซื้อสินค้า'!I:I&gt;0)),))"),"")</f>
        <v/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>
      <c r="A728" s="5"/>
      <c r="B728" s="6"/>
      <c r="C728" s="20">
        <f>IFERROR(VLOOKUP(B728,ชื่อสินค้า!A:C,3,FALSE),)</f>
        <v>0</v>
      </c>
      <c r="D728" s="8" t="str">
        <f>IFERROR(VLOOKUP(B728,ชื่อสินค้า!A:D,4,FALSE),"")</f>
        <v/>
      </c>
      <c r="E728" s="9"/>
      <c r="F728" s="21" t="str">
        <f t="shared" si="15"/>
        <v/>
      </c>
      <c r="G728" s="22"/>
      <c r="H728" s="8">
        <f>IFERROR(VLOOKUP(G728,ซื้อสินค้า!H:I,2,FALSE),)</f>
        <v>0</v>
      </c>
      <c r="I728" s="21">
        <f>IFERROR(VLOOKUP(G728,ซื้อสินค้า!H:J,3,FALSE),)</f>
        <v>0</v>
      </c>
      <c r="J728" s="21">
        <f t="shared" si="16"/>
        <v>0</v>
      </c>
      <c r="K728" s="21">
        <f t="shared" si="17"/>
        <v>0</v>
      </c>
      <c r="L728" s="12">
        <f t="shared" si="18"/>
        <v>0</v>
      </c>
      <c r="M728" s="21">
        <f t="shared" si="19"/>
        <v>0</v>
      </c>
      <c r="N728" s="9" t="str">
        <f ca="1">IFERROR(__xludf.DUMMYFUNCTION("IF(G728&lt;&gt;"""",G728, IFERROR(TRANSPOSE(FILTER('ซื้อสินค้า'!H:H,'ซื้อสินค้า'!B:B=B728,'ซื้อสินค้า'!I:I&gt;0)),))"),"")</f>
        <v/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>
      <c r="A729" s="5"/>
      <c r="B729" s="6"/>
      <c r="C729" s="20">
        <f>IFERROR(VLOOKUP(B729,ชื่อสินค้า!A:C,3,FALSE),)</f>
        <v>0</v>
      </c>
      <c r="D729" s="8" t="str">
        <f>IFERROR(VLOOKUP(B729,ชื่อสินค้า!A:D,4,FALSE),"")</f>
        <v/>
      </c>
      <c r="E729" s="9"/>
      <c r="F729" s="21" t="str">
        <f t="shared" si="15"/>
        <v/>
      </c>
      <c r="G729" s="22"/>
      <c r="H729" s="8">
        <f>IFERROR(VLOOKUP(G729,ซื้อสินค้า!H:I,2,FALSE),)</f>
        <v>0</v>
      </c>
      <c r="I729" s="21">
        <f>IFERROR(VLOOKUP(G729,ซื้อสินค้า!H:J,3,FALSE),)</f>
        <v>0</v>
      </c>
      <c r="J729" s="21">
        <f t="shared" si="16"/>
        <v>0</v>
      </c>
      <c r="K729" s="21">
        <f t="shared" si="17"/>
        <v>0</v>
      </c>
      <c r="L729" s="12">
        <f t="shared" si="18"/>
        <v>0</v>
      </c>
      <c r="M729" s="21">
        <f t="shared" si="19"/>
        <v>0</v>
      </c>
      <c r="N729" s="9" t="str">
        <f ca="1">IFERROR(__xludf.DUMMYFUNCTION("IF(G729&lt;&gt;"""",G729, IFERROR(TRANSPOSE(FILTER('ซื้อสินค้า'!H:H,'ซื้อสินค้า'!B:B=B729,'ซื้อสินค้า'!I:I&gt;0)),))"),"")</f>
        <v/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>
      <c r="A730" s="5"/>
      <c r="B730" s="6"/>
      <c r="C730" s="20">
        <f>IFERROR(VLOOKUP(B730,ชื่อสินค้า!A:C,3,FALSE),)</f>
        <v>0</v>
      </c>
      <c r="D730" s="8" t="str">
        <f>IFERROR(VLOOKUP(B730,ชื่อสินค้า!A:D,4,FALSE),"")</f>
        <v/>
      </c>
      <c r="E730" s="9"/>
      <c r="F730" s="21" t="str">
        <f t="shared" si="15"/>
        <v/>
      </c>
      <c r="G730" s="22"/>
      <c r="H730" s="8">
        <f>IFERROR(VLOOKUP(G730,ซื้อสินค้า!H:I,2,FALSE),)</f>
        <v>0</v>
      </c>
      <c r="I730" s="21">
        <f>IFERROR(VLOOKUP(G730,ซื้อสินค้า!H:J,3,FALSE),)</f>
        <v>0</v>
      </c>
      <c r="J730" s="21">
        <f t="shared" si="16"/>
        <v>0</v>
      </c>
      <c r="K730" s="21">
        <f t="shared" si="17"/>
        <v>0</v>
      </c>
      <c r="L730" s="12">
        <f t="shared" si="18"/>
        <v>0</v>
      </c>
      <c r="M730" s="21">
        <f t="shared" si="19"/>
        <v>0</v>
      </c>
      <c r="N730" s="9" t="str">
        <f ca="1">IFERROR(__xludf.DUMMYFUNCTION("IF(G730&lt;&gt;"""",G730, IFERROR(TRANSPOSE(FILTER('ซื้อสินค้า'!H:H,'ซื้อสินค้า'!B:B=B730,'ซื้อสินค้า'!I:I&gt;0)),))"),"")</f>
        <v/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>
      <c r="A731" s="5"/>
      <c r="B731" s="6"/>
      <c r="C731" s="20">
        <f>IFERROR(VLOOKUP(B731,ชื่อสินค้า!A:C,3,FALSE),)</f>
        <v>0</v>
      </c>
      <c r="D731" s="8" t="str">
        <f>IFERROR(VLOOKUP(B731,ชื่อสินค้า!A:D,4,FALSE),"")</f>
        <v/>
      </c>
      <c r="E731" s="9"/>
      <c r="F731" s="21" t="str">
        <f t="shared" si="15"/>
        <v/>
      </c>
      <c r="G731" s="22"/>
      <c r="H731" s="8">
        <f>IFERROR(VLOOKUP(G731,ซื้อสินค้า!H:I,2,FALSE),)</f>
        <v>0</v>
      </c>
      <c r="I731" s="21">
        <f>IFERROR(VLOOKUP(G731,ซื้อสินค้า!H:J,3,FALSE),)</f>
        <v>0</v>
      </c>
      <c r="J731" s="21">
        <f t="shared" si="16"/>
        <v>0</v>
      </c>
      <c r="K731" s="21">
        <f t="shared" si="17"/>
        <v>0</v>
      </c>
      <c r="L731" s="12">
        <f t="shared" si="18"/>
        <v>0</v>
      </c>
      <c r="M731" s="21">
        <f t="shared" si="19"/>
        <v>0</v>
      </c>
      <c r="N731" s="9" t="str">
        <f ca="1">IFERROR(__xludf.DUMMYFUNCTION("IF(G731&lt;&gt;"""",G731, IFERROR(TRANSPOSE(FILTER('ซื้อสินค้า'!H:H,'ซื้อสินค้า'!B:B=B731,'ซื้อสินค้า'!I:I&gt;0)),))"),"")</f>
        <v/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>
      <c r="A732" s="5"/>
      <c r="B732" s="6"/>
      <c r="C732" s="20">
        <f>IFERROR(VLOOKUP(B732,ชื่อสินค้า!A:C,3,FALSE),)</f>
        <v>0</v>
      </c>
      <c r="D732" s="8" t="str">
        <f>IFERROR(VLOOKUP(B732,ชื่อสินค้า!A:D,4,FALSE),"")</f>
        <v/>
      </c>
      <c r="E732" s="9"/>
      <c r="F732" s="21" t="str">
        <f t="shared" si="15"/>
        <v/>
      </c>
      <c r="G732" s="22"/>
      <c r="H732" s="8">
        <f>IFERROR(VLOOKUP(G732,ซื้อสินค้า!H:I,2,FALSE),)</f>
        <v>0</v>
      </c>
      <c r="I732" s="21">
        <f>IFERROR(VLOOKUP(G732,ซื้อสินค้า!H:J,3,FALSE),)</f>
        <v>0</v>
      </c>
      <c r="J732" s="21">
        <f t="shared" si="16"/>
        <v>0</v>
      </c>
      <c r="K732" s="21">
        <f t="shared" si="17"/>
        <v>0</v>
      </c>
      <c r="L732" s="12">
        <f t="shared" si="18"/>
        <v>0</v>
      </c>
      <c r="M732" s="21">
        <f t="shared" si="19"/>
        <v>0</v>
      </c>
      <c r="N732" s="9" t="str">
        <f ca="1">IFERROR(__xludf.DUMMYFUNCTION("IF(G732&lt;&gt;"""",G732, IFERROR(TRANSPOSE(FILTER('ซื้อสินค้า'!H:H,'ซื้อสินค้า'!B:B=B732,'ซื้อสินค้า'!I:I&gt;0)),))"),"")</f>
        <v/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>
      <c r="A733" s="5"/>
      <c r="B733" s="6"/>
      <c r="C733" s="20">
        <f>IFERROR(VLOOKUP(B733,ชื่อสินค้า!A:C,3,FALSE),)</f>
        <v>0</v>
      </c>
      <c r="D733" s="8" t="str">
        <f>IFERROR(VLOOKUP(B733,ชื่อสินค้า!A:D,4,FALSE),"")</f>
        <v/>
      </c>
      <c r="E733" s="9"/>
      <c r="F733" s="21" t="str">
        <f t="shared" si="15"/>
        <v/>
      </c>
      <c r="G733" s="22"/>
      <c r="H733" s="8">
        <f>IFERROR(VLOOKUP(G733,ซื้อสินค้า!H:I,2,FALSE),)</f>
        <v>0</v>
      </c>
      <c r="I733" s="21">
        <f>IFERROR(VLOOKUP(G733,ซื้อสินค้า!H:J,3,FALSE),)</f>
        <v>0</v>
      </c>
      <c r="J733" s="21">
        <f t="shared" si="16"/>
        <v>0</v>
      </c>
      <c r="K733" s="21">
        <f t="shared" si="17"/>
        <v>0</v>
      </c>
      <c r="L733" s="12">
        <f t="shared" si="18"/>
        <v>0</v>
      </c>
      <c r="M733" s="21">
        <f t="shared" si="19"/>
        <v>0</v>
      </c>
      <c r="N733" s="9" t="str">
        <f ca="1">IFERROR(__xludf.DUMMYFUNCTION("IF(G733&lt;&gt;"""",G733, IFERROR(TRANSPOSE(FILTER('ซื้อสินค้า'!H:H,'ซื้อสินค้า'!B:B=B733,'ซื้อสินค้า'!I:I&gt;0)),))"),"")</f>
        <v/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>
      <c r="A734" s="5"/>
      <c r="B734" s="6"/>
      <c r="C734" s="20">
        <f>IFERROR(VLOOKUP(B734,ชื่อสินค้า!A:C,3,FALSE),)</f>
        <v>0</v>
      </c>
      <c r="D734" s="8" t="str">
        <f>IFERROR(VLOOKUP(B734,ชื่อสินค้า!A:D,4,FALSE),"")</f>
        <v/>
      </c>
      <c r="E734" s="9"/>
      <c r="F734" s="21" t="str">
        <f t="shared" si="15"/>
        <v/>
      </c>
      <c r="G734" s="22"/>
      <c r="H734" s="8">
        <f>IFERROR(VLOOKUP(G734,ซื้อสินค้า!H:I,2,FALSE),)</f>
        <v>0</v>
      </c>
      <c r="I734" s="21">
        <f>IFERROR(VLOOKUP(G734,ซื้อสินค้า!H:J,3,FALSE),)</f>
        <v>0</v>
      </c>
      <c r="J734" s="21">
        <f t="shared" si="16"/>
        <v>0</v>
      </c>
      <c r="K734" s="21">
        <f t="shared" si="17"/>
        <v>0</v>
      </c>
      <c r="L734" s="12">
        <f t="shared" si="18"/>
        <v>0</v>
      </c>
      <c r="M734" s="21">
        <f t="shared" si="19"/>
        <v>0</v>
      </c>
      <c r="N734" s="9" t="str">
        <f ca="1">IFERROR(__xludf.DUMMYFUNCTION("IF(G734&lt;&gt;"""",G734, IFERROR(TRANSPOSE(FILTER('ซื้อสินค้า'!H:H,'ซื้อสินค้า'!B:B=B734,'ซื้อสินค้า'!I:I&gt;0)),))"),"")</f>
        <v/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>
      <c r="A735" s="5"/>
      <c r="B735" s="6"/>
      <c r="C735" s="20">
        <f>IFERROR(VLOOKUP(B735,ชื่อสินค้า!A:C,3,FALSE),)</f>
        <v>0</v>
      </c>
      <c r="D735" s="8" t="str">
        <f>IFERROR(VLOOKUP(B735,ชื่อสินค้า!A:D,4,FALSE),"")</f>
        <v/>
      </c>
      <c r="E735" s="9"/>
      <c r="F735" s="21" t="str">
        <f t="shared" si="15"/>
        <v/>
      </c>
      <c r="G735" s="22"/>
      <c r="H735" s="8">
        <f>IFERROR(VLOOKUP(G735,ซื้อสินค้า!H:I,2,FALSE),)</f>
        <v>0</v>
      </c>
      <c r="I735" s="21">
        <f>IFERROR(VLOOKUP(G735,ซื้อสินค้า!H:J,3,FALSE),)</f>
        <v>0</v>
      </c>
      <c r="J735" s="21">
        <f t="shared" si="16"/>
        <v>0</v>
      </c>
      <c r="K735" s="21">
        <f t="shared" si="17"/>
        <v>0</v>
      </c>
      <c r="L735" s="12">
        <f t="shared" si="18"/>
        <v>0</v>
      </c>
      <c r="M735" s="21">
        <f t="shared" si="19"/>
        <v>0</v>
      </c>
      <c r="N735" s="9" t="str">
        <f ca="1">IFERROR(__xludf.DUMMYFUNCTION("IF(G735&lt;&gt;"""",G735, IFERROR(TRANSPOSE(FILTER('ซื้อสินค้า'!H:H,'ซื้อสินค้า'!B:B=B735,'ซื้อสินค้า'!I:I&gt;0)),))"),"")</f>
        <v/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>
      <c r="A736" s="5"/>
      <c r="B736" s="6"/>
      <c r="C736" s="20">
        <f>IFERROR(VLOOKUP(B736,ชื่อสินค้า!A:C,3,FALSE),)</f>
        <v>0</v>
      </c>
      <c r="D736" s="8" t="str">
        <f>IFERROR(VLOOKUP(B736,ชื่อสินค้า!A:D,4,FALSE),"")</f>
        <v/>
      </c>
      <c r="E736" s="9"/>
      <c r="F736" s="21" t="str">
        <f t="shared" si="15"/>
        <v/>
      </c>
      <c r="G736" s="22"/>
      <c r="H736" s="8">
        <f>IFERROR(VLOOKUP(G736,ซื้อสินค้า!H:I,2,FALSE),)</f>
        <v>0</v>
      </c>
      <c r="I736" s="21">
        <f>IFERROR(VLOOKUP(G736,ซื้อสินค้า!H:J,3,FALSE),)</f>
        <v>0</v>
      </c>
      <c r="J736" s="21">
        <f t="shared" si="16"/>
        <v>0</v>
      </c>
      <c r="K736" s="21">
        <f t="shared" si="17"/>
        <v>0</v>
      </c>
      <c r="L736" s="12">
        <f t="shared" si="18"/>
        <v>0</v>
      </c>
      <c r="M736" s="21">
        <f t="shared" si="19"/>
        <v>0</v>
      </c>
      <c r="N736" s="9" t="str">
        <f ca="1">IFERROR(__xludf.DUMMYFUNCTION("IF(G736&lt;&gt;"""",G736, IFERROR(TRANSPOSE(FILTER('ซื้อสินค้า'!H:H,'ซื้อสินค้า'!B:B=B736,'ซื้อสินค้า'!I:I&gt;0)),))"),"")</f>
        <v/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>
      <c r="A737" s="5"/>
      <c r="B737" s="6"/>
      <c r="C737" s="20">
        <f>IFERROR(VLOOKUP(B737,ชื่อสินค้า!A:C,3,FALSE),)</f>
        <v>0</v>
      </c>
      <c r="D737" s="8" t="str">
        <f>IFERROR(VLOOKUP(B737,ชื่อสินค้า!A:D,4,FALSE),"")</f>
        <v/>
      </c>
      <c r="E737" s="9"/>
      <c r="F737" s="21" t="str">
        <f t="shared" si="15"/>
        <v/>
      </c>
      <c r="G737" s="22"/>
      <c r="H737" s="8">
        <f>IFERROR(VLOOKUP(G737,ซื้อสินค้า!H:I,2,FALSE),)</f>
        <v>0</v>
      </c>
      <c r="I737" s="21">
        <f>IFERROR(VLOOKUP(G737,ซื้อสินค้า!H:J,3,FALSE),)</f>
        <v>0</v>
      </c>
      <c r="J737" s="21">
        <f t="shared" si="16"/>
        <v>0</v>
      </c>
      <c r="K737" s="21">
        <f t="shared" si="17"/>
        <v>0</v>
      </c>
      <c r="L737" s="12">
        <f t="shared" si="18"/>
        <v>0</v>
      </c>
      <c r="M737" s="21">
        <f t="shared" si="19"/>
        <v>0</v>
      </c>
      <c r="N737" s="9" t="str">
        <f ca="1">IFERROR(__xludf.DUMMYFUNCTION("IF(G737&lt;&gt;"""",G737, IFERROR(TRANSPOSE(FILTER('ซื้อสินค้า'!H:H,'ซื้อสินค้า'!B:B=B737,'ซื้อสินค้า'!I:I&gt;0)),))"),"")</f>
        <v/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>
      <c r="A738" s="5"/>
      <c r="B738" s="6"/>
      <c r="C738" s="20">
        <f>IFERROR(VLOOKUP(B738,ชื่อสินค้า!A:C,3,FALSE),)</f>
        <v>0</v>
      </c>
      <c r="D738" s="8" t="str">
        <f>IFERROR(VLOOKUP(B738,ชื่อสินค้า!A:D,4,FALSE),"")</f>
        <v/>
      </c>
      <c r="E738" s="9"/>
      <c r="F738" s="21" t="str">
        <f t="shared" si="15"/>
        <v/>
      </c>
      <c r="G738" s="22"/>
      <c r="H738" s="8">
        <f>IFERROR(VLOOKUP(G738,ซื้อสินค้า!H:I,2,FALSE),)</f>
        <v>0</v>
      </c>
      <c r="I738" s="21">
        <f>IFERROR(VLOOKUP(G738,ซื้อสินค้า!H:J,3,FALSE),)</f>
        <v>0</v>
      </c>
      <c r="J738" s="21">
        <f t="shared" si="16"/>
        <v>0</v>
      </c>
      <c r="K738" s="21">
        <f t="shared" si="17"/>
        <v>0</v>
      </c>
      <c r="L738" s="12">
        <f t="shared" si="18"/>
        <v>0</v>
      </c>
      <c r="M738" s="21">
        <f t="shared" si="19"/>
        <v>0</v>
      </c>
      <c r="N738" s="9" t="str">
        <f ca="1">IFERROR(__xludf.DUMMYFUNCTION("IF(G738&lt;&gt;"""",G738, IFERROR(TRANSPOSE(FILTER('ซื้อสินค้า'!H:H,'ซื้อสินค้า'!B:B=B738,'ซื้อสินค้า'!I:I&gt;0)),))"),"")</f>
        <v/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>
      <c r="A739" s="5"/>
      <c r="B739" s="6"/>
      <c r="C739" s="20">
        <f>IFERROR(VLOOKUP(B739,ชื่อสินค้า!A:C,3,FALSE),)</f>
        <v>0</v>
      </c>
      <c r="D739" s="8" t="str">
        <f>IFERROR(VLOOKUP(B739,ชื่อสินค้า!A:D,4,FALSE),"")</f>
        <v/>
      </c>
      <c r="E739" s="9"/>
      <c r="F739" s="21" t="str">
        <f t="shared" si="15"/>
        <v/>
      </c>
      <c r="G739" s="22"/>
      <c r="H739" s="8">
        <f>IFERROR(VLOOKUP(G739,ซื้อสินค้า!H:I,2,FALSE),)</f>
        <v>0</v>
      </c>
      <c r="I739" s="21">
        <f>IFERROR(VLOOKUP(G739,ซื้อสินค้า!H:J,3,FALSE),)</f>
        <v>0</v>
      </c>
      <c r="J739" s="21">
        <f t="shared" si="16"/>
        <v>0</v>
      </c>
      <c r="K739" s="21">
        <f t="shared" si="17"/>
        <v>0</v>
      </c>
      <c r="L739" s="12">
        <f t="shared" si="18"/>
        <v>0</v>
      </c>
      <c r="M739" s="21">
        <f t="shared" si="19"/>
        <v>0</v>
      </c>
      <c r="N739" s="9" t="str">
        <f ca="1">IFERROR(__xludf.DUMMYFUNCTION("IF(G739&lt;&gt;"""",G739, IFERROR(TRANSPOSE(FILTER('ซื้อสินค้า'!H:H,'ซื้อสินค้า'!B:B=B739,'ซื้อสินค้า'!I:I&gt;0)),))"),"")</f>
        <v/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>
      <c r="A740" s="5"/>
      <c r="B740" s="6"/>
      <c r="C740" s="20">
        <f>IFERROR(VLOOKUP(B740,ชื่อสินค้า!A:C,3,FALSE),)</f>
        <v>0</v>
      </c>
      <c r="D740" s="8" t="str">
        <f>IFERROR(VLOOKUP(B740,ชื่อสินค้า!A:D,4,FALSE),"")</f>
        <v/>
      </c>
      <c r="E740" s="9"/>
      <c r="F740" s="21" t="str">
        <f t="shared" si="15"/>
        <v/>
      </c>
      <c r="G740" s="22"/>
      <c r="H740" s="8">
        <f>IFERROR(VLOOKUP(G740,ซื้อสินค้า!H:I,2,FALSE),)</f>
        <v>0</v>
      </c>
      <c r="I740" s="21">
        <f>IFERROR(VLOOKUP(G740,ซื้อสินค้า!H:J,3,FALSE),)</f>
        <v>0</v>
      </c>
      <c r="J740" s="21">
        <f t="shared" si="16"/>
        <v>0</v>
      </c>
      <c r="K740" s="21">
        <f t="shared" si="17"/>
        <v>0</v>
      </c>
      <c r="L740" s="12">
        <f t="shared" si="18"/>
        <v>0</v>
      </c>
      <c r="M740" s="21">
        <f t="shared" si="19"/>
        <v>0</v>
      </c>
      <c r="N740" s="9" t="str">
        <f ca="1">IFERROR(__xludf.DUMMYFUNCTION("IF(G740&lt;&gt;"""",G740, IFERROR(TRANSPOSE(FILTER('ซื้อสินค้า'!H:H,'ซื้อสินค้า'!B:B=B740,'ซื้อสินค้า'!I:I&gt;0)),))"),"")</f>
        <v/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>
      <c r="A741" s="5"/>
      <c r="B741" s="6"/>
      <c r="C741" s="20">
        <f>IFERROR(VLOOKUP(B741,ชื่อสินค้า!A:C,3,FALSE),)</f>
        <v>0</v>
      </c>
      <c r="D741" s="8" t="str">
        <f>IFERROR(VLOOKUP(B741,ชื่อสินค้า!A:D,4,FALSE),"")</f>
        <v/>
      </c>
      <c r="E741" s="9"/>
      <c r="F741" s="21" t="str">
        <f t="shared" si="15"/>
        <v/>
      </c>
      <c r="G741" s="22"/>
      <c r="H741" s="8">
        <f>IFERROR(VLOOKUP(G741,ซื้อสินค้า!H:I,2,FALSE),)</f>
        <v>0</v>
      </c>
      <c r="I741" s="21">
        <f>IFERROR(VLOOKUP(G741,ซื้อสินค้า!H:J,3,FALSE),)</f>
        <v>0</v>
      </c>
      <c r="J741" s="21">
        <f t="shared" si="16"/>
        <v>0</v>
      </c>
      <c r="K741" s="21">
        <f t="shared" si="17"/>
        <v>0</v>
      </c>
      <c r="L741" s="12">
        <f t="shared" si="18"/>
        <v>0</v>
      </c>
      <c r="M741" s="21">
        <f t="shared" si="19"/>
        <v>0</v>
      </c>
      <c r="N741" s="9" t="str">
        <f ca="1">IFERROR(__xludf.DUMMYFUNCTION("IF(G741&lt;&gt;"""",G741, IFERROR(TRANSPOSE(FILTER('ซื้อสินค้า'!H:H,'ซื้อสินค้า'!B:B=B741,'ซื้อสินค้า'!I:I&gt;0)),))"),"")</f>
        <v/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>
      <c r="A742" s="5"/>
      <c r="B742" s="6"/>
      <c r="C742" s="20">
        <f>IFERROR(VLOOKUP(B742,ชื่อสินค้า!A:C,3,FALSE),)</f>
        <v>0</v>
      </c>
      <c r="D742" s="8" t="str">
        <f>IFERROR(VLOOKUP(B742,ชื่อสินค้า!A:D,4,FALSE),"")</f>
        <v/>
      </c>
      <c r="E742" s="9"/>
      <c r="F742" s="21" t="str">
        <f t="shared" si="15"/>
        <v/>
      </c>
      <c r="G742" s="22"/>
      <c r="H742" s="8">
        <f>IFERROR(VLOOKUP(G742,ซื้อสินค้า!H:I,2,FALSE),)</f>
        <v>0</v>
      </c>
      <c r="I742" s="21">
        <f>IFERROR(VLOOKUP(G742,ซื้อสินค้า!H:J,3,FALSE),)</f>
        <v>0</v>
      </c>
      <c r="J742" s="21">
        <f t="shared" si="16"/>
        <v>0</v>
      </c>
      <c r="K742" s="21">
        <f t="shared" si="17"/>
        <v>0</v>
      </c>
      <c r="L742" s="12">
        <f t="shared" si="18"/>
        <v>0</v>
      </c>
      <c r="M742" s="21">
        <f t="shared" si="19"/>
        <v>0</v>
      </c>
      <c r="N742" s="9" t="str">
        <f ca="1">IFERROR(__xludf.DUMMYFUNCTION("IF(G742&lt;&gt;"""",G742, IFERROR(TRANSPOSE(FILTER('ซื้อสินค้า'!H:H,'ซื้อสินค้า'!B:B=B742,'ซื้อสินค้า'!I:I&gt;0)),))"),"")</f>
        <v/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>
      <c r="A743" s="5"/>
      <c r="B743" s="6"/>
      <c r="C743" s="20">
        <f>IFERROR(VLOOKUP(B743,ชื่อสินค้า!A:C,3,FALSE),)</f>
        <v>0</v>
      </c>
      <c r="D743" s="8" t="str">
        <f>IFERROR(VLOOKUP(B743,ชื่อสินค้า!A:D,4,FALSE),"")</f>
        <v/>
      </c>
      <c r="E743" s="9"/>
      <c r="F743" s="21" t="str">
        <f t="shared" si="15"/>
        <v/>
      </c>
      <c r="G743" s="22"/>
      <c r="H743" s="8">
        <f>IFERROR(VLOOKUP(G743,ซื้อสินค้า!H:I,2,FALSE),)</f>
        <v>0</v>
      </c>
      <c r="I743" s="21">
        <f>IFERROR(VLOOKUP(G743,ซื้อสินค้า!H:J,3,FALSE),)</f>
        <v>0</v>
      </c>
      <c r="J743" s="21">
        <f t="shared" si="16"/>
        <v>0</v>
      </c>
      <c r="K743" s="21">
        <f t="shared" si="17"/>
        <v>0</v>
      </c>
      <c r="L743" s="12">
        <f t="shared" si="18"/>
        <v>0</v>
      </c>
      <c r="M743" s="21">
        <f t="shared" si="19"/>
        <v>0</v>
      </c>
      <c r="N743" s="9" t="str">
        <f ca="1">IFERROR(__xludf.DUMMYFUNCTION("IF(G743&lt;&gt;"""",G743, IFERROR(TRANSPOSE(FILTER('ซื้อสินค้า'!H:H,'ซื้อสินค้า'!B:B=B743,'ซื้อสินค้า'!I:I&gt;0)),))"),"")</f>
        <v/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>
      <c r="A744" s="5"/>
      <c r="B744" s="6"/>
      <c r="C744" s="20">
        <f>IFERROR(VLOOKUP(B744,ชื่อสินค้า!A:C,3,FALSE),)</f>
        <v>0</v>
      </c>
      <c r="D744" s="8" t="str">
        <f>IFERROR(VLOOKUP(B744,ชื่อสินค้า!A:D,4,FALSE),"")</f>
        <v/>
      </c>
      <c r="E744" s="9"/>
      <c r="F744" s="21" t="str">
        <f t="shared" si="15"/>
        <v/>
      </c>
      <c r="G744" s="22"/>
      <c r="H744" s="8">
        <f>IFERROR(VLOOKUP(G744,ซื้อสินค้า!H:I,2,FALSE),)</f>
        <v>0</v>
      </c>
      <c r="I744" s="21">
        <f>IFERROR(VLOOKUP(G744,ซื้อสินค้า!H:J,3,FALSE),)</f>
        <v>0</v>
      </c>
      <c r="J744" s="21">
        <f t="shared" si="16"/>
        <v>0</v>
      </c>
      <c r="K744" s="21">
        <f t="shared" si="17"/>
        <v>0</v>
      </c>
      <c r="L744" s="12">
        <f t="shared" si="18"/>
        <v>0</v>
      </c>
      <c r="M744" s="21">
        <f t="shared" si="19"/>
        <v>0</v>
      </c>
      <c r="N744" s="9" t="str">
        <f ca="1">IFERROR(__xludf.DUMMYFUNCTION("IF(G744&lt;&gt;"""",G744, IFERROR(TRANSPOSE(FILTER('ซื้อสินค้า'!H:H,'ซื้อสินค้า'!B:B=B744,'ซื้อสินค้า'!I:I&gt;0)),))"),"")</f>
        <v/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>
      <c r="A745" s="5"/>
      <c r="B745" s="6"/>
      <c r="C745" s="20">
        <f>IFERROR(VLOOKUP(B745,ชื่อสินค้า!A:C,3,FALSE),)</f>
        <v>0</v>
      </c>
      <c r="D745" s="8" t="str">
        <f>IFERROR(VLOOKUP(B745,ชื่อสินค้า!A:D,4,FALSE),"")</f>
        <v/>
      </c>
      <c r="E745" s="9"/>
      <c r="F745" s="21" t="str">
        <f t="shared" si="15"/>
        <v/>
      </c>
      <c r="G745" s="22"/>
      <c r="H745" s="8">
        <f>IFERROR(VLOOKUP(G745,ซื้อสินค้า!H:I,2,FALSE),)</f>
        <v>0</v>
      </c>
      <c r="I745" s="21">
        <f>IFERROR(VLOOKUP(G745,ซื้อสินค้า!H:J,3,FALSE),)</f>
        <v>0</v>
      </c>
      <c r="J745" s="21">
        <f t="shared" si="16"/>
        <v>0</v>
      </c>
      <c r="K745" s="21">
        <f t="shared" si="17"/>
        <v>0</v>
      </c>
      <c r="L745" s="12">
        <f t="shared" si="18"/>
        <v>0</v>
      </c>
      <c r="M745" s="21">
        <f t="shared" si="19"/>
        <v>0</v>
      </c>
      <c r="N745" s="9" t="str">
        <f ca="1">IFERROR(__xludf.DUMMYFUNCTION("IF(G745&lt;&gt;"""",G745, IFERROR(TRANSPOSE(FILTER('ซื้อสินค้า'!H:H,'ซื้อสินค้า'!B:B=B745,'ซื้อสินค้า'!I:I&gt;0)),))"),"")</f>
        <v/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>
      <c r="A746" s="5"/>
      <c r="B746" s="6"/>
      <c r="C746" s="20">
        <f>IFERROR(VLOOKUP(B746,ชื่อสินค้า!A:C,3,FALSE),)</f>
        <v>0</v>
      </c>
      <c r="D746" s="8" t="str">
        <f>IFERROR(VLOOKUP(B746,ชื่อสินค้า!A:D,4,FALSE),"")</f>
        <v/>
      </c>
      <c r="E746" s="9"/>
      <c r="F746" s="21" t="str">
        <f t="shared" si="15"/>
        <v/>
      </c>
      <c r="G746" s="22"/>
      <c r="H746" s="8">
        <f>IFERROR(VLOOKUP(G746,ซื้อสินค้า!H:I,2,FALSE),)</f>
        <v>0</v>
      </c>
      <c r="I746" s="21">
        <f>IFERROR(VLOOKUP(G746,ซื้อสินค้า!H:J,3,FALSE),)</f>
        <v>0</v>
      </c>
      <c r="J746" s="21">
        <f t="shared" si="16"/>
        <v>0</v>
      </c>
      <c r="K746" s="21">
        <f t="shared" si="17"/>
        <v>0</v>
      </c>
      <c r="L746" s="12">
        <f t="shared" si="18"/>
        <v>0</v>
      </c>
      <c r="M746" s="21">
        <f t="shared" si="19"/>
        <v>0</v>
      </c>
      <c r="N746" s="9" t="str">
        <f ca="1">IFERROR(__xludf.DUMMYFUNCTION("IF(G746&lt;&gt;"""",G746, IFERROR(TRANSPOSE(FILTER('ซื้อสินค้า'!H:H,'ซื้อสินค้า'!B:B=B746,'ซื้อสินค้า'!I:I&gt;0)),))"),"")</f>
        <v/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>
      <c r="A747" s="5"/>
      <c r="B747" s="6"/>
      <c r="C747" s="20">
        <f>IFERROR(VLOOKUP(B747,ชื่อสินค้า!A:C,3,FALSE),)</f>
        <v>0</v>
      </c>
      <c r="D747" s="8" t="str">
        <f>IFERROR(VLOOKUP(B747,ชื่อสินค้า!A:D,4,FALSE),"")</f>
        <v/>
      </c>
      <c r="E747" s="9"/>
      <c r="F747" s="21" t="str">
        <f t="shared" si="15"/>
        <v/>
      </c>
      <c r="G747" s="22"/>
      <c r="H747" s="8">
        <f>IFERROR(VLOOKUP(G747,ซื้อสินค้า!H:I,2,FALSE),)</f>
        <v>0</v>
      </c>
      <c r="I747" s="21">
        <f>IFERROR(VLOOKUP(G747,ซื้อสินค้า!H:J,3,FALSE),)</f>
        <v>0</v>
      </c>
      <c r="J747" s="21">
        <f t="shared" si="16"/>
        <v>0</v>
      </c>
      <c r="K747" s="21">
        <f t="shared" si="17"/>
        <v>0</v>
      </c>
      <c r="L747" s="12">
        <f t="shared" si="18"/>
        <v>0</v>
      </c>
      <c r="M747" s="21">
        <f t="shared" si="19"/>
        <v>0</v>
      </c>
      <c r="N747" s="9" t="str">
        <f ca="1">IFERROR(__xludf.DUMMYFUNCTION("IF(G747&lt;&gt;"""",G747, IFERROR(TRANSPOSE(FILTER('ซื้อสินค้า'!H:H,'ซื้อสินค้า'!B:B=B747,'ซื้อสินค้า'!I:I&gt;0)),))"),"")</f>
        <v/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>
      <c r="A748" s="5"/>
      <c r="B748" s="6"/>
      <c r="C748" s="20">
        <f>IFERROR(VLOOKUP(B748,ชื่อสินค้า!A:C,3,FALSE),)</f>
        <v>0</v>
      </c>
      <c r="D748" s="8" t="str">
        <f>IFERROR(VLOOKUP(B748,ชื่อสินค้า!A:D,4,FALSE),"")</f>
        <v/>
      </c>
      <c r="E748" s="9"/>
      <c r="F748" s="21" t="str">
        <f t="shared" si="15"/>
        <v/>
      </c>
      <c r="G748" s="22"/>
      <c r="H748" s="8">
        <f>IFERROR(VLOOKUP(G748,ซื้อสินค้า!H:I,2,FALSE),)</f>
        <v>0</v>
      </c>
      <c r="I748" s="21">
        <f>IFERROR(VLOOKUP(G748,ซื้อสินค้า!H:J,3,FALSE),)</f>
        <v>0</v>
      </c>
      <c r="J748" s="21">
        <f t="shared" si="16"/>
        <v>0</v>
      </c>
      <c r="K748" s="21">
        <f t="shared" si="17"/>
        <v>0</v>
      </c>
      <c r="L748" s="12">
        <f t="shared" si="18"/>
        <v>0</v>
      </c>
      <c r="M748" s="21">
        <f t="shared" si="19"/>
        <v>0</v>
      </c>
      <c r="N748" s="9" t="str">
        <f ca="1">IFERROR(__xludf.DUMMYFUNCTION("IF(G748&lt;&gt;"""",G748, IFERROR(TRANSPOSE(FILTER('ซื้อสินค้า'!H:H,'ซื้อสินค้า'!B:B=B748,'ซื้อสินค้า'!I:I&gt;0)),))"),"")</f>
        <v/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spans="1:32">
      <c r="A749" s="5"/>
      <c r="B749" s="6"/>
      <c r="C749" s="20">
        <f>IFERROR(VLOOKUP(B749,ชื่อสินค้า!A:C,3,FALSE),)</f>
        <v>0</v>
      </c>
      <c r="D749" s="8" t="str">
        <f>IFERROR(VLOOKUP(B749,ชื่อสินค้า!A:D,4,FALSE),"")</f>
        <v/>
      </c>
      <c r="E749" s="9"/>
      <c r="F749" s="21" t="str">
        <f t="shared" si="15"/>
        <v/>
      </c>
      <c r="G749" s="22"/>
      <c r="H749" s="8">
        <f>IFERROR(VLOOKUP(G749,ซื้อสินค้า!H:I,2,FALSE),)</f>
        <v>0</v>
      </c>
      <c r="I749" s="21">
        <f>IFERROR(VLOOKUP(G749,ซื้อสินค้า!H:J,3,FALSE),)</f>
        <v>0</v>
      </c>
      <c r="J749" s="21">
        <f t="shared" si="16"/>
        <v>0</v>
      </c>
      <c r="K749" s="21">
        <f t="shared" si="17"/>
        <v>0</v>
      </c>
      <c r="L749" s="12">
        <f t="shared" si="18"/>
        <v>0</v>
      </c>
      <c r="M749" s="21">
        <f t="shared" si="19"/>
        <v>0</v>
      </c>
      <c r="N749" s="9" t="str">
        <f ca="1">IFERROR(__xludf.DUMMYFUNCTION("IF(G749&lt;&gt;"""",G749, IFERROR(TRANSPOSE(FILTER('ซื้อสินค้า'!H:H,'ซื้อสินค้า'!B:B=B749,'ซื้อสินค้า'!I:I&gt;0)),))"),"")</f>
        <v/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spans="1:32">
      <c r="A750" s="5"/>
      <c r="B750" s="6"/>
      <c r="C750" s="20">
        <f>IFERROR(VLOOKUP(B750,ชื่อสินค้า!A:C,3,FALSE),)</f>
        <v>0</v>
      </c>
      <c r="D750" s="8" t="str">
        <f>IFERROR(VLOOKUP(B750,ชื่อสินค้า!A:D,4,FALSE),"")</f>
        <v/>
      </c>
      <c r="E750" s="9"/>
      <c r="F750" s="21" t="str">
        <f t="shared" si="15"/>
        <v/>
      </c>
      <c r="G750" s="22"/>
      <c r="H750" s="8">
        <f>IFERROR(VLOOKUP(G750,ซื้อสินค้า!H:I,2,FALSE),)</f>
        <v>0</v>
      </c>
      <c r="I750" s="21">
        <f>IFERROR(VLOOKUP(G750,ซื้อสินค้า!H:J,3,FALSE),)</f>
        <v>0</v>
      </c>
      <c r="J750" s="21">
        <f t="shared" si="16"/>
        <v>0</v>
      </c>
      <c r="K750" s="21">
        <f t="shared" si="17"/>
        <v>0</v>
      </c>
      <c r="L750" s="12">
        <f t="shared" si="18"/>
        <v>0</v>
      </c>
      <c r="M750" s="21">
        <f t="shared" si="19"/>
        <v>0</v>
      </c>
      <c r="N750" s="9" t="str">
        <f ca="1">IFERROR(__xludf.DUMMYFUNCTION("IF(G750&lt;&gt;"""",G750, IFERROR(TRANSPOSE(FILTER('ซื้อสินค้า'!H:H,'ซื้อสินค้า'!B:B=B750,'ซื้อสินค้า'!I:I&gt;0)),))"),"")</f>
        <v/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spans="1:32">
      <c r="A751" s="5"/>
      <c r="B751" s="6"/>
      <c r="C751" s="20">
        <f>IFERROR(VLOOKUP(B751,ชื่อสินค้า!A:C,3,FALSE),)</f>
        <v>0</v>
      </c>
      <c r="D751" s="8" t="str">
        <f>IFERROR(VLOOKUP(B751,ชื่อสินค้า!A:D,4,FALSE),"")</f>
        <v/>
      </c>
      <c r="E751" s="9"/>
      <c r="F751" s="21" t="str">
        <f t="shared" si="15"/>
        <v/>
      </c>
      <c r="G751" s="22"/>
      <c r="H751" s="8">
        <f>IFERROR(VLOOKUP(G751,ซื้อสินค้า!H:I,2,FALSE),)</f>
        <v>0</v>
      </c>
      <c r="I751" s="21">
        <f>IFERROR(VLOOKUP(G751,ซื้อสินค้า!H:J,3,FALSE),)</f>
        <v>0</v>
      </c>
      <c r="J751" s="21">
        <f t="shared" si="16"/>
        <v>0</v>
      </c>
      <c r="K751" s="21">
        <f t="shared" si="17"/>
        <v>0</v>
      </c>
      <c r="L751" s="12">
        <f t="shared" si="18"/>
        <v>0</v>
      </c>
      <c r="M751" s="21">
        <f t="shared" si="19"/>
        <v>0</v>
      </c>
      <c r="N751" s="9" t="str">
        <f ca="1">IFERROR(__xludf.DUMMYFUNCTION("IF(G751&lt;&gt;"""",G751, IFERROR(TRANSPOSE(FILTER('ซื้อสินค้า'!H:H,'ซื้อสินค้า'!B:B=B751,'ซื้อสินค้า'!I:I&gt;0)),))"),"")</f>
        <v/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spans="1:32">
      <c r="A752" s="5"/>
      <c r="B752" s="6"/>
      <c r="C752" s="20">
        <f>IFERROR(VLOOKUP(B752,ชื่อสินค้า!A:C,3,FALSE),)</f>
        <v>0</v>
      </c>
      <c r="D752" s="8" t="str">
        <f>IFERROR(VLOOKUP(B752,ชื่อสินค้า!A:D,4,FALSE),"")</f>
        <v/>
      </c>
      <c r="E752" s="9"/>
      <c r="F752" s="21" t="str">
        <f t="shared" si="15"/>
        <v/>
      </c>
      <c r="G752" s="22"/>
      <c r="H752" s="8">
        <f>IFERROR(VLOOKUP(G752,ซื้อสินค้า!H:I,2,FALSE),)</f>
        <v>0</v>
      </c>
      <c r="I752" s="21">
        <f>IFERROR(VLOOKUP(G752,ซื้อสินค้า!H:J,3,FALSE),)</f>
        <v>0</v>
      </c>
      <c r="J752" s="21">
        <f t="shared" si="16"/>
        <v>0</v>
      </c>
      <c r="K752" s="21">
        <f t="shared" si="17"/>
        <v>0</v>
      </c>
      <c r="L752" s="12">
        <f t="shared" si="18"/>
        <v>0</v>
      </c>
      <c r="M752" s="21">
        <f t="shared" si="19"/>
        <v>0</v>
      </c>
      <c r="N752" s="9" t="str">
        <f ca="1">IFERROR(__xludf.DUMMYFUNCTION("IF(G752&lt;&gt;"""",G752, IFERROR(TRANSPOSE(FILTER('ซื้อสินค้า'!H:H,'ซื้อสินค้า'!B:B=B752,'ซื้อสินค้า'!I:I&gt;0)),))"),"")</f>
        <v/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spans="1:32">
      <c r="A753" s="5"/>
      <c r="B753" s="6"/>
      <c r="C753" s="20">
        <f>IFERROR(VLOOKUP(B753,ชื่อสินค้า!A:C,3,FALSE),)</f>
        <v>0</v>
      </c>
      <c r="D753" s="8" t="str">
        <f>IFERROR(VLOOKUP(B753,ชื่อสินค้า!A:D,4,FALSE),"")</f>
        <v/>
      </c>
      <c r="E753" s="9"/>
      <c r="F753" s="21" t="str">
        <f t="shared" si="15"/>
        <v/>
      </c>
      <c r="G753" s="22"/>
      <c r="H753" s="8">
        <f>IFERROR(VLOOKUP(G753,ซื้อสินค้า!H:I,2,FALSE),)</f>
        <v>0</v>
      </c>
      <c r="I753" s="21">
        <f>IFERROR(VLOOKUP(G753,ซื้อสินค้า!H:J,3,FALSE),)</f>
        <v>0</v>
      </c>
      <c r="J753" s="21">
        <f t="shared" si="16"/>
        <v>0</v>
      </c>
      <c r="K753" s="21">
        <f t="shared" si="17"/>
        <v>0</v>
      </c>
      <c r="L753" s="12">
        <f t="shared" si="18"/>
        <v>0</v>
      </c>
      <c r="M753" s="21">
        <f t="shared" si="19"/>
        <v>0</v>
      </c>
      <c r="N753" s="9" t="str">
        <f ca="1">IFERROR(__xludf.DUMMYFUNCTION("IF(G753&lt;&gt;"""",G753, IFERROR(TRANSPOSE(FILTER('ซื้อสินค้า'!H:H,'ซื้อสินค้า'!B:B=B753,'ซื้อสินค้า'!I:I&gt;0)),))"),"")</f>
        <v/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spans="1:32">
      <c r="A754" s="5"/>
      <c r="B754" s="6"/>
      <c r="C754" s="20">
        <f>IFERROR(VLOOKUP(B754,ชื่อสินค้า!A:C,3,FALSE),)</f>
        <v>0</v>
      </c>
      <c r="D754" s="8" t="str">
        <f>IFERROR(VLOOKUP(B754,ชื่อสินค้า!A:D,4,FALSE),"")</f>
        <v/>
      </c>
      <c r="E754" s="9"/>
      <c r="F754" s="21" t="str">
        <f t="shared" si="15"/>
        <v/>
      </c>
      <c r="G754" s="22"/>
      <c r="H754" s="8">
        <f>IFERROR(VLOOKUP(G754,ซื้อสินค้า!H:I,2,FALSE),)</f>
        <v>0</v>
      </c>
      <c r="I754" s="21">
        <f>IFERROR(VLOOKUP(G754,ซื้อสินค้า!H:J,3,FALSE),)</f>
        <v>0</v>
      </c>
      <c r="J754" s="21">
        <f t="shared" si="16"/>
        <v>0</v>
      </c>
      <c r="K754" s="21">
        <f t="shared" si="17"/>
        <v>0</v>
      </c>
      <c r="L754" s="12">
        <f t="shared" si="18"/>
        <v>0</v>
      </c>
      <c r="M754" s="21">
        <f t="shared" si="19"/>
        <v>0</v>
      </c>
      <c r="N754" s="9" t="str">
        <f ca="1">IFERROR(__xludf.DUMMYFUNCTION("IF(G754&lt;&gt;"""",G754, IFERROR(TRANSPOSE(FILTER('ซื้อสินค้า'!H:H,'ซื้อสินค้า'!B:B=B754,'ซื้อสินค้า'!I:I&gt;0)),))"),"")</f>
        <v/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spans="1:32">
      <c r="A755" s="5"/>
      <c r="B755" s="6"/>
      <c r="C755" s="20">
        <f>IFERROR(VLOOKUP(B755,ชื่อสินค้า!A:C,3,FALSE),)</f>
        <v>0</v>
      </c>
      <c r="D755" s="8" t="str">
        <f>IFERROR(VLOOKUP(B755,ชื่อสินค้า!A:D,4,FALSE),"")</f>
        <v/>
      </c>
      <c r="E755" s="9"/>
      <c r="F755" s="21" t="str">
        <f t="shared" si="15"/>
        <v/>
      </c>
      <c r="G755" s="22"/>
      <c r="H755" s="8">
        <f>IFERROR(VLOOKUP(G755,ซื้อสินค้า!H:I,2,FALSE),)</f>
        <v>0</v>
      </c>
      <c r="I755" s="21">
        <f>IFERROR(VLOOKUP(G755,ซื้อสินค้า!H:J,3,FALSE),)</f>
        <v>0</v>
      </c>
      <c r="J755" s="21">
        <f t="shared" si="16"/>
        <v>0</v>
      </c>
      <c r="K755" s="21">
        <f t="shared" si="17"/>
        <v>0</v>
      </c>
      <c r="L755" s="12">
        <f t="shared" si="18"/>
        <v>0</v>
      </c>
      <c r="M755" s="21">
        <f t="shared" si="19"/>
        <v>0</v>
      </c>
      <c r="N755" s="9" t="str">
        <f ca="1">IFERROR(__xludf.DUMMYFUNCTION("IF(G755&lt;&gt;"""",G755, IFERROR(TRANSPOSE(FILTER('ซื้อสินค้า'!H:H,'ซื้อสินค้า'!B:B=B755,'ซื้อสินค้า'!I:I&gt;0)),))"),"")</f>
        <v/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spans="1:32">
      <c r="A756" s="5"/>
      <c r="B756" s="6"/>
      <c r="C756" s="20">
        <f>IFERROR(VLOOKUP(B756,ชื่อสินค้า!A:C,3,FALSE),)</f>
        <v>0</v>
      </c>
      <c r="D756" s="8" t="str">
        <f>IFERROR(VLOOKUP(B756,ชื่อสินค้า!A:D,4,FALSE),"")</f>
        <v/>
      </c>
      <c r="E756" s="9"/>
      <c r="F756" s="21" t="str">
        <f t="shared" si="15"/>
        <v/>
      </c>
      <c r="G756" s="22"/>
      <c r="H756" s="8">
        <f>IFERROR(VLOOKUP(G756,ซื้อสินค้า!H:I,2,FALSE),)</f>
        <v>0</v>
      </c>
      <c r="I756" s="21">
        <f>IFERROR(VLOOKUP(G756,ซื้อสินค้า!H:J,3,FALSE),)</f>
        <v>0</v>
      </c>
      <c r="J756" s="21">
        <f t="shared" si="16"/>
        <v>0</v>
      </c>
      <c r="K756" s="21">
        <f t="shared" si="17"/>
        <v>0</v>
      </c>
      <c r="L756" s="12">
        <f t="shared" si="18"/>
        <v>0</v>
      </c>
      <c r="M756" s="21">
        <f t="shared" si="19"/>
        <v>0</v>
      </c>
      <c r="N756" s="9" t="str">
        <f ca="1">IFERROR(__xludf.DUMMYFUNCTION("IF(G756&lt;&gt;"""",G756, IFERROR(TRANSPOSE(FILTER('ซื้อสินค้า'!H:H,'ซื้อสินค้า'!B:B=B756,'ซื้อสินค้า'!I:I&gt;0)),))"),"")</f>
        <v/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spans="1:32">
      <c r="A757" s="5"/>
      <c r="B757" s="6"/>
      <c r="C757" s="20">
        <f>IFERROR(VLOOKUP(B757,ชื่อสินค้า!A:C,3,FALSE),)</f>
        <v>0</v>
      </c>
      <c r="D757" s="8" t="str">
        <f>IFERROR(VLOOKUP(B757,ชื่อสินค้า!A:D,4,FALSE),"")</f>
        <v/>
      </c>
      <c r="E757" s="9"/>
      <c r="F757" s="21" t="str">
        <f t="shared" si="15"/>
        <v/>
      </c>
      <c r="G757" s="22"/>
      <c r="H757" s="8">
        <f>IFERROR(VLOOKUP(G757,ซื้อสินค้า!H:I,2,FALSE),)</f>
        <v>0</v>
      </c>
      <c r="I757" s="21">
        <f>IFERROR(VLOOKUP(G757,ซื้อสินค้า!H:J,3,FALSE),)</f>
        <v>0</v>
      </c>
      <c r="J757" s="21">
        <f t="shared" si="16"/>
        <v>0</v>
      </c>
      <c r="K757" s="21">
        <f t="shared" si="17"/>
        <v>0</v>
      </c>
      <c r="L757" s="12">
        <f t="shared" si="18"/>
        <v>0</v>
      </c>
      <c r="M757" s="21">
        <f t="shared" si="19"/>
        <v>0</v>
      </c>
      <c r="N757" s="9" t="str">
        <f ca="1">IFERROR(__xludf.DUMMYFUNCTION("IF(G757&lt;&gt;"""",G757, IFERROR(TRANSPOSE(FILTER('ซื้อสินค้า'!H:H,'ซื้อสินค้า'!B:B=B757,'ซื้อสินค้า'!I:I&gt;0)),))"),"")</f>
        <v/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spans="1:32">
      <c r="A758" s="5"/>
      <c r="B758" s="6"/>
      <c r="C758" s="20">
        <f>IFERROR(VLOOKUP(B758,ชื่อสินค้า!A:C,3,FALSE),)</f>
        <v>0</v>
      </c>
      <c r="D758" s="8" t="str">
        <f>IFERROR(VLOOKUP(B758,ชื่อสินค้า!A:D,4,FALSE),"")</f>
        <v/>
      </c>
      <c r="E758" s="9"/>
      <c r="F758" s="21" t="str">
        <f t="shared" si="15"/>
        <v/>
      </c>
      <c r="G758" s="22"/>
      <c r="H758" s="8">
        <f>IFERROR(VLOOKUP(G758,ซื้อสินค้า!H:I,2,FALSE),)</f>
        <v>0</v>
      </c>
      <c r="I758" s="21">
        <f>IFERROR(VLOOKUP(G758,ซื้อสินค้า!H:J,3,FALSE),)</f>
        <v>0</v>
      </c>
      <c r="J758" s="21">
        <f t="shared" si="16"/>
        <v>0</v>
      </c>
      <c r="K758" s="21">
        <f t="shared" si="17"/>
        <v>0</v>
      </c>
      <c r="L758" s="12">
        <f t="shared" si="18"/>
        <v>0</v>
      </c>
      <c r="M758" s="21">
        <f t="shared" si="19"/>
        <v>0</v>
      </c>
      <c r="N758" s="9" t="str">
        <f ca="1">IFERROR(__xludf.DUMMYFUNCTION("IF(G758&lt;&gt;"""",G758, IFERROR(TRANSPOSE(FILTER('ซื้อสินค้า'!H:H,'ซื้อสินค้า'!B:B=B758,'ซื้อสินค้า'!I:I&gt;0)),))"),"")</f>
        <v/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spans="1:32">
      <c r="A759" s="5"/>
      <c r="B759" s="6"/>
      <c r="C759" s="20">
        <f>IFERROR(VLOOKUP(B759,ชื่อสินค้า!A:C,3,FALSE),)</f>
        <v>0</v>
      </c>
      <c r="D759" s="8" t="str">
        <f>IFERROR(VLOOKUP(B759,ชื่อสินค้า!A:D,4,FALSE),"")</f>
        <v/>
      </c>
      <c r="E759" s="9"/>
      <c r="F759" s="21" t="str">
        <f t="shared" si="15"/>
        <v/>
      </c>
      <c r="G759" s="22"/>
      <c r="H759" s="8">
        <f>IFERROR(VLOOKUP(G759,ซื้อสินค้า!H:I,2,FALSE),)</f>
        <v>0</v>
      </c>
      <c r="I759" s="21">
        <f>IFERROR(VLOOKUP(G759,ซื้อสินค้า!H:J,3,FALSE),)</f>
        <v>0</v>
      </c>
      <c r="J759" s="21">
        <f t="shared" si="16"/>
        <v>0</v>
      </c>
      <c r="K759" s="21">
        <f t="shared" si="17"/>
        <v>0</v>
      </c>
      <c r="L759" s="12">
        <f t="shared" si="18"/>
        <v>0</v>
      </c>
      <c r="M759" s="21">
        <f t="shared" si="19"/>
        <v>0</v>
      </c>
      <c r="N759" s="9" t="str">
        <f ca="1">IFERROR(__xludf.DUMMYFUNCTION("IF(G759&lt;&gt;"""",G759, IFERROR(TRANSPOSE(FILTER('ซื้อสินค้า'!H:H,'ซื้อสินค้า'!B:B=B759,'ซื้อสินค้า'!I:I&gt;0)),))"),"")</f>
        <v/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spans="1:32">
      <c r="A760" s="5"/>
      <c r="B760" s="6"/>
      <c r="C760" s="20">
        <f>IFERROR(VLOOKUP(B760,ชื่อสินค้า!A:C,3,FALSE),)</f>
        <v>0</v>
      </c>
      <c r="D760" s="8" t="str">
        <f>IFERROR(VLOOKUP(B760,ชื่อสินค้า!A:D,4,FALSE),"")</f>
        <v/>
      </c>
      <c r="E760" s="9"/>
      <c r="F760" s="21" t="str">
        <f t="shared" si="15"/>
        <v/>
      </c>
      <c r="G760" s="22"/>
      <c r="H760" s="8">
        <f>IFERROR(VLOOKUP(G760,ซื้อสินค้า!H:I,2,FALSE),)</f>
        <v>0</v>
      </c>
      <c r="I760" s="21">
        <f>IFERROR(VLOOKUP(G760,ซื้อสินค้า!H:J,3,FALSE),)</f>
        <v>0</v>
      </c>
      <c r="J760" s="21">
        <f t="shared" si="16"/>
        <v>0</v>
      </c>
      <c r="K760" s="21">
        <f t="shared" si="17"/>
        <v>0</v>
      </c>
      <c r="L760" s="12">
        <f t="shared" si="18"/>
        <v>0</v>
      </c>
      <c r="M760" s="21">
        <f t="shared" si="19"/>
        <v>0</v>
      </c>
      <c r="N760" s="9" t="str">
        <f ca="1">IFERROR(__xludf.DUMMYFUNCTION("IF(G760&lt;&gt;"""",G760, IFERROR(TRANSPOSE(FILTER('ซื้อสินค้า'!H:H,'ซื้อสินค้า'!B:B=B760,'ซื้อสินค้า'!I:I&gt;0)),))"),"")</f>
        <v/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spans="1:32">
      <c r="A761" s="5"/>
      <c r="B761" s="6"/>
      <c r="C761" s="20">
        <f>IFERROR(VLOOKUP(B761,ชื่อสินค้า!A:C,3,FALSE),)</f>
        <v>0</v>
      </c>
      <c r="D761" s="8" t="str">
        <f>IFERROR(VLOOKUP(B761,ชื่อสินค้า!A:D,4,FALSE),"")</f>
        <v/>
      </c>
      <c r="E761" s="9"/>
      <c r="F761" s="21" t="str">
        <f t="shared" si="15"/>
        <v/>
      </c>
      <c r="G761" s="22"/>
      <c r="H761" s="8">
        <f>IFERROR(VLOOKUP(G761,ซื้อสินค้า!H:I,2,FALSE),)</f>
        <v>0</v>
      </c>
      <c r="I761" s="21">
        <f>IFERROR(VLOOKUP(G761,ซื้อสินค้า!H:J,3,FALSE),)</f>
        <v>0</v>
      </c>
      <c r="J761" s="21">
        <f t="shared" si="16"/>
        <v>0</v>
      </c>
      <c r="K761" s="21">
        <f t="shared" si="17"/>
        <v>0</v>
      </c>
      <c r="L761" s="12">
        <f t="shared" si="18"/>
        <v>0</v>
      </c>
      <c r="M761" s="21">
        <f t="shared" si="19"/>
        <v>0</v>
      </c>
      <c r="N761" s="9" t="str">
        <f ca="1">IFERROR(__xludf.DUMMYFUNCTION("IF(G761&lt;&gt;"""",G761, IFERROR(TRANSPOSE(FILTER('ซื้อสินค้า'!H:H,'ซื้อสินค้า'!B:B=B761,'ซื้อสินค้า'!I:I&gt;0)),))"),"")</f>
        <v/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spans="1:32">
      <c r="A762" s="5"/>
      <c r="B762" s="6"/>
      <c r="C762" s="20">
        <f>IFERROR(VLOOKUP(B762,ชื่อสินค้า!A:C,3,FALSE),)</f>
        <v>0</v>
      </c>
      <c r="D762" s="8" t="str">
        <f>IFERROR(VLOOKUP(B762,ชื่อสินค้า!A:D,4,FALSE),"")</f>
        <v/>
      </c>
      <c r="E762" s="9"/>
      <c r="F762" s="21" t="str">
        <f t="shared" si="15"/>
        <v/>
      </c>
      <c r="G762" s="22"/>
      <c r="H762" s="8">
        <f>IFERROR(VLOOKUP(G762,ซื้อสินค้า!H:I,2,FALSE),)</f>
        <v>0</v>
      </c>
      <c r="I762" s="21">
        <f>IFERROR(VLOOKUP(G762,ซื้อสินค้า!H:J,3,FALSE),)</f>
        <v>0</v>
      </c>
      <c r="J762" s="21">
        <f t="shared" si="16"/>
        <v>0</v>
      </c>
      <c r="K762" s="21">
        <f t="shared" si="17"/>
        <v>0</v>
      </c>
      <c r="L762" s="12">
        <f t="shared" si="18"/>
        <v>0</v>
      </c>
      <c r="M762" s="21">
        <f t="shared" si="19"/>
        <v>0</v>
      </c>
      <c r="N762" s="9" t="str">
        <f ca="1">IFERROR(__xludf.DUMMYFUNCTION("IF(G762&lt;&gt;"""",G762, IFERROR(TRANSPOSE(FILTER('ซื้อสินค้า'!H:H,'ซื้อสินค้า'!B:B=B762,'ซื้อสินค้า'!I:I&gt;0)),))"),"")</f>
        <v/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spans="1:32">
      <c r="A763" s="5"/>
      <c r="B763" s="6"/>
      <c r="C763" s="20">
        <f>IFERROR(VLOOKUP(B763,ชื่อสินค้า!A:C,3,FALSE),)</f>
        <v>0</v>
      </c>
      <c r="D763" s="8" t="str">
        <f>IFERROR(VLOOKUP(B763,ชื่อสินค้า!A:D,4,FALSE),"")</f>
        <v/>
      </c>
      <c r="E763" s="9"/>
      <c r="F763" s="21" t="str">
        <f t="shared" si="15"/>
        <v/>
      </c>
      <c r="G763" s="22"/>
      <c r="H763" s="8">
        <f>IFERROR(VLOOKUP(G763,ซื้อสินค้า!H:I,2,FALSE),)</f>
        <v>0</v>
      </c>
      <c r="I763" s="21">
        <f>IFERROR(VLOOKUP(G763,ซื้อสินค้า!H:J,3,FALSE),)</f>
        <v>0</v>
      </c>
      <c r="J763" s="21">
        <f t="shared" si="16"/>
        <v>0</v>
      </c>
      <c r="K763" s="21">
        <f t="shared" si="17"/>
        <v>0</v>
      </c>
      <c r="L763" s="12">
        <f t="shared" si="18"/>
        <v>0</v>
      </c>
      <c r="M763" s="21">
        <f t="shared" si="19"/>
        <v>0</v>
      </c>
      <c r="N763" s="9" t="str">
        <f ca="1">IFERROR(__xludf.DUMMYFUNCTION("IF(G763&lt;&gt;"""",G763, IFERROR(TRANSPOSE(FILTER('ซื้อสินค้า'!H:H,'ซื้อสินค้า'!B:B=B763,'ซื้อสินค้า'!I:I&gt;0)),))"),"")</f>
        <v/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spans="1:32">
      <c r="A764" s="5"/>
      <c r="B764" s="6"/>
      <c r="C764" s="20">
        <f>IFERROR(VLOOKUP(B764,ชื่อสินค้า!A:C,3,FALSE),)</f>
        <v>0</v>
      </c>
      <c r="D764" s="8" t="str">
        <f>IFERROR(VLOOKUP(B764,ชื่อสินค้า!A:D,4,FALSE),"")</f>
        <v/>
      </c>
      <c r="E764" s="9"/>
      <c r="F764" s="21" t="str">
        <f t="shared" si="15"/>
        <v/>
      </c>
      <c r="G764" s="22"/>
      <c r="H764" s="8">
        <f>IFERROR(VLOOKUP(G764,ซื้อสินค้า!H:I,2,FALSE),)</f>
        <v>0</v>
      </c>
      <c r="I764" s="21">
        <f>IFERROR(VLOOKUP(G764,ซื้อสินค้า!H:J,3,FALSE),)</f>
        <v>0</v>
      </c>
      <c r="J764" s="21">
        <f t="shared" si="16"/>
        <v>0</v>
      </c>
      <c r="K764" s="21">
        <f t="shared" si="17"/>
        <v>0</v>
      </c>
      <c r="L764" s="12">
        <f t="shared" si="18"/>
        <v>0</v>
      </c>
      <c r="M764" s="21">
        <f t="shared" si="19"/>
        <v>0</v>
      </c>
      <c r="N764" s="9" t="str">
        <f ca="1">IFERROR(__xludf.DUMMYFUNCTION("IF(G764&lt;&gt;"""",G764, IFERROR(TRANSPOSE(FILTER('ซื้อสินค้า'!H:H,'ซื้อสินค้า'!B:B=B764,'ซื้อสินค้า'!I:I&gt;0)),))"),"")</f>
        <v/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spans="1:32">
      <c r="A765" s="5"/>
      <c r="B765" s="6"/>
      <c r="C765" s="20">
        <f>IFERROR(VLOOKUP(B765,ชื่อสินค้า!A:C,3,FALSE),)</f>
        <v>0</v>
      </c>
      <c r="D765" s="8" t="str">
        <f>IFERROR(VLOOKUP(B765,ชื่อสินค้า!A:D,4,FALSE),"")</f>
        <v/>
      </c>
      <c r="E765" s="9"/>
      <c r="F765" s="21" t="str">
        <f t="shared" si="15"/>
        <v/>
      </c>
      <c r="G765" s="22"/>
      <c r="H765" s="8">
        <f>IFERROR(VLOOKUP(G765,ซื้อสินค้า!H:I,2,FALSE),)</f>
        <v>0</v>
      </c>
      <c r="I765" s="21">
        <f>IFERROR(VLOOKUP(G765,ซื้อสินค้า!H:J,3,FALSE),)</f>
        <v>0</v>
      </c>
      <c r="J765" s="21">
        <f t="shared" si="16"/>
        <v>0</v>
      </c>
      <c r="K765" s="21">
        <f t="shared" si="17"/>
        <v>0</v>
      </c>
      <c r="L765" s="12">
        <f t="shared" si="18"/>
        <v>0</v>
      </c>
      <c r="M765" s="21">
        <f t="shared" si="19"/>
        <v>0</v>
      </c>
      <c r="N765" s="9" t="str">
        <f ca="1">IFERROR(__xludf.DUMMYFUNCTION("IF(G765&lt;&gt;"""",G765, IFERROR(TRANSPOSE(FILTER('ซื้อสินค้า'!H:H,'ซื้อสินค้า'!B:B=B765,'ซื้อสินค้า'!I:I&gt;0)),))"),"")</f>
        <v/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spans="1:32">
      <c r="A766" s="5"/>
      <c r="B766" s="6"/>
      <c r="C766" s="20">
        <f>IFERROR(VLOOKUP(B766,ชื่อสินค้า!A:C,3,FALSE),)</f>
        <v>0</v>
      </c>
      <c r="D766" s="8" t="str">
        <f>IFERROR(VLOOKUP(B766,ชื่อสินค้า!A:D,4,FALSE),"")</f>
        <v/>
      </c>
      <c r="E766" s="9"/>
      <c r="F766" s="21" t="str">
        <f t="shared" si="15"/>
        <v/>
      </c>
      <c r="G766" s="22"/>
      <c r="H766" s="8">
        <f>IFERROR(VLOOKUP(G766,ซื้อสินค้า!H:I,2,FALSE),)</f>
        <v>0</v>
      </c>
      <c r="I766" s="21">
        <f>IFERROR(VLOOKUP(G766,ซื้อสินค้า!H:J,3,FALSE),)</f>
        <v>0</v>
      </c>
      <c r="J766" s="21">
        <f t="shared" si="16"/>
        <v>0</v>
      </c>
      <c r="K766" s="21">
        <f t="shared" si="17"/>
        <v>0</v>
      </c>
      <c r="L766" s="12">
        <f t="shared" si="18"/>
        <v>0</v>
      </c>
      <c r="M766" s="21">
        <f t="shared" si="19"/>
        <v>0</v>
      </c>
      <c r="N766" s="9" t="str">
        <f ca="1">IFERROR(__xludf.DUMMYFUNCTION("IF(G766&lt;&gt;"""",G766, IFERROR(TRANSPOSE(FILTER('ซื้อสินค้า'!H:H,'ซื้อสินค้า'!B:B=B766,'ซื้อสินค้า'!I:I&gt;0)),))"),"")</f>
        <v/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spans="1:32">
      <c r="A767" s="5"/>
      <c r="B767" s="6"/>
      <c r="C767" s="20">
        <f>IFERROR(VLOOKUP(B767,ชื่อสินค้า!A:C,3,FALSE),)</f>
        <v>0</v>
      </c>
      <c r="D767" s="8" t="str">
        <f>IFERROR(VLOOKUP(B767,ชื่อสินค้า!A:D,4,FALSE),"")</f>
        <v/>
      </c>
      <c r="E767" s="9"/>
      <c r="F767" s="21" t="str">
        <f t="shared" ref="F767:F999" si="20">IF(LEN(B767)&gt;0,C767*E767,"")</f>
        <v/>
      </c>
      <c r="G767" s="22"/>
      <c r="H767" s="8">
        <f>IFERROR(VLOOKUP(G767,ซื้อสินค้า!H:I,2,FALSE),)</f>
        <v>0</v>
      </c>
      <c r="I767" s="21">
        <f>IFERROR(VLOOKUP(G767,ซื้อสินค้า!H:J,3,FALSE),)</f>
        <v>0</v>
      </c>
      <c r="J767" s="21">
        <f t="shared" ref="J767:J999" si="21">IF(F767&lt;&gt;"",(C767- I767)*E767,)</f>
        <v>0</v>
      </c>
      <c r="K767" s="21">
        <f t="shared" ref="K767:K999" si="22">IF(F767&lt;&gt;"",(C767-I767),)</f>
        <v>0</v>
      </c>
      <c r="L767" s="12">
        <f t="shared" ref="L767:L999" si="23">IFERROR(J767/F767,)</f>
        <v>0</v>
      </c>
      <c r="M767" s="21">
        <f t="shared" ref="M767:M999" si="24">IF(I767&lt;&gt;"",I767*E767,)</f>
        <v>0</v>
      </c>
      <c r="N767" s="9" t="str">
        <f ca="1">IFERROR(__xludf.DUMMYFUNCTION("IF(G767&lt;&gt;"""",G767, IFERROR(TRANSPOSE(FILTER('ซื้อสินค้า'!H:H,'ซื้อสินค้า'!B:B=B767,'ซื้อสินค้า'!I:I&gt;0)),))"),"")</f>
        <v/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spans="1:32">
      <c r="A768" s="5"/>
      <c r="B768" s="6"/>
      <c r="C768" s="20">
        <f>IFERROR(VLOOKUP(B768,ชื่อสินค้า!A:C,3,FALSE),)</f>
        <v>0</v>
      </c>
      <c r="D768" s="8" t="str">
        <f>IFERROR(VLOOKUP(B768,ชื่อสินค้า!A:D,4,FALSE),"")</f>
        <v/>
      </c>
      <c r="E768" s="9"/>
      <c r="F768" s="21" t="str">
        <f t="shared" si="20"/>
        <v/>
      </c>
      <c r="G768" s="22"/>
      <c r="H768" s="8">
        <f>IFERROR(VLOOKUP(G768,ซื้อสินค้า!H:I,2,FALSE),)</f>
        <v>0</v>
      </c>
      <c r="I768" s="21">
        <f>IFERROR(VLOOKUP(G768,ซื้อสินค้า!H:J,3,FALSE),)</f>
        <v>0</v>
      </c>
      <c r="J768" s="21">
        <f t="shared" si="21"/>
        <v>0</v>
      </c>
      <c r="K768" s="21">
        <f t="shared" si="22"/>
        <v>0</v>
      </c>
      <c r="L768" s="12">
        <f t="shared" si="23"/>
        <v>0</v>
      </c>
      <c r="M768" s="21">
        <f t="shared" si="24"/>
        <v>0</v>
      </c>
      <c r="N768" s="9" t="str">
        <f ca="1">IFERROR(__xludf.DUMMYFUNCTION("IF(G768&lt;&gt;"""",G768, IFERROR(TRANSPOSE(FILTER('ซื้อสินค้า'!H:H,'ซื้อสินค้า'!B:B=B768,'ซื้อสินค้า'!I:I&gt;0)),))"),"")</f>
        <v/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spans="1:32">
      <c r="A769" s="5"/>
      <c r="B769" s="6"/>
      <c r="C769" s="20">
        <f>IFERROR(VLOOKUP(B769,ชื่อสินค้า!A:C,3,FALSE),)</f>
        <v>0</v>
      </c>
      <c r="D769" s="8" t="str">
        <f>IFERROR(VLOOKUP(B769,ชื่อสินค้า!A:D,4,FALSE),"")</f>
        <v/>
      </c>
      <c r="E769" s="9"/>
      <c r="F769" s="21" t="str">
        <f t="shared" si="20"/>
        <v/>
      </c>
      <c r="G769" s="22"/>
      <c r="H769" s="8">
        <f>IFERROR(VLOOKUP(G769,ซื้อสินค้า!H:I,2,FALSE),)</f>
        <v>0</v>
      </c>
      <c r="I769" s="21">
        <f>IFERROR(VLOOKUP(G769,ซื้อสินค้า!H:J,3,FALSE),)</f>
        <v>0</v>
      </c>
      <c r="J769" s="21">
        <f t="shared" si="21"/>
        <v>0</v>
      </c>
      <c r="K769" s="21">
        <f t="shared" si="22"/>
        <v>0</v>
      </c>
      <c r="L769" s="12">
        <f t="shared" si="23"/>
        <v>0</v>
      </c>
      <c r="M769" s="21">
        <f t="shared" si="24"/>
        <v>0</v>
      </c>
      <c r="N769" s="9" t="str">
        <f ca="1">IFERROR(__xludf.DUMMYFUNCTION("IF(G769&lt;&gt;"""",G769, IFERROR(TRANSPOSE(FILTER('ซื้อสินค้า'!H:H,'ซื้อสินค้า'!B:B=B769,'ซื้อสินค้า'!I:I&gt;0)),))"),"")</f>
        <v/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spans="1:32">
      <c r="A770" s="5"/>
      <c r="B770" s="6"/>
      <c r="C770" s="20">
        <f>IFERROR(VLOOKUP(B770,ชื่อสินค้า!A:C,3,FALSE),)</f>
        <v>0</v>
      </c>
      <c r="D770" s="8" t="str">
        <f>IFERROR(VLOOKUP(B770,ชื่อสินค้า!A:D,4,FALSE),"")</f>
        <v/>
      </c>
      <c r="E770" s="9"/>
      <c r="F770" s="21" t="str">
        <f t="shared" si="20"/>
        <v/>
      </c>
      <c r="G770" s="22"/>
      <c r="H770" s="8">
        <f>IFERROR(VLOOKUP(G770,ซื้อสินค้า!H:I,2,FALSE),)</f>
        <v>0</v>
      </c>
      <c r="I770" s="21">
        <f>IFERROR(VLOOKUP(G770,ซื้อสินค้า!H:J,3,FALSE),)</f>
        <v>0</v>
      </c>
      <c r="J770" s="21">
        <f t="shared" si="21"/>
        <v>0</v>
      </c>
      <c r="K770" s="21">
        <f t="shared" si="22"/>
        <v>0</v>
      </c>
      <c r="L770" s="12">
        <f t="shared" si="23"/>
        <v>0</v>
      </c>
      <c r="M770" s="21">
        <f t="shared" si="24"/>
        <v>0</v>
      </c>
      <c r="N770" s="9" t="str">
        <f ca="1">IFERROR(__xludf.DUMMYFUNCTION("IF(G770&lt;&gt;"""",G770, IFERROR(TRANSPOSE(FILTER('ซื้อสินค้า'!H:H,'ซื้อสินค้า'!B:B=B770,'ซื้อสินค้า'!I:I&gt;0)),))"),"")</f>
        <v/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spans="1:32">
      <c r="A771" s="5"/>
      <c r="B771" s="6"/>
      <c r="C771" s="20">
        <f>IFERROR(VLOOKUP(B771,ชื่อสินค้า!A:C,3,FALSE),)</f>
        <v>0</v>
      </c>
      <c r="D771" s="8" t="str">
        <f>IFERROR(VLOOKUP(B771,ชื่อสินค้า!A:D,4,FALSE),"")</f>
        <v/>
      </c>
      <c r="E771" s="9"/>
      <c r="F771" s="21" t="str">
        <f t="shared" si="20"/>
        <v/>
      </c>
      <c r="G771" s="22"/>
      <c r="H771" s="8">
        <f>IFERROR(VLOOKUP(G771,ซื้อสินค้า!H:I,2,FALSE),)</f>
        <v>0</v>
      </c>
      <c r="I771" s="21">
        <f>IFERROR(VLOOKUP(G771,ซื้อสินค้า!H:J,3,FALSE),)</f>
        <v>0</v>
      </c>
      <c r="J771" s="21">
        <f t="shared" si="21"/>
        <v>0</v>
      </c>
      <c r="K771" s="21">
        <f t="shared" si="22"/>
        <v>0</v>
      </c>
      <c r="L771" s="12">
        <f t="shared" si="23"/>
        <v>0</v>
      </c>
      <c r="M771" s="21">
        <f t="shared" si="24"/>
        <v>0</v>
      </c>
      <c r="N771" s="9" t="str">
        <f ca="1">IFERROR(__xludf.DUMMYFUNCTION("IF(G771&lt;&gt;"""",G771, IFERROR(TRANSPOSE(FILTER('ซื้อสินค้า'!H:H,'ซื้อสินค้า'!B:B=B771,'ซื้อสินค้า'!I:I&gt;0)),))"),"")</f>
        <v/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spans="1:32">
      <c r="A772" s="5"/>
      <c r="B772" s="6"/>
      <c r="C772" s="20">
        <f>IFERROR(VLOOKUP(B772,ชื่อสินค้า!A:C,3,FALSE),)</f>
        <v>0</v>
      </c>
      <c r="D772" s="8" t="str">
        <f>IFERROR(VLOOKUP(B772,ชื่อสินค้า!A:D,4,FALSE),"")</f>
        <v/>
      </c>
      <c r="E772" s="9"/>
      <c r="F772" s="21" t="str">
        <f t="shared" si="20"/>
        <v/>
      </c>
      <c r="G772" s="22"/>
      <c r="H772" s="8">
        <f>IFERROR(VLOOKUP(G772,ซื้อสินค้า!H:I,2,FALSE),)</f>
        <v>0</v>
      </c>
      <c r="I772" s="21">
        <f>IFERROR(VLOOKUP(G772,ซื้อสินค้า!H:J,3,FALSE),)</f>
        <v>0</v>
      </c>
      <c r="J772" s="21">
        <f t="shared" si="21"/>
        <v>0</v>
      </c>
      <c r="K772" s="21">
        <f t="shared" si="22"/>
        <v>0</v>
      </c>
      <c r="L772" s="12">
        <f t="shared" si="23"/>
        <v>0</v>
      </c>
      <c r="M772" s="21">
        <f t="shared" si="24"/>
        <v>0</v>
      </c>
      <c r="N772" s="9" t="str">
        <f ca="1">IFERROR(__xludf.DUMMYFUNCTION("IF(G772&lt;&gt;"""",G772, IFERROR(TRANSPOSE(FILTER('ซื้อสินค้า'!H:H,'ซื้อสินค้า'!B:B=B772,'ซื้อสินค้า'!I:I&gt;0)),))"),"")</f>
        <v/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spans="1:32">
      <c r="A773" s="5"/>
      <c r="B773" s="6"/>
      <c r="C773" s="20">
        <f>IFERROR(VLOOKUP(B773,ชื่อสินค้า!A:C,3,FALSE),)</f>
        <v>0</v>
      </c>
      <c r="D773" s="8" t="str">
        <f>IFERROR(VLOOKUP(B773,ชื่อสินค้า!A:D,4,FALSE),"")</f>
        <v/>
      </c>
      <c r="E773" s="9"/>
      <c r="F773" s="21" t="str">
        <f t="shared" si="20"/>
        <v/>
      </c>
      <c r="G773" s="22"/>
      <c r="H773" s="8">
        <f>IFERROR(VLOOKUP(G773,ซื้อสินค้า!H:I,2,FALSE),)</f>
        <v>0</v>
      </c>
      <c r="I773" s="21">
        <f>IFERROR(VLOOKUP(G773,ซื้อสินค้า!H:J,3,FALSE),)</f>
        <v>0</v>
      </c>
      <c r="J773" s="21">
        <f t="shared" si="21"/>
        <v>0</v>
      </c>
      <c r="K773" s="21">
        <f t="shared" si="22"/>
        <v>0</v>
      </c>
      <c r="L773" s="12">
        <f t="shared" si="23"/>
        <v>0</v>
      </c>
      <c r="M773" s="21">
        <f t="shared" si="24"/>
        <v>0</v>
      </c>
      <c r="N773" s="9" t="str">
        <f ca="1">IFERROR(__xludf.DUMMYFUNCTION("IF(G773&lt;&gt;"""",G773, IFERROR(TRANSPOSE(FILTER('ซื้อสินค้า'!H:H,'ซื้อสินค้า'!B:B=B773,'ซื้อสินค้า'!I:I&gt;0)),))"),"")</f>
        <v/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spans="1:32">
      <c r="A774" s="5"/>
      <c r="B774" s="6"/>
      <c r="C774" s="20">
        <f>IFERROR(VLOOKUP(B774,ชื่อสินค้า!A:C,3,FALSE),)</f>
        <v>0</v>
      </c>
      <c r="D774" s="8" t="str">
        <f>IFERROR(VLOOKUP(B774,ชื่อสินค้า!A:D,4,FALSE),"")</f>
        <v/>
      </c>
      <c r="E774" s="9"/>
      <c r="F774" s="21" t="str">
        <f t="shared" si="20"/>
        <v/>
      </c>
      <c r="G774" s="22"/>
      <c r="H774" s="8">
        <f>IFERROR(VLOOKUP(G774,ซื้อสินค้า!H:I,2,FALSE),)</f>
        <v>0</v>
      </c>
      <c r="I774" s="21">
        <f>IFERROR(VLOOKUP(G774,ซื้อสินค้า!H:J,3,FALSE),)</f>
        <v>0</v>
      </c>
      <c r="J774" s="21">
        <f t="shared" si="21"/>
        <v>0</v>
      </c>
      <c r="K774" s="21">
        <f t="shared" si="22"/>
        <v>0</v>
      </c>
      <c r="L774" s="12">
        <f t="shared" si="23"/>
        <v>0</v>
      </c>
      <c r="M774" s="21">
        <f t="shared" si="24"/>
        <v>0</v>
      </c>
      <c r="N774" s="9" t="str">
        <f ca="1">IFERROR(__xludf.DUMMYFUNCTION("IF(G774&lt;&gt;"""",G774, IFERROR(TRANSPOSE(FILTER('ซื้อสินค้า'!H:H,'ซื้อสินค้า'!B:B=B774,'ซื้อสินค้า'!I:I&gt;0)),))"),"")</f>
        <v/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spans="1:32">
      <c r="A775" s="5"/>
      <c r="B775" s="6"/>
      <c r="C775" s="20">
        <f>IFERROR(VLOOKUP(B775,ชื่อสินค้า!A:C,3,FALSE),)</f>
        <v>0</v>
      </c>
      <c r="D775" s="8" t="str">
        <f>IFERROR(VLOOKUP(B775,ชื่อสินค้า!A:D,4,FALSE),"")</f>
        <v/>
      </c>
      <c r="E775" s="9"/>
      <c r="F775" s="21" t="str">
        <f t="shared" si="20"/>
        <v/>
      </c>
      <c r="G775" s="22"/>
      <c r="H775" s="8">
        <f>IFERROR(VLOOKUP(G775,ซื้อสินค้า!H:I,2,FALSE),)</f>
        <v>0</v>
      </c>
      <c r="I775" s="21">
        <f>IFERROR(VLOOKUP(G775,ซื้อสินค้า!H:J,3,FALSE),)</f>
        <v>0</v>
      </c>
      <c r="J775" s="21">
        <f t="shared" si="21"/>
        <v>0</v>
      </c>
      <c r="K775" s="21">
        <f t="shared" si="22"/>
        <v>0</v>
      </c>
      <c r="L775" s="12">
        <f t="shared" si="23"/>
        <v>0</v>
      </c>
      <c r="M775" s="21">
        <f t="shared" si="24"/>
        <v>0</v>
      </c>
      <c r="N775" s="9" t="str">
        <f ca="1">IFERROR(__xludf.DUMMYFUNCTION("IF(G775&lt;&gt;"""",G775, IFERROR(TRANSPOSE(FILTER('ซื้อสินค้า'!H:H,'ซื้อสินค้า'!B:B=B775,'ซื้อสินค้า'!I:I&gt;0)),))"),"")</f>
        <v/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spans="1:32">
      <c r="A776" s="5"/>
      <c r="B776" s="6"/>
      <c r="C776" s="20">
        <f>IFERROR(VLOOKUP(B776,ชื่อสินค้า!A:C,3,FALSE),)</f>
        <v>0</v>
      </c>
      <c r="D776" s="8" t="str">
        <f>IFERROR(VLOOKUP(B776,ชื่อสินค้า!A:D,4,FALSE),"")</f>
        <v/>
      </c>
      <c r="E776" s="9"/>
      <c r="F776" s="21" t="str">
        <f t="shared" si="20"/>
        <v/>
      </c>
      <c r="G776" s="22"/>
      <c r="H776" s="8">
        <f>IFERROR(VLOOKUP(G776,ซื้อสินค้า!H:I,2,FALSE),)</f>
        <v>0</v>
      </c>
      <c r="I776" s="21">
        <f>IFERROR(VLOOKUP(G776,ซื้อสินค้า!H:J,3,FALSE),)</f>
        <v>0</v>
      </c>
      <c r="J776" s="21">
        <f t="shared" si="21"/>
        <v>0</v>
      </c>
      <c r="K776" s="21">
        <f t="shared" si="22"/>
        <v>0</v>
      </c>
      <c r="L776" s="12">
        <f t="shared" si="23"/>
        <v>0</v>
      </c>
      <c r="M776" s="21">
        <f t="shared" si="24"/>
        <v>0</v>
      </c>
      <c r="N776" s="9" t="str">
        <f ca="1">IFERROR(__xludf.DUMMYFUNCTION("IF(G776&lt;&gt;"""",G776, IFERROR(TRANSPOSE(FILTER('ซื้อสินค้า'!H:H,'ซื้อสินค้า'!B:B=B776,'ซื้อสินค้า'!I:I&gt;0)),))"),"")</f>
        <v/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spans="1:32">
      <c r="A777" s="5"/>
      <c r="B777" s="6"/>
      <c r="C777" s="20">
        <f>IFERROR(VLOOKUP(B777,ชื่อสินค้า!A:C,3,FALSE),)</f>
        <v>0</v>
      </c>
      <c r="D777" s="8" t="str">
        <f>IFERROR(VLOOKUP(B777,ชื่อสินค้า!A:D,4,FALSE),"")</f>
        <v/>
      </c>
      <c r="E777" s="9"/>
      <c r="F777" s="21" t="str">
        <f t="shared" si="20"/>
        <v/>
      </c>
      <c r="G777" s="22"/>
      <c r="H777" s="8">
        <f>IFERROR(VLOOKUP(G777,ซื้อสินค้า!H:I,2,FALSE),)</f>
        <v>0</v>
      </c>
      <c r="I777" s="21">
        <f>IFERROR(VLOOKUP(G777,ซื้อสินค้า!H:J,3,FALSE),)</f>
        <v>0</v>
      </c>
      <c r="J777" s="21">
        <f t="shared" si="21"/>
        <v>0</v>
      </c>
      <c r="K777" s="21">
        <f t="shared" si="22"/>
        <v>0</v>
      </c>
      <c r="L777" s="12">
        <f t="shared" si="23"/>
        <v>0</v>
      </c>
      <c r="M777" s="21">
        <f t="shared" si="24"/>
        <v>0</v>
      </c>
      <c r="N777" s="9" t="str">
        <f ca="1">IFERROR(__xludf.DUMMYFUNCTION("IF(G777&lt;&gt;"""",G777, IFERROR(TRANSPOSE(FILTER('ซื้อสินค้า'!H:H,'ซื้อสินค้า'!B:B=B777,'ซื้อสินค้า'!I:I&gt;0)),))"),"")</f>
        <v/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spans="1:32">
      <c r="A778" s="5"/>
      <c r="B778" s="6"/>
      <c r="C778" s="20">
        <f>IFERROR(VLOOKUP(B778,ชื่อสินค้า!A:C,3,FALSE),)</f>
        <v>0</v>
      </c>
      <c r="D778" s="8" t="str">
        <f>IFERROR(VLOOKUP(B778,ชื่อสินค้า!A:D,4,FALSE),"")</f>
        <v/>
      </c>
      <c r="E778" s="9"/>
      <c r="F778" s="21" t="str">
        <f t="shared" si="20"/>
        <v/>
      </c>
      <c r="G778" s="22"/>
      <c r="H778" s="8">
        <f>IFERROR(VLOOKUP(G778,ซื้อสินค้า!H:I,2,FALSE),)</f>
        <v>0</v>
      </c>
      <c r="I778" s="21">
        <f>IFERROR(VLOOKUP(G778,ซื้อสินค้า!H:J,3,FALSE),)</f>
        <v>0</v>
      </c>
      <c r="J778" s="21">
        <f t="shared" si="21"/>
        <v>0</v>
      </c>
      <c r="K778" s="21">
        <f t="shared" si="22"/>
        <v>0</v>
      </c>
      <c r="L778" s="12">
        <f t="shared" si="23"/>
        <v>0</v>
      </c>
      <c r="M778" s="21">
        <f t="shared" si="24"/>
        <v>0</v>
      </c>
      <c r="N778" s="9" t="str">
        <f ca="1">IFERROR(__xludf.DUMMYFUNCTION("IF(G778&lt;&gt;"""",G778, IFERROR(TRANSPOSE(FILTER('ซื้อสินค้า'!H:H,'ซื้อสินค้า'!B:B=B778,'ซื้อสินค้า'!I:I&gt;0)),))"),"")</f>
        <v/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spans="1:32">
      <c r="A779" s="5"/>
      <c r="B779" s="6"/>
      <c r="C779" s="20">
        <f>IFERROR(VLOOKUP(B779,ชื่อสินค้า!A:C,3,FALSE),)</f>
        <v>0</v>
      </c>
      <c r="D779" s="8" t="str">
        <f>IFERROR(VLOOKUP(B779,ชื่อสินค้า!A:D,4,FALSE),"")</f>
        <v/>
      </c>
      <c r="E779" s="9"/>
      <c r="F779" s="21" t="str">
        <f t="shared" si="20"/>
        <v/>
      </c>
      <c r="G779" s="22"/>
      <c r="H779" s="8">
        <f>IFERROR(VLOOKUP(G779,ซื้อสินค้า!H:I,2,FALSE),)</f>
        <v>0</v>
      </c>
      <c r="I779" s="21">
        <f>IFERROR(VLOOKUP(G779,ซื้อสินค้า!H:J,3,FALSE),)</f>
        <v>0</v>
      </c>
      <c r="J779" s="21">
        <f t="shared" si="21"/>
        <v>0</v>
      </c>
      <c r="K779" s="21">
        <f t="shared" si="22"/>
        <v>0</v>
      </c>
      <c r="L779" s="12">
        <f t="shared" si="23"/>
        <v>0</v>
      </c>
      <c r="M779" s="21">
        <f t="shared" si="24"/>
        <v>0</v>
      </c>
      <c r="N779" s="9" t="str">
        <f ca="1">IFERROR(__xludf.DUMMYFUNCTION("IF(G779&lt;&gt;"""",G779, IFERROR(TRANSPOSE(FILTER('ซื้อสินค้า'!H:H,'ซื้อสินค้า'!B:B=B779,'ซื้อสินค้า'!I:I&gt;0)),))"),"")</f>
        <v/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spans="1:32">
      <c r="A780" s="5"/>
      <c r="B780" s="6"/>
      <c r="C780" s="20">
        <f>IFERROR(VLOOKUP(B780,ชื่อสินค้า!A:C,3,FALSE),)</f>
        <v>0</v>
      </c>
      <c r="D780" s="8" t="str">
        <f>IFERROR(VLOOKUP(B780,ชื่อสินค้า!A:D,4,FALSE),"")</f>
        <v/>
      </c>
      <c r="E780" s="9"/>
      <c r="F780" s="21" t="str">
        <f t="shared" si="20"/>
        <v/>
      </c>
      <c r="G780" s="22"/>
      <c r="H780" s="8">
        <f>IFERROR(VLOOKUP(G780,ซื้อสินค้า!H:I,2,FALSE),)</f>
        <v>0</v>
      </c>
      <c r="I780" s="21">
        <f>IFERROR(VLOOKUP(G780,ซื้อสินค้า!H:J,3,FALSE),)</f>
        <v>0</v>
      </c>
      <c r="J780" s="21">
        <f t="shared" si="21"/>
        <v>0</v>
      </c>
      <c r="K780" s="21">
        <f t="shared" si="22"/>
        <v>0</v>
      </c>
      <c r="L780" s="12">
        <f t="shared" si="23"/>
        <v>0</v>
      </c>
      <c r="M780" s="21">
        <f t="shared" si="24"/>
        <v>0</v>
      </c>
      <c r="N780" s="9" t="str">
        <f ca="1">IFERROR(__xludf.DUMMYFUNCTION("IF(G780&lt;&gt;"""",G780, IFERROR(TRANSPOSE(FILTER('ซื้อสินค้า'!H:H,'ซื้อสินค้า'!B:B=B780,'ซื้อสินค้า'!I:I&gt;0)),))"),"")</f>
        <v/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spans="1:32">
      <c r="A781" s="5"/>
      <c r="B781" s="6"/>
      <c r="C781" s="20">
        <f>IFERROR(VLOOKUP(B781,ชื่อสินค้า!A:C,3,FALSE),)</f>
        <v>0</v>
      </c>
      <c r="D781" s="8" t="str">
        <f>IFERROR(VLOOKUP(B781,ชื่อสินค้า!A:D,4,FALSE),"")</f>
        <v/>
      </c>
      <c r="E781" s="9"/>
      <c r="F781" s="21" t="str">
        <f t="shared" si="20"/>
        <v/>
      </c>
      <c r="G781" s="22"/>
      <c r="H781" s="8">
        <f>IFERROR(VLOOKUP(G781,ซื้อสินค้า!H:I,2,FALSE),)</f>
        <v>0</v>
      </c>
      <c r="I781" s="21">
        <f>IFERROR(VLOOKUP(G781,ซื้อสินค้า!H:J,3,FALSE),)</f>
        <v>0</v>
      </c>
      <c r="J781" s="21">
        <f t="shared" si="21"/>
        <v>0</v>
      </c>
      <c r="K781" s="21">
        <f t="shared" si="22"/>
        <v>0</v>
      </c>
      <c r="L781" s="12">
        <f t="shared" si="23"/>
        <v>0</v>
      </c>
      <c r="M781" s="21">
        <f t="shared" si="24"/>
        <v>0</v>
      </c>
      <c r="N781" s="9" t="str">
        <f ca="1">IFERROR(__xludf.DUMMYFUNCTION("IF(G781&lt;&gt;"""",G781, IFERROR(TRANSPOSE(FILTER('ซื้อสินค้า'!H:H,'ซื้อสินค้า'!B:B=B781,'ซื้อสินค้า'!I:I&gt;0)),))"),"")</f>
        <v/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spans="1:32">
      <c r="A782" s="5"/>
      <c r="B782" s="6"/>
      <c r="C782" s="20">
        <f>IFERROR(VLOOKUP(B782,ชื่อสินค้า!A:C,3,FALSE),)</f>
        <v>0</v>
      </c>
      <c r="D782" s="8" t="str">
        <f>IFERROR(VLOOKUP(B782,ชื่อสินค้า!A:D,4,FALSE),"")</f>
        <v/>
      </c>
      <c r="E782" s="9"/>
      <c r="F782" s="21" t="str">
        <f t="shared" si="20"/>
        <v/>
      </c>
      <c r="G782" s="22"/>
      <c r="H782" s="8">
        <f>IFERROR(VLOOKUP(G782,ซื้อสินค้า!H:I,2,FALSE),)</f>
        <v>0</v>
      </c>
      <c r="I782" s="21">
        <f>IFERROR(VLOOKUP(G782,ซื้อสินค้า!H:J,3,FALSE),)</f>
        <v>0</v>
      </c>
      <c r="J782" s="21">
        <f t="shared" si="21"/>
        <v>0</v>
      </c>
      <c r="K782" s="21">
        <f t="shared" si="22"/>
        <v>0</v>
      </c>
      <c r="L782" s="12">
        <f t="shared" si="23"/>
        <v>0</v>
      </c>
      <c r="M782" s="21">
        <f t="shared" si="24"/>
        <v>0</v>
      </c>
      <c r="N782" s="9" t="str">
        <f ca="1">IFERROR(__xludf.DUMMYFUNCTION("IF(G782&lt;&gt;"""",G782, IFERROR(TRANSPOSE(FILTER('ซื้อสินค้า'!H:H,'ซื้อสินค้า'!B:B=B782,'ซื้อสินค้า'!I:I&gt;0)),))"),"")</f>
        <v/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spans="1:32">
      <c r="A783" s="5"/>
      <c r="B783" s="6"/>
      <c r="C783" s="20">
        <f>IFERROR(VLOOKUP(B783,ชื่อสินค้า!A:C,3,FALSE),)</f>
        <v>0</v>
      </c>
      <c r="D783" s="8" t="str">
        <f>IFERROR(VLOOKUP(B783,ชื่อสินค้า!A:D,4,FALSE),"")</f>
        <v/>
      </c>
      <c r="E783" s="9"/>
      <c r="F783" s="21" t="str">
        <f t="shared" si="20"/>
        <v/>
      </c>
      <c r="G783" s="22"/>
      <c r="H783" s="8">
        <f>IFERROR(VLOOKUP(G783,ซื้อสินค้า!H:I,2,FALSE),)</f>
        <v>0</v>
      </c>
      <c r="I783" s="21">
        <f>IFERROR(VLOOKUP(G783,ซื้อสินค้า!H:J,3,FALSE),)</f>
        <v>0</v>
      </c>
      <c r="J783" s="21">
        <f t="shared" si="21"/>
        <v>0</v>
      </c>
      <c r="K783" s="21">
        <f t="shared" si="22"/>
        <v>0</v>
      </c>
      <c r="L783" s="12">
        <f t="shared" si="23"/>
        <v>0</v>
      </c>
      <c r="M783" s="21">
        <f t="shared" si="24"/>
        <v>0</v>
      </c>
      <c r="N783" s="9" t="str">
        <f ca="1">IFERROR(__xludf.DUMMYFUNCTION("IF(G783&lt;&gt;"""",G783, IFERROR(TRANSPOSE(FILTER('ซื้อสินค้า'!H:H,'ซื้อสินค้า'!B:B=B783,'ซื้อสินค้า'!I:I&gt;0)),))"),"")</f>
        <v/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spans="1:32">
      <c r="A784" s="5"/>
      <c r="B784" s="6"/>
      <c r="C784" s="20">
        <f>IFERROR(VLOOKUP(B784,ชื่อสินค้า!A:C,3,FALSE),)</f>
        <v>0</v>
      </c>
      <c r="D784" s="8" t="str">
        <f>IFERROR(VLOOKUP(B784,ชื่อสินค้า!A:D,4,FALSE),"")</f>
        <v/>
      </c>
      <c r="E784" s="9"/>
      <c r="F784" s="21" t="str">
        <f t="shared" si="20"/>
        <v/>
      </c>
      <c r="G784" s="22"/>
      <c r="H784" s="8">
        <f>IFERROR(VLOOKUP(G784,ซื้อสินค้า!H:I,2,FALSE),)</f>
        <v>0</v>
      </c>
      <c r="I784" s="21">
        <f>IFERROR(VLOOKUP(G784,ซื้อสินค้า!H:J,3,FALSE),)</f>
        <v>0</v>
      </c>
      <c r="J784" s="21">
        <f t="shared" si="21"/>
        <v>0</v>
      </c>
      <c r="K784" s="21">
        <f t="shared" si="22"/>
        <v>0</v>
      </c>
      <c r="L784" s="12">
        <f t="shared" si="23"/>
        <v>0</v>
      </c>
      <c r="M784" s="21">
        <f t="shared" si="24"/>
        <v>0</v>
      </c>
      <c r="N784" s="9" t="str">
        <f ca="1">IFERROR(__xludf.DUMMYFUNCTION("IF(G784&lt;&gt;"""",G784, IFERROR(TRANSPOSE(FILTER('ซื้อสินค้า'!H:H,'ซื้อสินค้า'!B:B=B784,'ซื้อสินค้า'!I:I&gt;0)),))"),"")</f>
        <v/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spans="1:32">
      <c r="A785" s="5"/>
      <c r="B785" s="6"/>
      <c r="C785" s="20">
        <f>IFERROR(VLOOKUP(B785,ชื่อสินค้า!A:C,3,FALSE),)</f>
        <v>0</v>
      </c>
      <c r="D785" s="8" t="str">
        <f>IFERROR(VLOOKUP(B785,ชื่อสินค้า!A:D,4,FALSE),"")</f>
        <v/>
      </c>
      <c r="E785" s="9"/>
      <c r="F785" s="21" t="str">
        <f t="shared" si="20"/>
        <v/>
      </c>
      <c r="G785" s="22"/>
      <c r="H785" s="8">
        <f>IFERROR(VLOOKUP(G785,ซื้อสินค้า!H:I,2,FALSE),)</f>
        <v>0</v>
      </c>
      <c r="I785" s="21">
        <f>IFERROR(VLOOKUP(G785,ซื้อสินค้า!H:J,3,FALSE),)</f>
        <v>0</v>
      </c>
      <c r="J785" s="21">
        <f t="shared" si="21"/>
        <v>0</v>
      </c>
      <c r="K785" s="21">
        <f t="shared" si="22"/>
        <v>0</v>
      </c>
      <c r="L785" s="12">
        <f t="shared" si="23"/>
        <v>0</v>
      </c>
      <c r="M785" s="21">
        <f t="shared" si="24"/>
        <v>0</v>
      </c>
      <c r="N785" s="9" t="str">
        <f ca="1">IFERROR(__xludf.DUMMYFUNCTION("IF(G785&lt;&gt;"""",G785, IFERROR(TRANSPOSE(FILTER('ซื้อสินค้า'!H:H,'ซื้อสินค้า'!B:B=B785,'ซื้อสินค้า'!I:I&gt;0)),))"),"")</f>
        <v/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spans="1:32">
      <c r="A786" s="5"/>
      <c r="B786" s="6"/>
      <c r="C786" s="20">
        <f>IFERROR(VLOOKUP(B786,ชื่อสินค้า!A:C,3,FALSE),)</f>
        <v>0</v>
      </c>
      <c r="D786" s="8" t="str">
        <f>IFERROR(VLOOKUP(B786,ชื่อสินค้า!A:D,4,FALSE),"")</f>
        <v/>
      </c>
      <c r="E786" s="9"/>
      <c r="F786" s="21" t="str">
        <f t="shared" si="20"/>
        <v/>
      </c>
      <c r="G786" s="22"/>
      <c r="H786" s="8">
        <f>IFERROR(VLOOKUP(G786,ซื้อสินค้า!H:I,2,FALSE),)</f>
        <v>0</v>
      </c>
      <c r="I786" s="21">
        <f>IFERROR(VLOOKUP(G786,ซื้อสินค้า!H:J,3,FALSE),)</f>
        <v>0</v>
      </c>
      <c r="J786" s="21">
        <f t="shared" si="21"/>
        <v>0</v>
      </c>
      <c r="K786" s="21">
        <f t="shared" si="22"/>
        <v>0</v>
      </c>
      <c r="L786" s="12">
        <f t="shared" si="23"/>
        <v>0</v>
      </c>
      <c r="M786" s="21">
        <f t="shared" si="24"/>
        <v>0</v>
      </c>
      <c r="N786" s="9" t="str">
        <f ca="1">IFERROR(__xludf.DUMMYFUNCTION("IF(G786&lt;&gt;"""",G786, IFERROR(TRANSPOSE(FILTER('ซื้อสินค้า'!H:H,'ซื้อสินค้า'!B:B=B786,'ซื้อสินค้า'!I:I&gt;0)),))"),"")</f>
        <v/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spans="1:32">
      <c r="A787" s="5"/>
      <c r="B787" s="6"/>
      <c r="C787" s="20">
        <f>IFERROR(VLOOKUP(B787,ชื่อสินค้า!A:C,3,FALSE),)</f>
        <v>0</v>
      </c>
      <c r="D787" s="8" t="str">
        <f>IFERROR(VLOOKUP(B787,ชื่อสินค้า!A:D,4,FALSE),"")</f>
        <v/>
      </c>
      <c r="E787" s="9"/>
      <c r="F787" s="21" t="str">
        <f t="shared" si="20"/>
        <v/>
      </c>
      <c r="G787" s="22"/>
      <c r="H787" s="8">
        <f>IFERROR(VLOOKUP(G787,ซื้อสินค้า!H:I,2,FALSE),)</f>
        <v>0</v>
      </c>
      <c r="I787" s="21">
        <f>IFERROR(VLOOKUP(G787,ซื้อสินค้า!H:J,3,FALSE),)</f>
        <v>0</v>
      </c>
      <c r="J787" s="21">
        <f t="shared" si="21"/>
        <v>0</v>
      </c>
      <c r="K787" s="21">
        <f t="shared" si="22"/>
        <v>0</v>
      </c>
      <c r="L787" s="12">
        <f t="shared" si="23"/>
        <v>0</v>
      </c>
      <c r="M787" s="21">
        <f t="shared" si="24"/>
        <v>0</v>
      </c>
      <c r="N787" s="9" t="str">
        <f ca="1">IFERROR(__xludf.DUMMYFUNCTION("IF(G787&lt;&gt;"""",G787, IFERROR(TRANSPOSE(FILTER('ซื้อสินค้า'!H:H,'ซื้อสินค้า'!B:B=B787,'ซื้อสินค้า'!I:I&gt;0)),))"),"")</f>
        <v/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spans="1:32">
      <c r="A788" s="5"/>
      <c r="B788" s="6"/>
      <c r="C788" s="20">
        <f>IFERROR(VLOOKUP(B788,ชื่อสินค้า!A:C,3,FALSE),)</f>
        <v>0</v>
      </c>
      <c r="D788" s="8" t="str">
        <f>IFERROR(VLOOKUP(B788,ชื่อสินค้า!A:D,4,FALSE),"")</f>
        <v/>
      </c>
      <c r="E788" s="9"/>
      <c r="F788" s="21" t="str">
        <f t="shared" si="20"/>
        <v/>
      </c>
      <c r="G788" s="22"/>
      <c r="H788" s="8">
        <f>IFERROR(VLOOKUP(G788,ซื้อสินค้า!H:I,2,FALSE),)</f>
        <v>0</v>
      </c>
      <c r="I788" s="21">
        <f>IFERROR(VLOOKUP(G788,ซื้อสินค้า!H:J,3,FALSE),)</f>
        <v>0</v>
      </c>
      <c r="J788" s="21">
        <f t="shared" si="21"/>
        <v>0</v>
      </c>
      <c r="K788" s="21">
        <f t="shared" si="22"/>
        <v>0</v>
      </c>
      <c r="L788" s="12">
        <f t="shared" si="23"/>
        <v>0</v>
      </c>
      <c r="M788" s="21">
        <f t="shared" si="24"/>
        <v>0</v>
      </c>
      <c r="N788" s="9" t="str">
        <f ca="1">IFERROR(__xludf.DUMMYFUNCTION("IF(G788&lt;&gt;"""",G788, IFERROR(TRANSPOSE(FILTER('ซื้อสินค้า'!H:H,'ซื้อสินค้า'!B:B=B788,'ซื้อสินค้า'!I:I&gt;0)),))"),"")</f>
        <v/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spans="1:32">
      <c r="A789" s="5"/>
      <c r="B789" s="6"/>
      <c r="C789" s="20">
        <f>IFERROR(VLOOKUP(B789,ชื่อสินค้า!A:C,3,FALSE),)</f>
        <v>0</v>
      </c>
      <c r="D789" s="8" t="str">
        <f>IFERROR(VLOOKUP(B789,ชื่อสินค้า!A:D,4,FALSE),"")</f>
        <v/>
      </c>
      <c r="E789" s="9"/>
      <c r="F789" s="21" t="str">
        <f t="shared" si="20"/>
        <v/>
      </c>
      <c r="G789" s="22"/>
      <c r="H789" s="8">
        <f>IFERROR(VLOOKUP(G789,ซื้อสินค้า!H:I,2,FALSE),)</f>
        <v>0</v>
      </c>
      <c r="I789" s="21">
        <f>IFERROR(VLOOKUP(G789,ซื้อสินค้า!H:J,3,FALSE),)</f>
        <v>0</v>
      </c>
      <c r="J789" s="21">
        <f t="shared" si="21"/>
        <v>0</v>
      </c>
      <c r="K789" s="21">
        <f t="shared" si="22"/>
        <v>0</v>
      </c>
      <c r="L789" s="12">
        <f t="shared" si="23"/>
        <v>0</v>
      </c>
      <c r="M789" s="21">
        <f t="shared" si="24"/>
        <v>0</v>
      </c>
      <c r="N789" s="9" t="str">
        <f ca="1">IFERROR(__xludf.DUMMYFUNCTION("IF(G789&lt;&gt;"""",G789, IFERROR(TRANSPOSE(FILTER('ซื้อสินค้า'!H:H,'ซื้อสินค้า'!B:B=B789,'ซื้อสินค้า'!I:I&gt;0)),))"),"")</f>
        <v/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spans="1:32">
      <c r="A790" s="5"/>
      <c r="B790" s="6"/>
      <c r="C790" s="20">
        <f>IFERROR(VLOOKUP(B790,ชื่อสินค้า!A:C,3,FALSE),)</f>
        <v>0</v>
      </c>
      <c r="D790" s="8" t="str">
        <f>IFERROR(VLOOKUP(B790,ชื่อสินค้า!A:D,4,FALSE),"")</f>
        <v/>
      </c>
      <c r="E790" s="9"/>
      <c r="F790" s="21" t="str">
        <f t="shared" si="20"/>
        <v/>
      </c>
      <c r="G790" s="22"/>
      <c r="H790" s="8">
        <f>IFERROR(VLOOKUP(G790,ซื้อสินค้า!H:I,2,FALSE),)</f>
        <v>0</v>
      </c>
      <c r="I790" s="21">
        <f>IFERROR(VLOOKUP(G790,ซื้อสินค้า!H:J,3,FALSE),)</f>
        <v>0</v>
      </c>
      <c r="J790" s="21">
        <f t="shared" si="21"/>
        <v>0</v>
      </c>
      <c r="K790" s="21">
        <f t="shared" si="22"/>
        <v>0</v>
      </c>
      <c r="L790" s="12">
        <f t="shared" si="23"/>
        <v>0</v>
      </c>
      <c r="M790" s="21">
        <f t="shared" si="24"/>
        <v>0</v>
      </c>
      <c r="N790" s="9" t="str">
        <f ca="1">IFERROR(__xludf.DUMMYFUNCTION("IF(G790&lt;&gt;"""",G790, IFERROR(TRANSPOSE(FILTER('ซื้อสินค้า'!H:H,'ซื้อสินค้า'!B:B=B790,'ซื้อสินค้า'!I:I&gt;0)),))"),"")</f>
        <v/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spans="1:32">
      <c r="A791" s="5"/>
      <c r="B791" s="6"/>
      <c r="C791" s="20">
        <f>IFERROR(VLOOKUP(B791,ชื่อสินค้า!A:C,3,FALSE),)</f>
        <v>0</v>
      </c>
      <c r="D791" s="8" t="str">
        <f>IFERROR(VLOOKUP(B791,ชื่อสินค้า!A:D,4,FALSE),"")</f>
        <v/>
      </c>
      <c r="E791" s="9"/>
      <c r="F791" s="21" t="str">
        <f t="shared" si="20"/>
        <v/>
      </c>
      <c r="G791" s="22"/>
      <c r="H791" s="8">
        <f>IFERROR(VLOOKUP(G791,ซื้อสินค้า!H:I,2,FALSE),)</f>
        <v>0</v>
      </c>
      <c r="I791" s="21">
        <f>IFERROR(VLOOKUP(G791,ซื้อสินค้า!H:J,3,FALSE),)</f>
        <v>0</v>
      </c>
      <c r="J791" s="21">
        <f t="shared" si="21"/>
        <v>0</v>
      </c>
      <c r="K791" s="21">
        <f t="shared" si="22"/>
        <v>0</v>
      </c>
      <c r="L791" s="12">
        <f t="shared" si="23"/>
        <v>0</v>
      </c>
      <c r="M791" s="21">
        <f t="shared" si="24"/>
        <v>0</v>
      </c>
      <c r="N791" s="9" t="str">
        <f ca="1">IFERROR(__xludf.DUMMYFUNCTION("IF(G791&lt;&gt;"""",G791, IFERROR(TRANSPOSE(FILTER('ซื้อสินค้า'!H:H,'ซื้อสินค้า'!B:B=B791,'ซื้อสินค้า'!I:I&gt;0)),))"),"")</f>
        <v/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spans="1:32">
      <c r="A792" s="5"/>
      <c r="B792" s="6"/>
      <c r="C792" s="20">
        <f>IFERROR(VLOOKUP(B792,ชื่อสินค้า!A:C,3,FALSE),)</f>
        <v>0</v>
      </c>
      <c r="D792" s="8" t="str">
        <f>IFERROR(VLOOKUP(B792,ชื่อสินค้า!A:D,4,FALSE),"")</f>
        <v/>
      </c>
      <c r="E792" s="9"/>
      <c r="F792" s="21" t="str">
        <f t="shared" si="20"/>
        <v/>
      </c>
      <c r="G792" s="22"/>
      <c r="H792" s="8">
        <f>IFERROR(VLOOKUP(G792,ซื้อสินค้า!H:I,2,FALSE),)</f>
        <v>0</v>
      </c>
      <c r="I792" s="21">
        <f>IFERROR(VLOOKUP(G792,ซื้อสินค้า!H:J,3,FALSE),)</f>
        <v>0</v>
      </c>
      <c r="J792" s="21">
        <f t="shared" si="21"/>
        <v>0</v>
      </c>
      <c r="K792" s="21">
        <f t="shared" si="22"/>
        <v>0</v>
      </c>
      <c r="L792" s="12">
        <f t="shared" si="23"/>
        <v>0</v>
      </c>
      <c r="M792" s="21">
        <f t="shared" si="24"/>
        <v>0</v>
      </c>
      <c r="N792" s="9" t="str">
        <f ca="1">IFERROR(__xludf.DUMMYFUNCTION("IF(G792&lt;&gt;"""",G792, IFERROR(TRANSPOSE(FILTER('ซื้อสินค้า'!H:H,'ซื้อสินค้า'!B:B=B792,'ซื้อสินค้า'!I:I&gt;0)),))"),"")</f>
        <v/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spans="1:32">
      <c r="A793" s="5"/>
      <c r="B793" s="6"/>
      <c r="C793" s="20">
        <f>IFERROR(VLOOKUP(B793,ชื่อสินค้า!A:C,3,FALSE),)</f>
        <v>0</v>
      </c>
      <c r="D793" s="8" t="str">
        <f>IFERROR(VLOOKUP(B793,ชื่อสินค้า!A:D,4,FALSE),"")</f>
        <v/>
      </c>
      <c r="E793" s="9"/>
      <c r="F793" s="21" t="str">
        <f t="shared" si="20"/>
        <v/>
      </c>
      <c r="G793" s="22"/>
      <c r="H793" s="8">
        <f>IFERROR(VLOOKUP(G793,ซื้อสินค้า!H:I,2,FALSE),)</f>
        <v>0</v>
      </c>
      <c r="I793" s="21">
        <f>IFERROR(VLOOKUP(G793,ซื้อสินค้า!H:J,3,FALSE),)</f>
        <v>0</v>
      </c>
      <c r="J793" s="21">
        <f t="shared" si="21"/>
        <v>0</v>
      </c>
      <c r="K793" s="21">
        <f t="shared" si="22"/>
        <v>0</v>
      </c>
      <c r="L793" s="12">
        <f t="shared" si="23"/>
        <v>0</v>
      </c>
      <c r="M793" s="21">
        <f t="shared" si="24"/>
        <v>0</v>
      </c>
      <c r="N793" s="9" t="str">
        <f ca="1">IFERROR(__xludf.DUMMYFUNCTION("IF(G793&lt;&gt;"""",G793, IFERROR(TRANSPOSE(FILTER('ซื้อสินค้า'!H:H,'ซื้อสินค้า'!B:B=B793,'ซื้อสินค้า'!I:I&gt;0)),))"),"")</f>
        <v/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spans="1:32">
      <c r="A794" s="5"/>
      <c r="B794" s="6"/>
      <c r="C794" s="20">
        <f>IFERROR(VLOOKUP(B794,ชื่อสินค้า!A:C,3,FALSE),)</f>
        <v>0</v>
      </c>
      <c r="D794" s="8" t="str">
        <f>IFERROR(VLOOKUP(B794,ชื่อสินค้า!A:D,4,FALSE),"")</f>
        <v/>
      </c>
      <c r="E794" s="9"/>
      <c r="F794" s="21" t="str">
        <f t="shared" si="20"/>
        <v/>
      </c>
      <c r="G794" s="22"/>
      <c r="H794" s="8">
        <f>IFERROR(VLOOKUP(G794,ซื้อสินค้า!H:I,2,FALSE),)</f>
        <v>0</v>
      </c>
      <c r="I794" s="21">
        <f>IFERROR(VLOOKUP(G794,ซื้อสินค้า!H:J,3,FALSE),)</f>
        <v>0</v>
      </c>
      <c r="J794" s="21">
        <f t="shared" si="21"/>
        <v>0</v>
      </c>
      <c r="K794" s="21">
        <f t="shared" si="22"/>
        <v>0</v>
      </c>
      <c r="L794" s="12">
        <f t="shared" si="23"/>
        <v>0</v>
      </c>
      <c r="M794" s="21">
        <f t="shared" si="24"/>
        <v>0</v>
      </c>
      <c r="N794" s="9" t="str">
        <f ca="1">IFERROR(__xludf.DUMMYFUNCTION("IF(G794&lt;&gt;"""",G794, IFERROR(TRANSPOSE(FILTER('ซื้อสินค้า'!H:H,'ซื้อสินค้า'!B:B=B794,'ซื้อสินค้า'!I:I&gt;0)),))"),"")</f>
        <v/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spans="1:32">
      <c r="A795" s="5"/>
      <c r="B795" s="6"/>
      <c r="C795" s="20">
        <f>IFERROR(VLOOKUP(B795,ชื่อสินค้า!A:C,3,FALSE),)</f>
        <v>0</v>
      </c>
      <c r="D795" s="8" t="str">
        <f>IFERROR(VLOOKUP(B795,ชื่อสินค้า!A:D,4,FALSE),"")</f>
        <v/>
      </c>
      <c r="E795" s="9"/>
      <c r="F795" s="21" t="str">
        <f t="shared" si="20"/>
        <v/>
      </c>
      <c r="G795" s="22"/>
      <c r="H795" s="8">
        <f>IFERROR(VLOOKUP(G795,ซื้อสินค้า!H:I,2,FALSE),)</f>
        <v>0</v>
      </c>
      <c r="I795" s="21">
        <f>IFERROR(VLOOKUP(G795,ซื้อสินค้า!H:J,3,FALSE),)</f>
        <v>0</v>
      </c>
      <c r="J795" s="21">
        <f t="shared" si="21"/>
        <v>0</v>
      </c>
      <c r="K795" s="21">
        <f t="shared" si="22"/>
        <v>0</v>
      </c>
      <c r="L795" s="12">
        <f t="shared" si="23"/>
        <v>0</v>
      </c>
      <c r="M795" s="21">
        <f t="shared" si="24"/>
        <v>0</v>
      </c>
      <c r="N795" s="9" t="str">
        <f ca="1">IFERROR(__xludf.DUMMYFUNCTION("IF(G795&lt;&gt;"""",G795, IFERROR(TRANSPOSE(FILTER('ซื้อสินค้า'!H:H,'ซื้อสินค้า'!B:B=B795,'ซื้อสินค้า'!I:I&gt;0)),))"),"")</f>
        <v/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spans="1:32">
      <c r="A796" s="5"/>
      <c r="B796" s="6"/>
      <c r="C796" s="20">
        <f>IFERROR(VLOOKUP(B796,ชื่อสินค้า!A:C,3,FALSE),)</f>
        <v>0</v>
      </c>
      <c r="D796" s="8" t="str">
        <f>IFERROR(VLOOKUP(B796,ชื่อสินค้า!A:D,4,FALSE),"")</f>
        <v/>
      </c>
      <c r="E796" s="9"/>
      <c r="F796" s="21" t="str">
        <f t="shared" si="20"/>
        <v/>
      </c>
      <c r="G796" s="22"/>
      <c r="H796" s="8">
        <f>IFERROR(VLOOKUP(G796,ซื้อสินค้า!H:I,2,FALSE),)</f>
        <v>0</v>
      </c>
      <c r="I796" s="21">
        <f>IFERROR(VLOOKUP(G796,ซื้อสินค้า!H:J,3,FALSE),)</f>
        <v>0</v>
      </c>
      <c r="J796" s="21">
        <f t="shared" si="21"/>
        <v>0</v>
      </c>
      <c r="K796" s="21">
        <f t="shared" si="22"/>
        <v>0</v>
      </c>
      <c r="L796" s="12">
        <f t="shared" si="23"/>
        <v>0</v>
      </c>
      <c r="M796" s="21">
        <f t="shared" si="24"/>
        <v>0</v>
      </c>
      <c r="N796" s="9" t="str">
        <f ca="1">IFERROR(__xludf.DUMMYFUNCTION("IF(G796&lt;&gt;"""",G796, IFERROR(TRANSPOSE(FILTER('ซื้อสินค้า'!H:H,'ซื้อสินค้า'!B:B=B796,'ซื้อสินค้า'!I:I&gt;0)),))"),"")</f>
        <v/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spans="1:32">
      <c r="A797" s="5"/>
      <c r="B797" s="6"/>
      <c r="C797" s="20">
        <f>IFERROR(VLOOKUP(B797,ชื่อสินค้า!A:C,3,FALSE),)</f>
        <v>0</v>
      </c>
      <c r="D797" s="8" t="str">
        <f>IFERROR(VLOOKUP(B797,ชื่อสินค้า!A:D,4,FALSE),"")</f>
        <v/>
      </c>
      <c r="E797" s="9"/>
      <c r="F797" s="21" t="str">
        <f t="shared" si="20"/>
        <v/>
      </c>
      <c r="G797" s="22"/>
      <c r="H797" s="8">
        <f>IFERROR(VLOOKUP(G797,ซื้อสินค้า!H:I,2,FALSE),)</f>
        <v>0</v>
      </c>
      <c r="I797" s="21">
        <f>IFERROR(VLOOKUP(G797,ซื้อสินค้า!H:J,3,FALSE),)</f>
        <v>0</v>
      </c>
      <c r="J797" s="21">
        <f t="shared" si="21"/>
        <v>0</v>
      </c>
      <c r="K797" s="21">
        <f t="shared" si="22"/>
        <v>0</v>
      </c>
      <c r="L797" s="12">
        <f t="shared" si="23"/>
        <v>0</v>
      </c>
      <c r="M797" s="21">
        <f t="shared" si="24"/>
        <v>0</v>
      </c>
      <c r="N797" s="9" t="str">
        <f ca="1">IFERROR(__xludf.DUMMYFUNCTION("IF(G797&lt;&gt;"""",G797, IFERROR(TRANSPOSE(FILTER('ซื้อสินค้า'!H:H,'ซื้อสินค้า'!B:B=B797,'ซื้อสินค้า'!I:I&gt;0)),))"),"")</f>
        <v/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spans="1:32">
      <c r="A798" s="5"/>
      <c r="B798" s="6"/>
      <c r="C798" s="20">
        <f>IFERROR(VLOOKUP(B798,ชื่อสินค้า!A:C,3,FALSE),)</f>
        <v>0</v>
      </c>
      <c r="D798" s="8" t="str">
        <f>IFERROR(VLOOKUP(B798,ชื่อสินค้า!A:D,4,FALSE),"")</f>
        <v/>
      </c>
      <c r="E798" s="9"/>
      <c r="F798" s="21" t="str">
        <f t="shared" si="20"/>
        <v/>
      </c>
      <c r="G798" s="22"/>
      <c r="H798" s="8">
        <f>IFERROR(VLOOKUP(G798,ซื้อสินค้า!H:I,2,FALSE),)</f>
        <v>0</v>
      </c>
      <c r="I798" s="21">
        <f>IFERROR(VLOOKUP(G798,ซื้อสินค้า!H:J,3,FALSE),)</f>
        <v>0</v>
      </c>
      <c r="J798" s="21">
        <f t="shared" si="21"/>
        <v>0</v>
      </c>
      <c r="K798" s="21">
        <f t="shared" si="22"/>
        <v>0</v>
      </c>
      <c r="L798" s="12">
        <f t="shared" si="23"/>
        <v>0</v>
      </c>
      <c r="M798" s="21">
        <f t="shared" si="24"/>
        <v>0</v>
      </c>
      <c r="N798" s="9" t="str">
        <f ca="1">IFERROR(__xludf.DUMMYFUNCTION("IF(G798&lt;&gt;"""",G798, IFERROR(TRANSPOSE(FILTER('ซื้อสินค้า'!H:H,'ซื้อสินค้า'!B:B=B798,'ซื้อสินค้า'!I:I&gt;0)),))"),"")</f>
        <v/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spans="1:32">
      <c r="A799" s="5"/>
      <c r="B799" s="6"/>
      <c r="C799" s="20">
        <f>IFERROR(VLOOKUP(B799,ชื่อสินค้า!A:C,3,FALSE),)</f>
        <v>0</v>
      </c>
      <c r="D799" s="8" t="str">
        <f>IFERROR(VLOOKUP(B799,ชื่อสินค้า!A:D,4,FALSE),"")</f>
        <v/>
      </c>
      <c r="E799" s="9"/>
      <c r="F799" s="21" t="str">
        <f t="shared" si="20"/>
        <v/>
      </c>
      <c r="G799" s="22"/>
      <c r="H799" s="8">
        <f>IFERROR(VLOOKUP(G799,ซื้อสินค้า!H:I,2,FALSE),)</f>
        <v>0</v>
      </c>
      <c r="I799" s="21">
        <f>IFERROR(VLOOKUP(G799,ซื้อสินค้า!H:J,3,FALSE),)</f>
        <v>0</v>
      </c>
      <c r="J799" s="21">
        <f t="shared" si="21"/>
        <v>0</v>
      </c>
      <c r="K799" s="21">
        <f t="shared" si="22"/>
        <v>0</v>
      </c>
      <c r="L799" s="12">
        <f t="shared" si="23"/>
        <v>0</v>
      </c>
      <c r="M799" s="21">
        <f t="shared" si="24"/>
        <v>0</v>
      </c>
      <c r="N799" s="9" t="str">
        <f ca="1">IFERROR(__xludf.DUMMYFUNCTION("IF(G799&lt;&gt;"""",G799, IFERROR(TRANSPOSE(FILTER('ซื้อสินค้า'!H:H,'ซื้อสินค้า'!B:B=B799,'ซื้อสินค้า'!I:I&gt;0)),))"),"")</f>
        <v/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spans="1:32">
      <c r="A800" s="5"/>
      <c r="B800" s="6"/>
      <c r="C800" s="20">
        <f>IFERROR(VLOOKUP(B800,ชื่อสินค้า!A:C,3,FALSE),)</f>
        <v>0</v>
      </c>
      <c r="D800" s="8" t="str">
        <f>IFERROR(VLOOKUP(B800,ชื่อสินค้า!A:D,4,FALSE),"")</f>
        <v/>
      </c>
      <c r="E800" s="9"/>
      <c r="F800" s="21" t="str">
        <f t="shared" si="20"/>
        <v/>
      </c>
      <c r="G800" s="22"/>
      <c r="H800" s="8">
        <f>IFERROR(VLOOKUP(G800,ซื้อสินค้า!H:I,2,FALSE),)</f>
        <v>0</v>
      </c>
      <c r="I800" s="21">
        <f>IFERROR(VLOOKUP(G800,ซื้อสินค้า!H:J,3,FALSE),)</f>
        <v>0</v>
      </c>
      <c r="J800" s="21">
        <f t="shared" si="21"/>
        <v>0</v>
      </c>
      <c r="K800" s="21">
        <f t="shared" si="22"/>
        <v>0</v>
      </c>
      <c r="L800" s="12">
        <f t="shared" si="23"/>
        <v>0</v>
      </c>
      <c r="M800" s="21">
        <f t="shared" si="24"/>
        <v>0</v>
      </c>
      <c r="N800" s="9" t="str">
        <f ca="1">IFERROR(__xludf.DUMMYFUNCTION("IF(G800&lt;&gt;"""",G800, IFERROR(TRANSPOSE(FILTER('ซื้อสินค้า'!H:H,'ซื้อสินค้า'!B:B=B800,'ซื้อสินค้า'!I:I&gt;0)),))"),"")</f>
        <v/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spans="1:32">
      <c r="A801" s="5"/>
      <c r="B801" s="6"/>
      <c r="C801" s="20">
        <f>IFERROR(VLOOKUP(B801,ชื่อสินค้า!A:C,3,FALSE),)</f>
        <v>0</v>
      </c>
      <c r="D801" s="8" t="str">
        <f>IFERROR(VLOOKUP(B801,ชื่อสินค้า!A:D,4,FALSE),"")</f>
        <v/>
      </c>
      <c r="E801" s="9"/>
      <c r="F801" s="21" t="str">
        <f t="shared" si="20"/>
        <v/>
      </c>
      <c r="G801" s="22"/>
      <c r="H801" s="8">
        <f>IFERROR(VLOOKUP(G801,ซื้อสินค้า!H:I,2,FALSE),)</f>
        <v>0</v>
      </c>
      <c r="I801" s="21">
        <f>IFERROR(VLOOKUP(G801,ซื้อสินค้า!H:J,3,FALSE),)</f>
        <v>0</v>
      </c>
      <c r="J801" s="21">
        <f t="shared" si="21"/>
        <v>0</v>
      </c>
      <c r="K801" s="21">
        <f t="shared" si="22"/>
        <v>0</v>
      </c>
      <c r="L801" s="12">
        <f t="shared" si="23"/>
        <v>0</v>
      </c>
      <c r="M801" s="21">
        <f t="shared" si="24"/>
        <v>0</v>
      </c>
      <c r="N801" s="9" t="str">
        <f ca="1">IFERROR(__xludf.DUMMYFUNCTION("IF(G801&lt;&gt;"""",G801, IFERROR(TRANSPOSE(FILTER('ซื้อสินค้า'!H:H,'ซื้อสินค้า'!B:B=B801,'ซื้อสินค้า'!I:I&gt;0)),))"),"")</f>
        <v/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spans="1:32">
      <c r="A802" s="5"/>
      <c r="B802" s="6"/>
      <c r="C802" s="20">
        <f>IFERROR(VLOOKUP(B802,ชื่อสินค้า!A:C,3,FALSE),)</f>
        <v>0</v>
      </c>
      <c r="D802" s="8" t="str">
        <f>IFERROR(VLOOKUP(B802,ชื่อสินค้า!A:D,4,FALSE),"")</f>
        <v/>
      </c>
      <c r="E802" s="9"/>
      <c r="F802" s="21" t="str">
        <f t="shared" si="20"/>
        <v/>
      </c>
      <c r="G802" s="22"/>
      <c r="H802" s="8">
        <f>IFERROR(VLOOKUP(G802,ซื้อสินค้า!H:I,2,FALSE),)</f>
        <v>0</v>
      </c>
      <c r="I802" s="21">
        <f>IFERROR(VLOOKUP(G802,ซื้อสินค้า!H:J,3,FALSE),)</f>
        <v>0</v>
      </c>
      <c r="J802" s="21">
        <f t="shared" si="21"/>
        <v>0</v>
      </c>
      <c r="K802" s="21">
        <f t="shared" si="22"/>
        <v>0</v>
      </c>
      <c r="L802" s="12">
        <f t="shared" si="23"/>
        <v>0</v>
      </c>
      <c r="M802" s="21">
        <f t="shared" si="24"/>
        <v>0</v>
      </c>
      <c r="N802" s="9" t="str">
        <f ca="1">IFERROR(__xludf.DUMMYFUNCTION("IF(G802&lt;&gt;"""",G802, IFERROR(TRANSPOSE(FILTER('ซื้อสินค้า'!H:H,'ซื้อสินค้า'!B:B=B802,'ซื้อสินค้า'!I:I&gt;0)),))"),"")</f>
        <v/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spans="1:32">
      <c r="A803" s="5"/>
      <c r="B803" s="6"/>
      <c r="C803" s="20">
        <f>IFERROR(VLOOKUP(B803,ชื่อสินค้า!A:C,3,FALSE),)</f>
        <v>0</v>
      </c>
      <c r="D803" s="8" t="str">
        <f>IFERROR(VLOOKUP(B803,ชื่อสินค้า!A:D,4,FALSE),"")</f>
        <v/>
      </c>
      <c r="E803" s="9"/>
      <c r="F803" s="21" t="str">
        <f t="shared" si="20"/>
        <v/>
      </c>
      <c r="G803" s="22"/>
      <c r="H803" s="8">
        <f>IFERROR(VLOOKUP(G803,ซื้อสินค้า!H:I,2,FALSE),)</f>
        <v>0</v>
      </c>
      <c r="I803" s="21">
        <f>IFERROR(VLOOKUP(G803,ซื้อสินค้า!H:J,3,FALSE),)</f>
        <v>0</v>
      </c>
      <c r="J803" s="21">
        <f t="shared" si="21"/>
        <v>0</v>
      </c>
      <c r="K803" s="21">
        <f t="shared" si="22"/>
        <v>0</v>
      </c>
      <c r="L803" s="12">
        <f t="shared" si="23"/>
        <v>0</v>
      </c>
      <c r="M803" s="21">
        <f t="shared" si="24"/>
        <v>0</v>
      </c>
      <c r="N803" s="9" t="str">
        <f ca="1">IFERROR(__xludf.DUMMYFUNCTION("IF(G803&lt;&gt;"""",G803, IFERROR(TRANSPOSE(FILTER('ซื้อสินค้า'!H:H,'ซื้อสินค้า'!B:B=B803,'ซื้อสินค้า'!I:I&gt;0)),))"),"")</f>
        <v/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spans="1:32">
      <c r="A804" s="5"/>
      <c r="B804" s="6"/>
      <c r="C804" s="20">
        <f>IFERROR(VLOOKUP(B804,ชื่อสินค้า!A:C,3,FALSE),)</f>
        <v>0</v>
      </c>
      <c r="D804" s="8" t="str">
        <f>IFERROR(VLOOKUP(B804,ชื่อสินค้า!A:D,4,FALSE),"")</f>
        <v/>
      </c>
      <c r="E804" s="9"/>
      <c r="F804" s="21" t="str">
        <f t="shared" si="20"/>
        <v/>
      </c>
      <c r="G804" s="22"/>
      <c r="H804" s="8">
        <f>IFERROR(VLOOKUP(G804,ซื้อสินค้า!H:I,2,FALSE),)</f>
        <v>0</v>
      </c>
      <c r="I804" s="21">
        <f>IFERROR(VLOOKUP(G804,ซื้อสินค้า!H:J,3,FALSE),)</f>
        <v>0</v>
      </c>
      <c r="J804" s="21">
        <f t="shared" si="21"/>
        <v>0</v>
      </c>
      <c r="K804" s="21">
        <f t="shared" si="22"/>
        <v>0</v>
      </c>
      <c r="L804" s="12">
        <f t="shared" si="23"/>
        <v>0</v>
      </c>
      <c r="M804" s="21">
        <f t="shared" si="24"/>
        <v>0</v>
      </c>
      <c r="N804" s="9" t="str">
        <f ca="1">IFERROR(__xludf.DUMMYFUNCTION("IF(G804&lt;&gt;"""",G804, IFERROR(TRANSPOSE(FILTER('ซื้อสินค้า'!H:H,'ซื้อสินค้า'!B:B=B804,'ซื้อสินค้า'!I:I&gt;0)),))"),"")</f>
        <v/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spans="1:32">
      <c r="A805" s="5"/>
      <c r="B805" s="6"/>
      <c r="C805" s="20">
        <f>IFERROR(VLOOKUP(B805,ชื่อสินค้า!A:C,3,FALSE),)</f>
        <v>0</v>
      </c>
      <c r="D805" s="8" t="str">
        <f>IFERROR(VLOOKUP(B805,ชื่อสินค้า!A:D,4,FALSE),"")</f>
        <v/>
      </c>
      <c r="E805" s="9"/>
      <c r="F805" s="21" t="str">
        <f t="shared" si="20"/>
        <v/>
      </c>
      <c r="G805" s="22"/>
      <c r="H805" s="8">
        <f>IFERROR(VLOOKUP(G805,ซื้อสินค้า!H:I,2,FALSE),)</f>
        <v>0</v>
      </c>
      <c r="I805" s="21">
        <f>IFERROR(VLOOKUP(G805,ซื้อสินค้า!H:J,3,FALSE),)</f>
        <v>0</v>
      </c>
      <c r="J805" s="21">
        <f t="shared" si="21"/>
        <v>0</v>
      </c>
      <c r="K805" s="21">
        <f t="shared" si="22"/>
        <v>0</v>
      </c>
      <c r="L805" s="12">
        <f t="shared" si="23"/>
        <v>0</v>
      </c>
      <c r="M805" s="21">
        <f t="shared" si="24"/>
        <v>0</v>
      </c>
      <c r="N805" s="9" t="str">
        <f ca="1">IFERROR(__xludf.DUMMYFUNCTION("IF(G805&lt;&gt;"""",G805, IFERROR(TRANSPOSE(FILTER('ซื้อสินค้า'!H:H,'ซื้อสินค้า'!B:B=B805,'ซื้อสินค้า'!I:I&gt;0)),))"),"")</f>
        <v/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spans="1:32">
      <c r="A806" s="5"/>
      <c r="B806" s="6"/>
      <c r="C806" s="20">
        <f>IFERROR(VLOOKUP(B806,ชื่อสินค้า!A:C,3,FALSE),)</f>
        <v>0</v>
      </c>
      <c r="D806" s="8" t="str">
        <f>IFERROR(VLOOKUP(B806,ชื่อสินค้า!A:D,4,FALSE),"")</f>
        <v/>
      </c>
      <c r="E806" s="9"/>
      <c r="F806" s="21" t="str">
        <f t="shared" si="20"/>
        <v/>
      </c>
      <c r="G806" s="22"/>
      <c r="H806" s="8">
        <f>IFERROR(VLOOKUP(G806,ซื้อสินค้า!H:I,2,FALSE),)</f>
        <v>0</v>
      </c>
      <c r="I806" s="21">
        <f>IFERROR(VLOOKUP(G806,ซื้อสินค้า!H:J,3,FALSE),)</f>
        <v>0</v>
      </c>
      <c r="J806" s="21">
        <f t="shared" si="21"/>
        <v>0</v>
      </c>
      <c r="K806" s="21">
        <f t="shared" si="22"/>
        <v>0</v>
      </c>
      <c r="L806" s="12">
        <f t="shared" si="23"/>
        <v>0</v>
      </c>
      <c r="M806" s="21">
        <f t="shared" si="24"/>
        <v>0</v>
      </c>
      <c r="N806" s="9" t="str">
        <f ca="1">IFERROR(__xludf.DUMMYFUNCTION("IF(G806&lt;&gt;"""",G806, IFERROR(TRANSPOSE(FILTER('ซื้อสินค้า'!H:H,'ซื้อสินค้า'!B:B=B806,'ซื้อสินค้า'!I:I&gt;0)),))"),"")</f>
        <v/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spans="1:32">
      <c r="A807" s="5"/>
      <c r="B807" s="6"/>
      <c r="C807" s="20">
        <f>IFERROR(VLOOKUP(B807,ชื่อสินค้า!A:C,3,FALSE),)</f>
        <v>0</v>
      </c>
      <c r="D807" s="8" t="str">
        <f>IFERROR(VLOOKUP(B807,ชื่อสินค้า!A:D,4,FALSE),"")</f>
        <v/>
      </c>
      <c r="E807" s="9"/>
      <c r="F807" s="21" t="str">
        <f t="shared" si="20"/>
        <v/>
      </c>
      <c r="G807" s="22"/>
      <c r="H807" s="8">
        <f>IFERROR(VLOOKUP(G807,ซื้อสินค้า!H:I,2,FALSE),)</f>
        <v>0</v>
      </c>
      <c r="I807" s="21">
        <f>IFERROR(VLOOKUP(G807,ซื้อสินค้า!H:J,3,FALSE),)</f>
        <v>0</v>
      </c>
      <c r="J807" s="21">
        <f t="shared" si="21"/>
        <v>0</v>
      </c>
      <c r="K807" s="21">
        <f t="shared" si="22"/>
        <v>0</v>
      </c>
      <c r="L807" s="12">
        <f t="shared" si="23"/>
        <v>0</v>
      </c>
      <c r="M807" s="21">
        <f t="shared" si="24"/>
        <v>0</v>
      </c>
      <c r="N807" s="9" t="str">
        <f ca="1">IFERROR(__xludf.DUMMYFUNCTION("IF(G807&lt;&gt;"""",G807, IFERROR(TRANSPOSE(FILTER('ซื้อสินค้า'!H:H,'ซื้อสินค้า'!B:B=B807,'ซื้อสินค้า'!I:I&gt;0)),))"),"")</f>
        <v/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spans="1:32">
      <c r="A808" s="5"/>
      <c r="B808" s="6"/>
      <c r="C808" s="20">
        <f>IFERROR(VLOOKUP(B808,ชื่อสินค้า!A:C,3,FALSE),)</f>
        <v>0</v>
      </c>
      <c r="D808" s="8" t="str">
        <f>IFERROR(VLOOKUP(B808,ชื่อสินค้า!A:D,4,FALSE),"")</f>
        <v/>
      </c>
      <c r="E808" s="9"/>
      <c r="F808" s="21" t="str">
        <f t="shared" si="20"/>
        <v/>
      </c>
      <c r="G808" s="22"/>
      <c r="H808" s="8">
        <f>IFERROR(VLOOKUP(G808,ซื้อสินค้า!H:I,2,FALSE),)</f>
        <v>0</v>
      </c>
      <c r="I808" s="21">
        <f>IFERROR(VLOOKUP(G808,ซื้อสินค้า!H:J,3,FALSE),)</f>
        <v>0</v>
      </c>
      <c r="J808" s="21">
        <f t="shared" si="21"/>
        <v>0</v>
      </c>
      <c r="K808" s="21">
        <f t="shared" si="22"/>
        <v>0</v>
      </c>
      <c r="L808" s="12">
        <f t="shared" si="23"/>
        <v>0</v>
      </c>
      <c r="M808" s="21">
        <f t="shared" si="24"/>
        <v>0</v>
      </c>
      <c r="N808" s="9" t="str">
        <f ca="1">IFERROR(__xludf.DUMMYFUNCTION("IF(G808&lt;&gt;"""",G808, IFERROR(TRANSPOSE(FILTER('ซื้อสินค้า'!H:H,'ซื้อสินค้า'!B:B=B808,'ซื้อสินค้า'!I:I&gt;0)),))"),"")</f>
        <v/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spans="1:32">
      <c r="A809" s="5"/>
      <c r="B809" s="6"/>
      <c r="C809" s="20">
        <f>IFERROR(VLOOKUP(B809,ชื่อสินค้า!A:C,3,FALSE),)</f>
        <v>0</v>
      </c>
      <c r="D809" s="8" t="str">
        <f>IFERROR(VLOOKUP(B809,ชื่อสินค้า!A:D,4,FALSE),"")</f>
        <v/>
      </c>
      <c r="E809" s="9"/>
      <c r="F809" s="21" t="str">
        <f t="shared" si="20"/>
        <v/>
      </c>
      <c r="G809" s="22"/>
      <c r="H809" s="8">
        <f>IFERROR(VLOOKUP(G809,ซื้อสินค้า!H:I,2,FALSE),)</f>
        <v>0</v>
      </c>
      <c r="I809" s="21">
        <f>IFERROR(VLOOKUP(G809,ซื้อสินค้า!H:J,3,FALSE),)</f>
        <v>0</v>
      </c>
      <c r="J809" s="21">
        <f t="shared" si="21"/>
        <v>0</v>
      </c>
      <c r="K809" s="21">
        <f t="shared" si="22"/>
        <v>0</v>
      </c>
      <c r="L809" s="12">
        <f t="shared" si="23"/>
        <v>0</v>
      </c>
      <c r="M809" s="21">
        <f t="shared" si="24"/>
        <v>0</v>
      </c>
      <c r="N809" s="9" t="str">
        <f ca="1">IFERROR(__xludf.DUMMYFUNCTION("IF(G809&lt;&gt;"""",G809, IFERROR(TRANSPOSE(FILTER('ซื้อสินค้า'!H:H,'ซื้อสินค้า'!B:B=B809,'ซื้อสินค้า'!I:I&gt;0)),))"),"")</f>
        <v/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spans="1:32">
      <c r="A810" s="5"/>
      <c r="B810" s="6"/>
      <c r="C810" s="20">
        <f>IFERROR(VLOOKUP(B810,ชื่อสินค้า!A:C,3,FALSE),)</f>
        <v>0</v>
      </c>
      <c r="D810" s="8" t="str">
        <f>IFERROR(VLOOKUP(B810,ชื่อสินค้า!A:D,4,FALSE),"")</f>
        <v/>
      </c>
      <c r="E810" s="9"/>
      <c r="F810" s="21" t="str">
        <f t="shared" si="20"/>
        <v/>
      </c>
      <c r="G810" s="22"/>
      <c r="H810" s="8">
        <f>IFERROR(VLOOKUP(G810,ซื้อสินค้า!H:I,2,FALSE),)</f>
        <v>0</v>
      </c>
      <c r="I810" s="21">
        <f>IFERROR(VLOOKUP(G810,ซื้อสินค้า!H:J,3,FALSE),)</f>
        <v>0</v>
      </c>
      <c r="J810" s="21">
        <f t="shared" si="21"/>
        <v>0</v>
      </c>
      <c r="K810" s="21">
        <f t="shared" si="22"/>
        <v>0</v>
      </c>
      <c r="L810" s="12">
        <f t="shared" si="23"/>
        <v>0</v>
      </c>
      <c r="M810" s="21">
        <f t="shared" si="24"/>
        <v>0</v>
      </c>
      <c r="N810" s="9" t="str">
        <f ca="1">IFERROR(__xludf.DUMMYFUNCTION("IF(G810&lt;&gt;"""",G810, IFERROR(TRANSPOSE(FILTER('ซื้อสินค้า'!H:H,'ซื้อสินค้า'!B:B=B810,'ซื้อสินค้า'!I:I&gt;0)),))"),"")</f>
        <v/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spans="1:32">
      <c r="A811" s="5"/>
      <c r="B811" s="6"/>
      <c r="C811" s="20">
        <f>IFERROR(VLOOKUP(B811,ชื่อสินค้า!A:C,3,FALSE),)</f>
        <v>0</v>
      </c>
      <c r="D811" s="8" t="str">
        <f>IFERROR(VLOOKUP(B811,ชื่อสินค้า!A:D,4,FALSE),"")</f>
        <v/>
      </c>
      <c r="E811" s="9"/>
      <c r="F811" s="21" t="str">
        <f t="shared" si="20"/>
        <v/>
      </c>
      <c r="G811" s="22"/>
      <c r="H811" s="8">
        <f>IFERROR(VLOOKUP(G811,ซื้อสินค้า!H:I,2,FALSE),)</f>
        <v>0</v>
      </c>
      <c r="I811" s="21">
        <f>IFERROR(VLOOKUP(G811,ซื้อสินค้า!H:J,3,FALSE),)</f>
        <v>0</v>
      </c>
      <c r="J811" s="21">
        <f t="shared" si="21"/>
        <v>0</v>
      </c>
      <c r="K811" s="21">
        <f t="shared" si="22"/>
        <v>0</v>
      </c>
      <c r="L811" s="12">
        <f t="shared" si="23"/>
        <v>0</v>
      </c>
      <c r="M811" s="21">
        <f t="shared" si="24"/>
        <v>0</v>
      </c>
      <c r="N811" s="9" t="str">
        <f ca="1">IFERROR(__xludf.DUMMYFUNCTION("IF(G811&lt;&gt;"""",G811, IFERROR(TRANSPOSE(FILTER('ซื้อสินค้า'!H:H,'ซื้อสินค้า'!B:B=B811,'ซื้อสินค้า'!I:I&gt;0)),))"),"")</f>
        <v/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spans="1:32">
      <c r="A812" s="5"/>
      <c r="B812" s="6"/>
      <c r="C812" s="20">
        <f>IFERROR(VLOOKUP(B812,ชื่อสินค้า!A:C,3,FALSE),)</f>
        <v>0</v>
      </c>
      <c r="D812" s="8" t="str">
        <f>IFERROR(VLOOKUP(B812,ชื่อสินค้า!A:D,4,FALSE),"")</f>
        <v/>
      </c>
      <c r="E812" s="9"/>
      <c r="F812" s="21" t="str">
        <f t="shared" si="20"/>
        <v/>
      </c>
      <c r="G812" s="22"/>
      <c r="H812" s="8">
        <f>IFERROR(VLOOKUP(G812,ซื้อสินค้า!H:I,2,FALSE),)</f>
        <v>0</v>
      </c>
      <c r="I812" s="21">
        <f>IFERROR(VLOOKUP(G812,ซื้อสินค้า!H:J,3,FALSE),)</f>
        <v>0</v>
      </c>
      <c r="J812" s="21">
        <f t="shared" si="21"/>
        <v>0</v>
      </c>
      <c r="K812" s="21">
        <f t="shared" si="22"/>
        <v>0</v>
      </c>
      <c r="L812" s="12">
        <f t="shared" si="23"/>
        <v>0</v>
      </c>
      <c r="M812" s="21">
        <f t="shared" si="24"/>
        <v>0</v>
      </c>
      <c r="N812" s="9" t="str">
        <f ca="1">IFERROR(__xludf.DUMMYFUNCTION("IF(G812&lt;&gt;"""",G812, IFERROR(TRANSPOSE(FILTER('ซื้อสินค้า'!H:H,'ซื้อสินค้า'!B:B=B812,'ซื้อสินค้า'!I:I&gt;0)),))"),"")</f>
        <v/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spans="1:32">
      <c r="A813" s="5"/>
      <c r="B813" s="6"/>
      <c r="C813" s="20">
        <f>IFERROR(VLOOKUP(B813,ชื่อสินค้า!A:C,3,FALSE),)</f>
        <v>0</v>
      </c>
      <c r="D813" s="8" t="str">
        <f>IFERROR(VLOOKUP(B813,ชื่อสินค้า!A:D,4,FALSE),"")</f>
        <v/>
      </c>
      <c r="E813" s="9"/>
      <c r="F813" s="21" t="str">
        <f t="shared" si="20"/>
        <v/>
      </c>
      <c r="G813" s="22"/>
      <c r="H813" s="8">
        <f>IFERROR(VLOOKUP(G813,ซื้อสินค้า!H:I,2,FALSE),)</f>
        <v>0</v>
      </c>
      <c r="I813" s="21">
        <f>IFERROR(VLOOKUP(G813,ซื้อสินค้า!H:J,3,FALSE),)</f>
        <v>0</v>
      </c>
      <c r="J813" s="21">
        <f t="shared" si="21"/>
        <v>0</v>
      </c>
      <c r="K813" s="21">
        <f t="shared" si="22"/>
        <v>0</v>
      </c>
      <c r="L813" s="12">
        <f t="shared" si="23"/>
        <v>0</v>
      </c>
      <c r="M813" s="21">
        <f t="shared" si="24"/>
        <v>0</v>
      </c>
      <c r="N813" s="9" t="str">
        <f ca="1">IFERROR(__xludf.DUMMYFUNCTION("IF(G813&lt;&gt;"""",G813, IFERROR(TRANSPOSE(FILTER('ซื้อสินค้า'!H:H,'ซื้อสินค้า'!B:B=B813,'ซื้อสินค้า'!I:I&gt;0)),))"),"")</f>
        <v/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spans="1:32">
      <c r="A814" s="5"/>
      <c r="B814" s="6"/>
      <c r="C814" s="20">
        <f>IFERROR(VLOOKUP(B814,ชื่อสินค้า!A:C,3,FALSE),)</f>
        <v>0</v>
      </c>
      <c r="D814" s="8" t="str">
        <f>IFERROR(VLOOKUP(B814,ชื่อสินค้า!A:D,4,FALSE),"")</f>
        <v/>
      </c>
      <c r="E814" s="9"/>
      <c r="F814" s="21" t="str">
        <f t="shared" si="20"/>
        <v/>
      </c>
      <c r="G814" s="22"/>
      <c r="H814" s="8">
        <f>IFERROR(VLOOKUP(G814,ซื้อสินค้า!H:I,2,FALSE),)</f>
        <v>0</v>
      </c>
      <c r="I814" s="21">
        <f>IFERROR(VLOOKUP(G814,ซื้อสินค้า!H:J,3,FALSE),)</f>
        <v>0</v>
      </c>
      <c r="J814" s="21">
        <f t="shared" si="21"/>
        <v>0</v>
      </c>
      <c r="K814" s="21">
        <f t="shared" si="22"/>
        <v>0</v>
      </c>
      <c r="L814" s="12">
        <f t="shared" si="23"/>
        <v>0</v>
      </c>
      <c r="M814" s="21">
        <f t="shared" si="24"/>
        <v>0</v>
      </c>
      <c r="N814" s="9" t="str">
        <f ca="1">IFERROR(__xludf.DUMMYFUNCTION("IF(G814&lt;&gt;"""",G814, IFERROR(TRANSPOSE(FILTER('ซื้อสินค้า'!H:H,'ซื้อสินค้า'!B:B=B814,'ซื้อสินค้า'!I:I&gt;0)),))"),"")</f>
        <v/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spans="1:32">
      <c r="A815" s="5"/>
      <c r="B815" s="6"/>
      <c r="C815" s="20">
        <f>IFERROR(VLOOKUP(B815,ชื่อสินค้า!A:C,3,FALSE),)</f>
        <v>0</v>
      </c>
      <c r="D815" s="8" t="str">
        <f>IFERROR(VLOOKUP(B815,ชื่อสินค้า!A:D,4,FALSE),"")</f>
        <v/>
      </c>
      <c r="E815" s="9"/>
      <c r="F815" s="21" t="str">
        <f t="shared" si="20"/>
        <v/>
      </c>
      <c r="G815" s="22"/>
      <c r="H815" s="8">
        <f>IFERROR(VLOOKUP(G815,ซื้อสินค้า!H:I,2,FALSE),)</f>
        <v>0</v>
      </c>
      <c r="I815" s="21">
        <f>IFERROR(VLOOKUP(G815,ซื้อสินค้า!H:J,3,FALSE),)</f>
        <v>0</v>
      </c>
      <c r="J815" s="21">
        <f t="shared" si="21"/>
        <v>0</v>
      </c>
      <c r="K815" s="21">
        <f t="shared" si="22"/>
        <v>0</v>
      </c>
      <c r="L815" s="12">
        <f t="shared" si="23"/>
        <v>0</v>
      </c>
      <c r="M815" s="21">
        <f t="shared" si="24"/>
        <v>0</v>
      </c>
      <c r="N815" s="9" t="str">
        <f ca="1">IFERROR(__xludf.DUMMYFUNCTION("IF(G815&lt;&gt;"""",G815, IFERROR(TRANSPOSE(FILTER('ซื้อสินค้า'!H:H,'ซื้อสินค้า'!B:B=B815,'ซื้อสินค้า'!I:I&gt;0)),))"),"")</f>
        <v/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spans="1:32">
      <c r="A816" s="5"/>
      <c r="B816" s="6"/>
      <c r="C816" s="20">
        <f>IFERROR(VLOOKUP(B816,ชื่อสินค้า!A:C,3,FALSE),)</f>
        <v>0</v>
      </c>
      <c r="D816" s="8" t="str">
        <f>IFERROR(VLOOKUP(B816,ชื่อสินค้า!A:D,4,FALSE),"")</f>
        <v/>
      </c>
      <c r="E816" s="9"/>
      <c r="F816" s="21" t="str">
        <f t="shared" si="20"/>
        <v/>
      </c>
      <c r="G816" s="22"/>
      <c r="H816" s="8">
        <f>IFERROR(VLOOKUP(G816,ซื้อสินค้า!H:I,2,FALSE),)</f>
        <v>0</v>
      </c>
      <c r="I816" s="21">
        <f>IFERROR(VLOOKUP(G816,ซื้อสินค้า!H:J,3,FALSE),)</f>
        <v>0</v>
      </c>
      <c r="J816" s="21">
        <f t="shared" si="21"/>
        <v>0</v>
      </c>
      <c r="K816" s="21">
        <f t="shared" si="22"/>
        <v>0</v>
      </c>
      <c r="L816" s="12">
        <f t="shared" si="23"/>
        <v>0</v>
      </c>
      <c r="M816" s="21">
        <f t="shared" si="24"/>
        <v>0</v>
      </c>
      <c r="N816" s="9" t="str">
        <f ca="1">IFERROR(__xludf.DUMMYFUNCTION("IF(G816&lt;&gt;"""",G816, IFERROR(TRANSPOSE(FILTER('ซื้อสินค้า'!H:H,'ซื้อสินค้า'!B:B=B816,'ซื้อสินค้า'!I:I&gt;0)),))"),"")</f>
        <v/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spans="1:32">
      <c r="A817" s="5"/>
      <c r="B817" s="6"/>
      <c r="C817" s="20">
        <f>IFERROR(VLOOKUP(B817,ชื่อสินค้า!A:C,3,FALSE),)</f>
        <v>0</v>
      </c>
      <c r="D817" s="8" t="str">
        <f>IFERROR(VLOOKUP(B817,ชื่อสินค้า!A:D,4,FALSE),"")</f>
        <v/>
      </c>
      <c r="E817" s="9"/>
      <c r="F817" s="21" t="str">
        <f t="shared" si="20"/>
        <v/>
      </c>
      <c r="G817" s="22"/>
      <c r="H817" s="8">
        <f>IFERROR(VLOOKUP(G817,ซื้อสินค้า!H:I,2,FALSE),)</f>
        <v>0</v>
      </c>
      <c r="I817" s="21">
        <f>IFERROR(VLOOKUP(G817,ซื้อสินค้า!H:J,3,FALSE),)</f>
        <v>0</v>
      </c>
      <c r="J817" s="21">
        <f t="shared" si="21"/>
        <v>0</v>
      </c>
      <c r="K817" s="21">
        <f t="shared" si="22"/>
        <v>0</v>
      </c>
      <c r="L817" s="12">
        <f t="shared" si="23"/>
        <v>0</v>
      </c>
      <c r="M817" s="21">
        <f t="shared" si="24"/>
        <v>0</v>
      </c>
      <c r="N817" s="9" t="str">
        <f ca="1">IFERROR(__xludf.DUMMYFUNCTION("IF(G817&lt;&gt;"""",G817, IFERROR(TRANSPOSE(FILTER('ซื้อสินค้า'!H:H,'ซื้อสินค้า'!B:B=B817,'ซื้อสินค้า'!I:I&gt;0)),))"),"")</f>
        <v/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spans="1:32">
      <c r="A818" s="5"/>
      <c r="B818" s="6"/>
      <c r="C818" s="20">
        <f>IFERROR(VLOOKUP(B818,ชื่อสินค้า!A:C,3,FALSE),)</f>
        <v>0</v>
      </c>
      <c r="D818" s="8" t="str">
        <f>IFERROR(VLOOKUP(B818,ชื่อสินค้า!A:D,4,FALSE),"")</f>
        <v/>
      </c>
      <c r="E818" s="9"/>
      <c r="F818" s="21" t="str">
        <f t="shared" si="20"/>
        <v/>
      </c>
      <c r="G818" s="22"/>
      <c r="H818" s="8">
        <f>IFERROR(VLOOKUP(G818,ซื้อสินค้า!H:I,2,FALSE),)</f>
        <v>0</v>
      </c>
      <c r="I818" s="21">
        <f>IFERROR(VLOOKUP(G818,ซื้อสินค้า!H:J,3,FALSE),)</f>
        <v>0</v>
      </c>
      <c r="J818" s="21">
        <f t="shared" si="21"/>
        <v>0</v>
      </c>
      <c r="K818" s="21">
        <f t="shared" si="22"/>
        <v>0</v>
      </c>
      <c r="L818" s="12">
        <f t="shared" si="23"/>
        <v>0</v>
      </c>
      <c r="M818" s="21">
        <f t="shared" si="24"/>
        <v>0</v>
      </c>
      <c r="N818" s="9" t="str">
        <f ca="1">IFERROR(__xludf.DUMMYFUNCTION("IF(G818&lt;&gt;"""",G818, IFERROR(TRANSPOSE(FILTER('ซื้อสินค้า'!H:H,'ซื้อสินค้า'!B:B=B818,'ซื้อสินค้า'!I:I&gt;0)),))"),"")</f>
        <v/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spans="1:32">
      <c r="A819" s="5"/>
      <c r="B819" s="6"/>
      <c r="C819" s="20">
        <f>IFERROR(VLOOKUP(B819,ชื่อสินค้า!A:C,3,FALSE),)</f>
        <v>0</v>
      </c>
      <c r="D819" s="8" t="str">
        <f>IFERROR(VLOOKUP(B819,ชื่อสินค้า!A:D,4,FALSE),"")</f>
        <v/>
      </c>
      <c r="E819" s="9"/>
      <c r="F819" s="21" t="str">
        <f t="shared" si="20"/>
        <v/>
      </c>
      <c r="G819" s="22"/>
      <c r="H819" s="8">
        <f>IFERROR(VLOOKUP(G819,ซื้อสินค้า!H:I,2,FALSE),)</f>
        <v>0</v>
      </c>
      <c r="I819" s="21">
        <f>IFERROR(VLOOKUP(G819,ซื้อสินค้า!H:J,3,FALSE),)</f>
        <v>0</v>
      </c>
      <c r="J819" s="21">
        <f t="shared" si="21"/>
        <v>0</v>
      </c>
      <c r="K819" s="21">
        <f t="shared" si="22"/>
        <v>0</v>
      </c>
      <c r="L819" s="12">
        <f t="shared" si="23"/>
        <v>0</v>
      </c>
      <c r="M819" s="21">
        <f t="shared" si="24"/>
        <v>0</v>
      </c>
      <c r="N819" s="9" t="str">
        <f ca="1">IFERROR(__xludf.DUMMYFUNCTION("IF(G819&lt;&gt;"""",G819, IFERROR(TRANSPOSE(FILTER('ซื้อสินค้า'!H:H,'ซื้อสินค้า'!B:B=B819,'ซื้อสินค้า'!I:I&gt;0)),))"),"")</f>
        <v/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spans="1:32">
      <c r="A820" s="5"/>
      <c r="B820" s="6"/>
      <c r="C820" s="20">
        <f>IFERROR(VLOOKUP(B820,ชื่อสินค้า!A:C,3,FALSE),)</f>
        <v>0</v>
      </c>
      <c r="D820" s="8" t="str">
        <f>IFERROR(VLOOKUP(B820,ชื่อสินค้า!A:D,4,FALSE),"")</f>
        <v/>
      </c>
      <c r="E820" s="9"/>
      <c r="F820" s="21" t="str">
        <f t="shared" si="20"/>
        <v/>
      </c>
      <c r="G820" s="22"/>
      <c r="H820" s="8">
        <f>IFERROR(VLOOKUP(G820,ซื้อสินค้า!H:I,2,FALSE),)</f>
        <v>0</v>
      </c>
      <c r="I820" s="21">
        <f>IFERROR(VLOOKUP(G820,ซื้อสินค้า!H:J,3,FALSE),)</f>
        <v>0</v>
      </c>
      <c r="J820" s="21">
        <f t="shared" si="21"/>
        <v>0</v>
      </c>
      <c r="K820" s="21">
        <f t="shared" si="22"/>
        <v>0</v>
      </c>
      <c r="L820" s="12">
        <f t="shared" si="23"/>
        <v>0</v>
      </c>
      <c r="M820" s="21">
        <f t="shared" si="24"/>
        <v>0</v>
      </c>
      <c r="N820" s="9" t="str">
        <f ca="1">IFERROR(__xludf.DUMMYFUNCTION("IF(G820&lt;&gt;"""",G820, IFERROR(TRANSPOSE(FILTER('ซื้อสินค้า'!H:H,'ซื้อสินค้า'!B:B=B820,'ซื้อสินค้า'!I:I&gt;0)),))"),"")</f>
        <v/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spans="1:32">
      <c r="A821" s="5"/>
      <c r="B821" s="6"/>
      <c r="C821" s="20">
        <f>IFERROR(VLOOKUP(B821,ชื่อสินค้า!A:C,3,FALSE),)</f>
        <v>0</v>
      </c>
      <c r="D821" s="8" t="str">
        <f>IFERROR(VLOOKUP(B821,ชื่อสินค้า!A:D,4,FALSE),"")</f>
        <v/>
      </c>
      <c r="E821" s="9"/>
      <c r="F821" s="21" t="str">
        <f t="shared" si="20"/>
        <v/>
      </c>
      <c r="G821" s="22"/>
      <c r="H821" s="8">
        <f>IFERROR(VLOOKUP(G821,ซื้อสินค้า!H:I,2,FALSE),)</f>
        <v>0</v>
      </c>
      <c r="I821" s="21">
        <f>IFERROR(VLOOKUP(G821,ซื้อสินค้า!H:J,3,FALSE),)</f>
        <v>0</v>
      </c>
      <c r="J821" s="21">
        <f t="shared" si="21"/>
        <v>0</v>
      </c>
      <c r="K821" s="21">
        <f t="shared" si="22"/>
        <v>0</v>
      </c>
      <c r="L821" s="12">
        <f t="shared" si="23"/>
        <v>0</v>
      </c>
      <c r="M821" s="21">
        <f t="shared" si="24"/>
        <v>0</v>
      </c>
      <c r="N821" s="9" t="str">
        <f ca="1">IFERROR(__xludf.DUMMYFUNCTION("IF(G821&lt;&gt;"""",G821, IFERROR(TRANSPOSE(FILTER('ซื้อสินค้า'!H:H,'ซื้อสินค้า'!B:B=B821,'ซื้อสินค้า'!I:I&gt;0)),))"),"")</f>
        <v/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spans="1:32">
      <c r="A822" s="5"/>
      <c r="B822" s="6"/>
      <c r="C822" s="20">
        <f>IFERROR(VLOOKUP(B822,ชื่อสินค้า!A:C,3,FALSE),)</f>
        <v>0</v>
      </c>
      <c r="D822" s="8" t="str">
        <f>IFERROR(VLOOKUP(B822,ชื่อสินค้า!A:D,4,FALSE),"")</f>
        <v/>
      </c>
      <c r="E822" s="9"/>
      <c r="F822" s="21" t="str">
        <f t="shared" si="20"/>
        <v/>
      </c>
      <c r="G822" s="22"/>
      <c r="H822" s="8">
        <f>IFERROR(VLOOKUP(G822,ซื้อสินค้า!H:I,2,FALSE),)</f>
        <v>0</v>
      </c>
      <c r="I822" s="21">
        <f>IFERROR(VLOOKUP(G822,ซื้อสินค้า!H:J,3,FALSE),)</f>
        <v>0</v>
      </c>
      <c r="J822" s="21">
        <f t="shared" si="21"/>
        <v>0</v>
      </c>
      <c r="K822" s="21">
        <f t="shared" si="22"/>
        <v>0</v>
      </c>
      <c r="L822" s="12">
        <f t="shared" si="23"/>
        <v>0</v>
      </c>
      <c r="M822" s="21">
        <f t="shared" si="24"/>
        <v>0</v>
      </c>
      <c r="N822" s="9" t="str">
        <f ca="1">IFERROR(__xludf.DUMMYFUNCTION("IF(G822&lt;&gt;"""",G822, IFERROR(TRANSPOSE(FILTER('ซื้อสินค้า'!H:H,'ซื้อสินค้า'!B:B=B822,'ซื้อสินค้า'!I:I&gt;0)),))"),"")</f>
        <v/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spans="1:32">
      <c r="A823" s="5"/>
      <c r="B823" s="6"/>
      <c r="C823" s="20">
        <f>IFERROR(VLOOKUP(B823,ชื่อสินค้า!A:C,3,FALSE),)</f>
        <v>0</v>
      </c>
      <c r="D823" s="8" t="str">
        <f>IFERROR(VLOOKUP(B823,ชื่อสินค้า!A:D,4,FALSE),"")</f>
        <v/>
      </c>
      <c r="E823" s="9"/>
      <c r="F823" s="21" t="str">
        <f t="shared" si="20"/>
        <v/>
      </c>
      <c r="G823" s="22"/>
      <c r="H823" s="8">
        <f>IFERROR(VLOOKUP(G823,ซื้อสินค้า!H:I,2,FALSE),)</f>
        <v>0</v>
      </c>
      <c r="I823" s="21">
        <f>IFERROR(VLOOKUP(G823,ซื้อสินค้า!H:J,3,FALSE),)</f>
        <v>0</v>
      </c>
      <c r="J823" s="21">
        <f t="shared" si="21"/>
        <v>0</v>
      </c>
      <c r="K823" s="21">
        <f t="shared" si="22"/>
        <v>0</v>
      </c>
      <c r="L823" s="12">
        <f t="shared" si="23"/>
        <v>0</v>
      </c>
      <c r="M823" s="21">
        <f t="shared" si="24"/>
        <v>0</v>
      </c>
      <c r="N823" s="9" t="str">
        <f ca="1">IFERROR(__xludf.DUMMYFUNCTION("IF(G823&lt;&gt;"""",G823, IFERROR(TRANSPOSE(FILTER('ซื้อสินค้า'!H:H,'ซื้อสินค้า'!B:B=B823,'ซื้อสินค้า'!I:I&gt;0)),))"),"")</f>
        <v/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spans="1:32">
      <c r="A824" s="5"/>
      <c r="B824" s="6"/>
      <c r="C824" s="20">
        <f>IFERROR(VLOOKUP(B824,ชื่อสินค้า!A:C,3,FALSE),)</f>
        <v>0</v>
      </c>
      <c r="D824" s="8" t="str">
        <f>IFERROR(VLOOKUP(B824,ชื่อสินค้า!A:D,4,FALSE),"")</f>
        <v/>
      </c>
      <c r="E824" s="9"/>
      <c r="F824" s="21" t="str">
        <f t="shared" si="20"/>
        <v/>
      </c>
      <c r="G824" s="22"/>
      <c r="H824" s="8">
        <f>IFERROR(VLOOKUP(G824,ซื้อสินค้า!H:I,2,FALSE),)</f>
        <v>0</v>
      </c>
      <c r="I824" s="21">
        <f>IFERROR(VLOOKUP(G824,ซื้อสินค้า!H:J,3,FALSE),)</f>
        <v>0</v>
      </c>
      <c r="J824" s="21">
        <f t="shared" si="21"/>
        <v>0</v>
      </c>
      <c r="K824" s="21">
        <f t="shared" si="22"/>
        <v>0</v>
      </c>
      <c r="L824" s="12">
        <f t="shared" si="23"/>
        <v>0</v>
      </c>
      <c r="M824" s="21">
        <f t="shared" si="24"/>
        <v>0</v>
      </c>
      <c r="N824" s="9" t="str">
        <f ca="1">IFERROR(__xludf.DUMMYFUNCTION("IF(G824&lt;&gt;"""",G824, IFERROR(TRANSPOSE(FILTER('ซื้อสินค้า'!H:H,'ซื้อสินค้า'!B:B=B824,'ซื้อสินค้า'!I:I&gt;0)),))"),"")</f>
        <v/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spans="1:32">
      <c r="A825" s="5"/>
      <c r="B825" s="6"/>
      <c r="C825" s="20">
        <f>IFERROR(VLOOKUP(B825,ชื่อสินค้า!A:C,3,FALSE),)</f>
        <v>0</v>
      </c>
      <c r="D825" s="8" t="str">
        <f>IFERROR(VLOOKUP(B825,ชื่อสินค้า!A:D,4,FALSE),"")</f>
        <v/>
      </c>
      <c r="E825" s="9"/>
      <c r="F825" s="21" t="str">
        <f t="shared" si="20"/>
        <v/>
      </c>
      <c r="G825" s="22"/>
      <c r="H825" s="8">
        <f>IFERROR(VLOOKUP(G825,ซื้อสินค้า!H:I,2,FALSE),)</f>
        <v>0</v>
      </c>
      <c r="I825" s="21">
        <f>IFERROR(VLOOKUP(G825,ซื้อสินค้า!H:J,3,FALSE),)</f>
        <v>0</v>
      </c>
      <c r="J825" s="21">
        <f t="shared" si="21"/>
        <v>0</v>
      </c>
      <c r="K825" s="21">
        <f t="shared" si="22"/>
        <v>0</v>
      </c>
      <c r="L825" s="12">
        <f t="shared" si="23"/>
        <v>0</v>
      </c>
      <c r="M825" s="21">
        <f t="shared" si="24"/>
        <v>0</v>
      </c>
      <c r="N825" s="9" t="str">
        <f ca="1">IFERROR(__xludf.DUMMYFUNCTION("IF(G825&lt;&gt;"""",G825, IFERROR(TRANSPOSE(FILTER('ซื้อสินค้า'!H:H,'ซื้อสินค้า'!B:B=B825,'ซื้อสินค้า'!I:I&gt;0)),))"),"")</f>
        <v/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spans="1:32">
      <c r="A826" s="5"/>
      <c r="B826" s="6"/>
      <c r="C826" s="20">
        <f>IFERROR(VLOOKUP(B826,ชื่อสินค้า!A:C,3,FALSE),)</f>
        <v>0</v>
      </c>
      <c r="D826" s="8" t="str">
        <f>IFERROR(VLOOKUP(B826,ชื่อสินค้า!A:D,4,FALSE),"")</f>
        <v/>
      </c>
      <c r="E826" s="9"/>
      <c r="F826" s="21" t="str">
        <f t="shared" si="20"/>
        <v/>
      </c>
      <c r="G826" s="22"/>
      <c r="H826" s="8">
        <f>IFERROR(VLOOKUP(G826,ซื้อสินค้า!H:I,2,FALSE),)</f>
        <v>0</v>
      </c>
      <c r="I826" s="21">
        <f>IFERROR(VLOOKUP(G826,ซื้อสินค้า!H:J,3,FALSE),)</f>
        <v>0</v>
      </c>
      <c r="J826" s="21">
        <f t="shared" si="21"/>
        <v>0</v>
      </c>
      <c r="K826" s="21">
        <f t="shared" si="22"/>
        <v>0</v>
      </c>
      <c r="L826" s="12">
        <f t="shared" si="23"/>
        <v>0</v>
      </c>
      <c r="M826" s="21">
        <f t="shared" si="24"/>
        <v>0</v>
      </c>
      <c r="N826" s="9" t="str">
        <f ca="1">IFERROR(__xludf.DUMMYFUNCTION("IF(G826&lt;&gt;"""",G826, IFERROR(TRANSPOSE(FILTER('ซื้อสินค้า'!H:H,'ซื้อสินค้า'!B:B=B826,'ซื้อสินค้า'!I:I&gt;0)),))"),"")</f>
        <v/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spans="1:32">
      <c r="A827" s="5"/>
      <c r="B827" s="6"/>
      <c r="C827" s="20">
        <f>IFERROR(VLOOKUP(B827,ชื่อสินค้า!A:C,3,FALSE),)</f>
        <v>0</v>
      </c>
      <c r="D827" s="8" t="str">
        <f>IFERROR(VLOOKUP(B827,ชื่อสินค้า!A:D,4,FALSE),"")</f>
        <v/>
      </c>
      <c r="E827" s="9"/>
      <c r="F827" s="21" t="str">
        <f t="shared" si="20"/>
        <v/>
      </c>
      <c r="G827" s="22"/>
      <c r="H827" s="8">
        <f>IFERROR(VLOOKUP(G827,ซื้อสินค้า!H:I,2,FALSE),)</f>
        <v>0</v>
      </c>
      <c r="I827" s="21">
        <f>IFERROR(VLOOKUP(G827,ซื้อสินค้า!H:J,3,FALSE),)</f>
        <v>0</v>
      </c>
      <c r="J827" s="21">
        <f t="shared" si="21"/>
        <v>0</v>
      </c>
      <c r="K827" s="21">
        <f t="shared" si="22"/>
        <v>0</v>
      </c>
      <c r="L827" s="12">
        <f t="shared" si="23"/>
        <v>0</v>
      </c>
      <c r="M827" s="21">
        <f t="shared" si="24"/>
        <v>0</v>
      </c>
      <c r="N827" s="9" t="str">
        <f ca="1">IFERROR(__xludf.DUMMYFUNCTION("IF(G827&lt;&gt;"""",G827, IFERROR(TRANSPOSE(FILTER('ซื้อสินค้า'!H:H,'ซื้อสินค้า'!B:B=B827,'ซื้อสินค้า'!I:I&gt;0)),))"),"")</f>
        <v/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spans="1:32">
      <c r="A828" s="5"/>
      <c r="B828" s="6"/>
      <c r="C828" s="20">
        <f>IFERROR(VLOOKUP(B828,ชื่อสินค้า!A:C,3,FALSE),)</f>
        <v>0</v>
      </c>
      <c r="D828" s="8" t="str">
        <f>IFERROR(VLOOKUP(B828,ชื่อสินค้า!A:D,4,FALSE),"")</f>
        <v/>
      </c>
      <c r="E828" s="9"/>
      <c r="F828" s="21" t="str">
        <f t="shared" si="20"/>
        <v/>
      </c>
      <c r="G828" s="22"/>
      <c r="H828" s="8">
        <f>IFERROR(VLOOKUP(G828,ซื้อสินค้า!H:I,2,FALSE),)</f>
        <v>0</v>
      </c>
      <c r="I828" s="21">
        <f>IFERROR(VLOOKUP(G828,ซื้อสินค้า!H:J,3,FALSE),)</f>
        <v>0</v>
      </c>
      <c r="J828" s="21">
        <f t="shared" si="21"/>
        <v>0</v>
      </c>
      <c r="K828" s="21">
        <f t="shared" si="22"/>
        <v>0</v>
      </c>
      <c r="L828" s="12">
        <f t="shared" si="23"/>
        <v>0</v>
      </c>
      <c r="M828" s="21">
        <f t="shared" si="24"/>
        <v>0</v>
      </c>
      <c r="N828" s="9" t="str">
        <f ca="1">IFERROR(__xludf.DUMMYFUNCTION("IF(G828&lt;&gt;"""",G828, IFERROR(TRANSPOSE(FILTER('ซื้อสินค้า'!H:H,'ซื้อสินค้า'!B:B=B828,'ซื้อสินค้า'!I:I&gt;0)),))"),"")</f>
        <v/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spans="1:32">
      <c r="A829" s="5"/>
      <c r="B829" s="6"/>
      <c r="C829" s="20">
        <f>IFERROR(VLOOKUP(B829,ชื่อสินค้า!A:C,3,FALSE),)</f>
        <v>0</v>
      </c>
      <c r="D829" s="8" t="str">
        <f>IFERROR(VLOOKUP(B829,ชื่อสินค้า!A:D,4,FALSE),"")</f>
        <v/>
      </c>
      <c r="E829" s="9"/>
      <c r="F829" s="21" t="str">
        <f t="shared" si="20"/>
        <v/>
      </c>
      <c r="G829" s="22"/>
      <c r="H829" s="8">
        <f>IFERROR(VLOOKUP(G829,ซื้อสินค้า!H:I,2,FALSE),)</f>
        <v>0</v>
      </c>
      <c r="I829" s="21">
        <f>IFERROR(VLOOKUP(G829,ซื้อสินค้า!H:J,3,FALSE),)</f>
        <v>0</v>
      </c>
      <c r="J829" s="21">
        <f t="shared" si="21"/>
        <v>0</v>
      </c>
      <c r="K829" s="21">
        <f t="shared" si="22"/>
        <v>0</v>
      </c>
      <c r="L829" s="12">
        <f t="shared" si="23"/>
        <v>0</v>
      </c>
      <c r="M829" s="21">
        <f t="shared" si="24"/>
        <v>0</v>
      </c>
      <c r="N829" s="9" t="str">
        <f ca="1">IFERROR(__xludf.DUMMYFUNCTION("IF(G829&lt;&gt;"""",G829, IFERROR(TRANSPOSE(FILTER('ซื้อสินค้า'!H:H,'ซื้อสินค้า'!B:B=B829,'ซื้อสินค้า'!I:I&gt;0)),))"),"")</f>
        <v/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spans="1:32">
      <c r="A830" s="5"/>
      <c r="B830" s="6"/>
      <c r="C830" s="20">
        <f>IFERROR(VLOOKUP(B830,ชื่อสินค้า!A:C,3,FALSE),)</f>
        <v>0</v>
      </c>
      <c r="D830" s="8" t="str">
        <f>IFERROR(VLOOKUP(B830,ชื่อสินค้า!A:D,4,FALSE),"")</f>
        <v/>
      </c>
      <c r="E830" s="9"/>
      <c r="F830" s="21" t="str">
        <f t="shared" si="20"/>
        <v/>
      </c>
      <c r="G830" s="22"/>
      <c r="H830" s="8">
        <f>IFERROR(VLOOKUP(G830,ซื้อสินค้า!H:I,2,FALSE),)</f>
        <v>0</v>
      </c>
      <c r="I830" s="21">
        <f>IFERROR(VLOOKUP(G830,ซื้อสินค้า!H:J,3,FALSE),)</f>
        <v>0</v>
      </c>
      <c r="J830" s="21">
        <f t="shared" si="21"/>
        <v>0</v>
      </c>
      <c r="K830" s="21">
        <f t="shared" si="22"/>
        <v>0</v>
      </c>
      <c r="L830" s="12">
        <f t="shared" si="23"/>
        <v>0</v>
      </c>
      <c r="M830" s="21">
        <f t="shared" si="24"/>
        <v>0</v>
      </c>
      <c r="N830" s="9" t="str">
        <f ca="1">IFERROR(__xludf.DUMMYFUNCTION("IF(G830&lt;&gt;"""",G830, IFERROR(TRANSPOSE(FILTER('ซื้อสินค้า'!H:H,'ซื้อสินค้า'!B:B=B830,'ซื้อสินค้า'!I:I&gt;0)),))"),"")</f>
        <v/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spans="1:32">
      <c r="A831" s="5"/>
      <c r="B831" s="6"/>
      <c r="C831" s="20">
        <f>IFERROR(VLOOKUP(B831,ชื่อสินค้า!A:C,3,FALSE),)</f>
        <v>0</v>
      </c>
      <c r="D831" s="8" t="str">
        <f>IFERROR(VLOOKUP(B831,ชื่อสินค้า!A:D,4,FALSE),"")</f>
        <v/>
      </c>
      <c r="E831" s="9"/>
      <c r="F831" s="21" t="str">
        <f t="shared" si="20"/>
        <v/>
      </c>
      <c r="G831" s="22"/>
      <c r="H831" s="8">
        <f>IFERROR(VLOOKUP(G831,ซื้อสินค้า!H:I,2,FALSE),)</f>
        <v>0</v>
      </c>
      <c r="I831" s="21">
        <f>IFERROR(VLOOKUP(G831,ซื้อสินค้า!H:J,3,FALSE),)</f>
        <v>0</v>
      </c>
      <c r="J831" s="21">
        <f t="shared" si="21"/>
        <v>0</v>
      </c>
      <c r="K831" s="21">
        <f t="shared" si="22"/>
        <v>0</v>
      </c>
      <c r="L831" s="12">
        <f t="shared" si="23"/>
        <v>0</v>
      </c>
      <c r="M831" s="21">
        <f t="shared" si="24"/>
        <v>0</v>
      </c>
      <c r="N831" s="9" t="str">
        <f ca="1">IFERROR(__xludf.DUMMYFUNCTION("IF(G831&lt;&gt;"""",G831, IFERROR(TRANSPOSE(FILTER('ซื้อสินค้า'!H:H,'ซื้อสินค้า'!B:B=B831,'ซื้อสินค้า'!I:I&gt;0)),))"),"")</f>
        <v/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spans="1:32">
      <c r="A832" s="5"/>
      <c r="B832" s="6"/>
      <c r="C832" s="20">
        <f>IFERROR(VLOOKUP(B832,ชื่อสินค้า!A:C,3,FALSE),)</f>
        <v>0</v>
      </c>
      <c r="D832" s="8" t="str">
        <f>IFERROR(VLOOKUP(B832,ชื่อสินค้า!A:D,4,FALSE),"")</f>
        <v/>
      </c>
      <c r="E832" s="9"/>
      <c r="F832" s="21" t="str">
        <f t="shared" si="20"/>
        <v/>
      </c>
      <c r="G832" s="22"/>
      <c r="H832" s="8">
        <f>IFERROR(VLOOKUP(G832,ซื้อสินค้า!H:I,2,FALSE),)</f>
        <v>0</v>
      </c>
      <c r="I832" s="21">
        <f>IFERROR(VLOOKUP(G832,ซื้อสินค้า!H:J,3,FALSE),)</f>
        <v>0</v>
      </c>
      <c r="J832" s="21">
        <f t="shared" si="21"/>
        <v>0</v>
      </c>
      <c r="K832" s="21">
        <f t="shared" si="22"/>
        <v>0</v>
      </c>
      <c r="L832" s="12">
        <f t="shared" si="23"/>
        <v>0</v>
      </c>
      <c r="M832" s="21">
        <f t="shared" si="24"/>
        <v>0</v>
      </c>
      <c r="N832" s="9" t="str">
        <f ca="1">IFERROR(__xludf.DUMMYFUNCTION("IF(G832&lt;&gt;"""",G832, IFERROR(TRANSPOSE(FILTER('ซื้อสินค้า'!H:H,'ซื้อสินค้า'!B:B=B832,'ซื้อสินค้า'!I:I&gt;0)),))"),"")</f>
        <v/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spans="1:32">
      <c r="A833" s="5"/>
      <c r="B833" s="6"/>
      <c r="C833" s="20">
        <f>IFERROR(VLOOKUP(B833,ชื่อสินค้า!A:C,3,FALSE),)</f>
        <v>0</v>
      </c>
      <c r="D833" s="8" t="str">
        <f>IFERROR(VLOOKUP(B833,ชื่อสินค้า!A:D,4,FALSE),"")</f>
        <v/>
      </c>
      <c r="E833" s="9"/>
      <c r="F833" s="21" t="str">
        <f t="shared" si="20"/>
        <v/>
      </c>
      <c r="G833" s="22"/>
      <c r="H833" s="8">
        <f>IFERROR(VLOOKUP(G833,ซื้อสินค้า!H:I,2,FALSE),)</f>
        <v>0</v>
      </c>
      <c r="I833" s="21">
        <f>IFERROR(VLOOKUP(G833,ซื้อสินค้า!H:J,3,FALSE),)</f>
        <v>0</v>
      </c>
      <c r="J833" s="21">
        <f t="shared" si="21"/>
        <v>0</v>
      </c>
      <c r="K833" s="21">
        <f t="shared" si="22"/>
        <v>0</v>
      </c>
      <c r="L833" s="12">
        <f t="shared" si="23"/>
        <v>0</v>
      </c>
      <c r="M833" s="21">
        <f t="shared" si="24"/>
        <v>0</v>
      </c>
      <c r="N833" s="9" t="str">
        <f ca="1">IFERROR(__xludf.DUMMYFUNCTION("IF(G833&lt;&gt;"""",G833, IFERROR(TRANSPOSE(FILTER('ซื้อสินค้า'!H:H,'ซื้อสินค้า'!B:B=B833,'ซื้อสินค้า'!I:I&gt;0)),))"),"")</f>
        <v/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spans="1:32">
      <c r="A834" s="5"/>
      <c r="B834" s="6"/>
      <c r="C834" s="20">
        <f>IFERROR(VLOOKUP(B834,ชื่อสินค้า!A:C,3,FALSE),)</f>
        <v>0</v>
      </c>
      <c r="D834" s="8" t="str">
        <f>IFERROR(VLOOKUP(B834,ชื่อสินค้า!A:D,4,FALSE),"")</f>
        <v/>
      </c>
      <c r="E834" s="9"/>
      <c r="F834" s="21" t="str">
        <f t="shared" si="20"/>
        <v/>
      </c>
      <c r="G834" s="22"/>
      <c r="H834" s="8">
        <f>IFERROR(VLOOKUP(G834,ซื้อสินค้า!H:I,2,FALSE),)</f>
        <v>0</v>
      </c>
      <c r="I834" s="21">
        <f>IFERROR(VLOOKUP(G834,ซื้อสินค้า!H:J,3,FALSE),)</f>
        <v>0</v>
      </c>
      <c r="J834" s="21">
        <f t="shared" si="21"/>
        <v>0</v>
      </c>
      <c r="K834" s="21">
        <f t="shared" si="22"/>
        <v>0</v>
      </c>
      <c r="L834" s="12">
        <f t="shared" si="23"/>
        <v>0</v>
      </c>
      <c r="M834" s="21">
        <f t="shared" si="24"/>
        <v>0</v>
      </c>
      <c r="N834" s="9" t="str">
        <f ca="1">IFERROR(__xludf.DUMMYFUNCTION("IF(G834&lt;&gt;"""",G834, IFERROR(TRANSPOSE(FILTER('ซื้อสินค้า'!H:H,'ซื้อสินค้า'!B:B=B834,'ซื้อสินค้า'!I:I&gt;0)),))"),"")</f>
        <v/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spans="1:32">
      <c r="A835" s="5"/>
      <c r="B835" s="6"/>
      <c r="C835" s="20">
        <f>IFERROR(VLOOKUP(B835,ชื่อสินค้า!A:C,3,FALSE),)</f>
        <v>0</v>
      </c>
      <c r="D835" s="8" t="str">
        <f>IFERROR(VLOOKUP(B835,ชื่อสินค้า!A:D,4,FALSE),"")</f>
        <v/>
      </c>
      <c r="E835" s="9"/>
      <c r="F835" s="21" t="str">
        <f t="shared" si="20"/>
        <v/>
      </c>
      <c r="G835" s="22"/>
      <c r="H835" s="8">
        <f>IFERROR(VLOOKUP(G835,ซื้อสินค้า!H:I,2,FALSE),)</f>
        <v>0</v>
      </c>
      <c r="I835" s="21">
        <f>IFERROR(VLOOKUP(G835,ซื้อสินค้า!H:J,3,FALSE),)</f>
        <v>0</v>
      </c>
      <c r="J835" s="21">
        <f t="shared" si="21"/>
        <v>0</v>
      </c>
      <c r="K835" s="21">
        <f t="shared" si="22"/>
        <v>0</v>
      </c>
      <c r="L835" s="12">
        <f t="shared" si="23"/>
        <v>0</v>
      </c>
      <c r="M835" s="21">
        <f t="shared" si="24"/>
        <v>0</v>
      </c>
      <c r="N835" s="9" t="str">
        <f ca="1">IFERROR(__xludf.DUMMYFUNCTION("IF(G835&lt;&gt;"""",G835, IFERROR(TRANSPOSE(FILTER('ซื้อสินค้า'!H:H,'ซื้อสินค้า'!B:B=B835,'ซื้อสินค้า'!I:I&gt;0)),))"),"")</f>
        <v/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spans="1:32">
      <c r="A836" s="5"/>
      <c r="B836" s="6"/>
      <c r="C836" s="20">
        <f>IFERROR(VLOOKUP(B836,ชื่อสินค้า!A:C,3,FALSE),)</f>
        <v>0</v>
      </c>
      <c r="D836" s="8" t="str">
        <f>IFERROR(VLOOKUP(B836,ชื่อสินค้า!A:D,4,FALSE),"")</f>
        <v/>
      </c>
      <c r="E836" s="9"/>
      <c r="F836" s="21" t="str">
        <f t="shared" si="20"/>
        <v/>
      </c>
      <c r="G836" s="22"/>
      <c r="H836" s="8">
        <f>IFERROR(VLOOKUP(G836,ซื้อสินค้า!H:I,2,FALSE),)</f>
        <v>0</v>
      </c>
      <c r="I836" s="21">
        <f>IFERROR(VLOOKUP(G836,ซื้อสินค้า!H:J,3,FALSE),)</f>
        <v>0</v>
      </c>
      <c r="J836" s="21">
        <f t="shared" si="21"/>
        <v>0</v>
      </c>
      <c r="K836" s="21">
        <f t="shared" si="22"/>
        <v>0</v>
      </c>
      <c r="L836" s="12">
        <f t="shared" si="23"/>
        <v>0</v>
      </c>
      <c r="M836" s="21">
        <f t="shared" si="24"/>
        <v>0</v>
      </c>
      <c r="N836" s="9" t="str">
        <f ca="1">IFERROR(__xludf.DUMMYFUNCTION("IF(G836&lt;&gt;"""",G836, IFERROR(TRANSPOSE(FILTER('ซื้อสินค้า'!H:H,'ซื้อสินค้า'!B:B=B836,'ซื้อสินค้า'!I:I&gt;0)),))"),"")</f>
        <v/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spans="1:32">
      <c r="A837" s="5"/>
      <c r="B837" s="6"/>
      <c r="C837" s="20">
        <f>IFERROR(VLOOKUP(B837,ชื่อสินค้า!A:C,3,FALSE),)</f>
        <v>0</v>
      </c>
      <c r="D837" s="8" t="str">
        <f>IFERROR(VLOOKUP(B837,ชื่อสินค้า!A:D,4,FALSE),"")</f>
        <v/>
      </c>
      <c r="E837" s="9"/>
      <c r="F837" s="21" t="str">
        <f t="shared" si="20"/>
        <v/>
      </c>
      <c r="G837" s="22"/>
      <c r="H837" s="8">
        <f>IFERROR(VLOOKUP(G837,ซื้อสินค้า!H:I,2,FALSE),)</f>
        <v>0</v>
      </c>
      <c r="I837" s="21">
        <f>IFERROR(VLOOKUP(G837,ซื้อสินค้า!H:J,3,FALSE),)</f>
        <v>0</v>
      </c>
      <c r="J837" s="21">
        <f t="shared" si="21"/>
        <v>0</v>
      </c>
      <c r="K837" s="21">
        <f t="shared" si="22"/>
        <v>0</v>
      </c>
      <c r="L837" s="12">
        <f t="shared" si="23"/>
        <v>0</v>
      </c>
      <c r="M837" s="21">
        <f t="shared" si="24"/>
        <v>0</v>
      </c>
      <c r="N837" s="9" t="str">
        <f ca="1">IFERROR(__xludf.DUMMYFUNCTION("IF(G837&lt;&gt;"""",G837, IFERROR(TRANSPOSE(FILTER('ซื้อสินค้า'!H:H,'ซื้อสินค้า'!B:B=B837,'ซื้อสินค้า'!I:I&gt;0)),))"),"")</f>
        <v/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spans="1:32">
      <c r="A838" s="5"/>
      <c r="B838" s="6"/>
      <c r="C838" s="20">
        <f>IFERROR(VLOOKUP(B838,ชื่อสินค้า!A:C,3,FALSE),)</f>
        <v>0</v>
      </c>
      <c r="D838" s="8" t="str">
        <f>IFERROR(VLOOKUP(B838,ชื่อสินค้า!A:D,4,FALSE),"")</f>
        <v/>
      </c>
      <c r="E838" s="9"/>
      <c r="F838" s="21" t="str">
        <f t="shared" si="20"/>
        <v/>
      </c>
      <c r="G838" s="22"/>
      <c r="H838" s="8">
        <f>IFERROR(VLOOKUP(G838,ซื้อสินค้า!H:I,2,FALSE),)</f>
        <v>0</v>
      </c>
      <c r="I838" s="21">
        <f>IFERROR(VLOOKUP(G838,ซื้อสินค้า!H:J,3,FALSE),)</f>
        <v>0</v>
      </c>
      <c r="J838" s="21">
        <f t="shared" si="21"/>
        <v>0</v>
      </c>
      <c r="K838" s="21">
        <f t="shared" si="22"/>
        <v>0</v>
      </c>
      <c r="L838" s="12">
        <f t="shared" si="23"/>
        <v>0</v>
      </c>
      <c r="M838" s="21">
        <f t="shared" si="24"/>
        <v>0</v>
      </c>
      <c r="N838" s="9" t="str">
        <f ca="1">IFERROR(__xludf.DUMMYFUNCTION("IF(G838&lt;&gt;"""",G838, IFERROR(TRANSPOSE(FILTER('ซื้อสินค้า'!H:H,'ซื้อสินค้า'!B:B=B838,'ซื้อสินค้า'!I:I&gt;0)),))"),"")</f>
        <v/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spans="1:32">
      <c r="A839" s="5"/>
      <c r="B839" s="6"/>
      <c r="C839" s="20">
        <f>IFERROR(VLOOKUP(B839,ชื่อสินค้า!A:C,3,FALSE),)</f>
        <v>0</v>
      </c>
      <c r="D839" s="8" t="str">
        <f>IFERROR(VLOOKUP(B839,ชื่อสินค้า!A:D,4,FALSE),"")</f>
        <v/>
      </c>
      <c r="E839" s="9"/>
      <c r="F839" s="21" t="str">
        <f t="shared" si="20"/>
        <v/>
      </c>
      <c r="G839" s="22"/>
      <c r="H839" s="8">
        <f>IFERROR(VLOOKUP(G839,ซื้อสินค้า!H:I,2,FALSE),)</f>
        <v>0</v>
      </c>
      <c r="I839" s="21">
        <f>IFERROR(VLOOKUP(G839,ซื้อสินค้า!H:J,3,FALSE),)</f>
        <v>0</v>
      </c>
      <c r="J839" s="21">
        <f t="shared" si="21"/>
        <v>0</v>
      </c>
      <c r="K839" s="21">
        <f t="shared" si="22"/>
        <v>0</v>
      </c>
      <c r="L839" s="12">
        <f t="shared" si="23"/>
        <v>0</v>
      </c>
      <c r="M839" s="21">
        <f t="shared" si="24"/>
        <v>0</v>
      </c>
      <c r="N839" s="9" t="str">
        <f ca="1">IFERROR(__xludf.DUMMYFUNCTION("IF(G839&lt;&gt;"""",G839, IFERROR(TRANSPOSE(FILTER('ซื้อสินค้า'!H:H,'ซื้อสินค้า'!B:B=B839,'ซื้อสินค้า'!I:I&gt;0)),))"),"")</f>
        <v/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spans="1:32">
      <c r="A840" s="5"/>
      <c r="B840" s="6"/>
      <c r="C840" s="20">
        <f>IFERROR(VLOOKUP(B840,ชื่อสินค้า!A:C,3,FALSE),)</f>
        <v>0</v>
      </c>
      <c r="D840" s="8" t="str">
        <f>IFERROR(VLOOKUP(B840,ชื่อสินค้า!A:D,4,FALSE),"")</f>
        <v/>
      </c>
      <c r="E840" s="9"/>
      <c r="F840" s="21" t="str">
        <f t="shared" si="20"/>
        <v/>
      </c>
      <c r="G840" s="22"/>
      <c r="H840" s="8">
        <f>IFERROR(VLOOKUP(G840,ซื้อสินค้า!H:I,2,FALSE),)</f>
        <v>0</v>
      </c>
      <c r="I840" s="21">
        <f>IFERROR(VLOOKUP(G840,ซื้อสินค้า!H:J,3,FALSE),)</f>
        <v>0</v>
      </c>
      <c r="J840" s="21">
        <f t="shared" si="21"/>
        <v>0</v>
      </c>
      <c r="K840" s="21">
        <f t="shared" si="22"/>
        <v>0</v>
      </c>
      <c r="L840" s="12">
        <f t="shared" si="23"/>
        <v>0</v>
      </c>
      <c r="M840" s="21">
        <f t="shared" si="24"/>
        <v>0</v>
      </c>
      <c r="N840" s="9" t="str">
        <f ca="1">IFERROR(__xludf.DUMMYFUNCTION("IF(G840&lt;&gt;"""",G840, IFERROR(TRANSPOSE(FILTER('ซื้อสินค้า'!H:H,'ซื้อสินค้า'!B:B=B840,'ซื้อสินค้า'!I:I&gt;0)),))"),"")</f>
        <v/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spans="1:32">
      <c r="A841" s="5"/>
      <c r="B841" s="6"/>
      <c r="C841" s="20">
        <f>IFERROR(VLOOKUP(B841,ชื่อสินค้า!A:C,3,FALSE),)</f>
        <v>0</v>
      </c>
      <c r="D841" s="8" t="str">
        <f>IFERROR(VLOOKUP(B841,ชื่อสินค้า!A:D,4,FALSE),"")</f>
        <v/>
      </c>
      <c r="E841" s="9"/>
      <c r="F841" s="21" t="str">
        <f t="shared" si="20"/>
        <v/>
      </c>
      <c r="G841" s="22"/>
      <c r="H841" s="8">
        <f>IFERROR(VLOOKUP(G841,ซื้อสินค้า!H:I,2,FALSE),)</f>
        <v>0</v>
      </c>
      <c r="I841" s="21">
        <f>IFERROR(VLOOKUP(G841,ซื้อสินค้า!H:J,3,FALSE),)</f>
        <v>0</v>
      </c>
      <c r="J841" s="21">
        <f t="shared" si="21"/>
        <v>0</v>
      </c>
      <c r="K841" s="21">
        <f t="shared" si="22"/>
        <v>0</v>
      </c>
      <c r="L841" s="12">
        <f t="shared" si="23"/>
        <v>0</v>
      </c>
      <c r="M841" s="21">
        <f t="shared" si="24"/>
        <v>0</v>
      </c>
      <c r="N841" s="9" t="str">
        <f ca="1">IFERROR(__xludf.DUMMYFUNCTION("IF(G841&lt;&gt;"""",G841, IFERROR(TRANSPOSE(FILTER('ซื้อสินค้า'!H:H,'ซื้อสินค้า'!B:B=B841,'ซื้อสินค้า'!I:I&gt;0)),))"),"")</f>
        <v/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spans="1:32">
      <c r="A842" s="5"/>
      <c r="B842" s="6"/>
      <c r="C842" s="20">
        <f>IFERROR(VLOOKUP(B842,ชื่อสินค้า!A:C,3,FALSE),)</f>
        <v>0</v>
      </c>
      <c r="D842" s="8" t="str">
        <f>IFERROR(VLOOKUP(B842,ชื่อสินค้า!A:D,4,FALSE),"")</f>
        <v/>
      </c>
      <c r="E842" s="9"/>
      <c r="F842" s="21" t="str">
        <f t="shared" si="20"/>
        <v/>
      </c>
      <c r="G842" s="22"/>
      <c r="H842" s="8">
        <f>IFERROR(VLOOKUP(G842,ซื้อสินค้า!H:I,2,FALSE),)</f>
        <v>0</v>
      </c>
      <c r="I842" s="21">
        <f>IFERROR(VLOOKUP(G842,ซื้อสินค้า!H:J,3,FALSE),)</f>
        <v>0</v>
      </c>
      <c r="J842" s="21">
        <f t="shared" si="21"/>
        <v>0</v>
      </c>
      <c r="K842" s="21">
        <f t="shared" si="22"/>
        <v>0</v>
      </c>
      <c r="L842" s="12">
        <f t="shared" si="23"/>
        <v>0</v>
      </c>
      <c r="M842" s="21">
        <f t="shared" si="24"/>
        <v>0</v>
      </c>
      <c r="N842" s="9" t="str">
        <f ca="1">IFERROR(__xludf.DUMMYFUNCTION("IF(G842&lt;&gt;"""",G842, IFERROR(TRANSPOSE(FILTER('ซื้อสินค้า'!H:H,'ซื้อสินค้า'!B:B=B842,'ซื้อสินค้า'!I:I&gt;0)),))"),"")</f>
        <v/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spans="1:32">
      <c r="A843" s="5"/>
      <c r="B843" s="6"/>
      <c r="C843" s="20">
        <f>IFERROR(VLOOKUP(B843,ชื่อสินค้า!A:C,3,FALSE),)</f>
        <v>0</v>
      </c>
      <c r="D843" s="8" t="str">
        <f>IFERROR(VLOOKUP(B843,ชื่อสินค้า!A:D,4,FALSE),"")</f>
        <v/>
      </c>
      <c r="E843" s="9"/>
      <c r="F843" s="21" t="str">
        <f t="shared" si="20"/>
        <v/>
      </c>
      <c r="G843" s="22"/>
      <c r="H843" s="8">
        <f>IFERROR(VLOOKUP(G843,ซื้อสินค้า!H:I,2,FALSE),)</f>
        <v>0</v>
      </c>
      <c r="I843" s="21">
        <f>IFERROR(VLOOKUP(G843,ซื้อสินค้า!H:J,3,FALSE),)</f>
        <v>0</v>
      </c>
      <c r="J843" s="21">
        <f t="shared" si="21"/>
        <v>0</v>
      </c>
      <c r="K843" s="21">
        <f t="shared" si="22"/>
        <v>0</v>
      </c>
      <c r="L843" s="12">
        <f t="shared" si="23"/>
        <v>0</v>
      </c>
      <c r="M843" s="21">
        <f t="shared" si="24"/>
        <v>0</v>
      </c>
      <c r="N843" s="9" t="str">
        <f ca="1">IFERROR(__xludf.DUMMYFUNCTION("IF(G843&lt;&gt;"""",G843, IFERROR(TRANSPOSE(FILTER('ซื้อสินค้า'!H:H,'ซื้อสินค้า'!B:B=B843,'ซื้อสินค้า'!I:I&gt;0)),))"),"")</f>
        <v/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spans="1:32">
      <c r="A844" s="5"/>
      <c r="B844" s="6"/>
      <c r="C844" s="20">
        <f>IFERROR(VLOOKUP(B844,ชื่อสินค้า!A:C,3,FALSE),)</f>
        <v>0</v>
      </c>
      <c r="D844" s="8" t="str">
        <f>IFERROR(VLOOKUP(B844,ชื่อสินค้า!A:D,4,FALSE),"")</f>
        <v/>
      </c>
      <c r="E844" s="9"/>
      <c r="F844" s="21" t="str">
        <f t="shared" si="20"/>
        <v/>
      </c>
      <c r="G844" s="22"/>
      <c r="H844" s="8">
        <f>IFERROR(VLOOKUP(G844,ซื้อสินค้า!H:I,2,FALSE),)</f>
        <v>0</v>
      </c>
      <c r="I844" s="21">
        <f>IFERROR(VLOOKUP(G844,ซื้อสินค้า!H:J,3,FALSE),)</f>
        <v>0</v>
      </c>
      <c r="J844" s="21">
        <f t="shared" si="21"/>
        <v>0</v>
      </c>
      <c r="K844" s="21">
        <f t="shared" si="22"/>
        <v>0</v>
      </c>
      <c r="L844" s="12">
        <f t="shared" si="23"/>
        <v>0</v>
      </c>
      <c r="M844" s="21">
        <f t="shared" si="24"/>
        <v>0</v>
      </c>
      <c r="N844" s="9" t="str">
        <f ca="1">IFERROR(__xludf.DUMMYFUNCTION("IF(G844&lt;&gt;"""",G844, IFERROR(TRANSPOSE(FILTER('ซื้อสินค้า'!H:H,'ซื้อสินค้า'!B:B=B844,'ซื้อสินค้า'!I:I&gt;0)),))"),"")</f>
        <v/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spans="1:32">
      <c r="A845" s="5"/>
      <c r="B845" s="6"/>
      <c r="C845" s="20">
        <f>IFERROR(VLOOKUP(B845,ชื่อสินค้า!A:C,3,FALSE),)</f>
        <v>0</v>
      </c>
      <c r="D845" s="8" t="str">
        <f>IFERROR(VLOOKUP(B845,ชื่อสินค้า!A:D,4,FALSE),"")</f>
        <v/>
      </c>
      <c r="E845" s="9"/>
      <c r="F845" s="21" t="str">
        <f t="shared" si="20"/>
        <v/>
      </c>
      <c r="G845" s="22"/>
      <c r="H845" s="8">
        <f>IFERROR(VLOOKUP(G845,ซื้อสินค้า!H:I,2,FALSE),)</f>
        <v>0</v>
      </c>
      <c r="I845" s="21">
        <f>IFERROR(VLOOKUP(G845,ซื้อสินค้า!H:J,3,FALSE),)</f>
        <v>0</v>
      </c>
      <c r="J845" s="21">
        <f t="shared" si="21"/>
        <v>0</v>
      </c>
      <c r="K845" s="21">
        <f t="shared" si="22"/>
        <v>0</v>
      </c>
      <c r="L845" s="12">
        <f t="shared" si="23"/>
        <v>0</v>
      </c>
      <c r="M845" s="21">
        <f t="shared" si="24"/>
        <v>0</v>
      </c>
      <c r="N845" s="9" t="str">
        <f ca="1">IFERROR(__xludf.DUMMYFUNCTION("IF(G845&lt;&gt;"""",G845, IFERROR(TRANSPOSE(FILTER('ซื้อสินค้า'!H:H,'ซื้อสินค้า'!B:B=B845,'ซื้อสินค้า'!I:I&gt;0)),))"),"")</f>
        <v/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spans="1:32">
      <c r="A846" s="5"/>
      <c r="B846" s="6"/>
      <c r="C846" s="20">
        <f>IFERROR(VLOOKUP(B846,ชื่อสินค้า!A:C,3,FALSE),)</f>
        <v>0</v>
      </c>
      <c r="D846" s="8" t="str">
        <f>IFERROR(VLOOKUP(B846,ชื่อสินค้า!A:D,4,FALSE),"")</f>
        <v/>
      </c>
      <c r="E846" s="9"/>
      <c r="F846" s="21" t="str">
        <f t="shared" si="20"/>
        <v/>
      </c>
      <c r="G846" s="22"/>
      <c r="H846" s="8">
        <f>IFERROR(VLOOKUP(G846,ซื้อสินค้า!H:I,2,FALSE),)</f>
        <v>0</v>
      </c>
      <c r="I846" s="21">
        <f>IFERROR(VLOOKUP(G846,ซื้อสินค้า!H:J,3,FALSE),)</f>
        <v>0</v>
      </c>
      <c r="J846" s="21">
        <f t="shared" si="21"/>
        <v>0</v>
      </c>
      <c r="K846" s="21">
        <f t="shared" si="22"/>
        <v>0</v>
      </c>
      <c r="L846" s="12">
        <f t="shared" si="23"/>
        <v>0</v>
      </c>
      <c r="M846" s="21">
        <f t="shared" si="24"/>
        <v>0</v>
      </c>
      <c r="N846" s="9" t="str">
        <f ca="1">IFERROR(__xludf.DUMMYFUNCTION("IF(G846&lt;&gt;"""",G846, IFERROR(TRANSPOSE(FILTER('ซื้อสินค้า'!H:H,'ซื้อสินค้า'!B:B=B846,'ซื้อสินค้า'!I:I&gt;0)),))"),"")</f>
        <v/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spans="1:32">
      <c r="A847" s="5"/>
      <c r="B847" s="6"/>
      <c r="C847" s="20">
        <f>IFERROR(VLOOKUP(B847,ชื่อสินค้า!A:C,3,FALSE),)</f>
        <v>0</v>
      </c>
      <c r="D847" s="8" t="str">
        <f>IFERROR(VLOOKUP(B847,ชื่อสินค้า!A:D,4,FALSE),"")</f>
        <v/>
      </c>
      <c r="E847" s="9"/>
      <c r="F847" s="21" t="str">
        <f t="shared" si="20"/>
        <v/>
      </c>
      <c r="G847" s="22"/>
      <c r="H847" s="8">
        <f>IFERROR(VLOOKUP(G847,ซื้อสินค้า!H:I,2,FALSE),)</f>
        <v>0</v>
      </c>
      <c r="I847" s="21">
        <f>IFERROR(VLOOKUP(G847,ซื้อสินค้า!H:J,3,FALSE),)</f>
        <v>0</v>
      </c>
      <c r="J847" s="21">
        <f t="shared" si="21"/>
        <v>0</v>
      </c>
      <c r="K847" s="21">
        <f t="shared" si="22"/>
        <v>0</v>
      </c>
      <c r="L847" s="12">
        <f t="shared" si="23"/>
        <v>0</v>
      </c>
      <c r="M847" s="21">
        <f t="shared" si="24"/>
        <v>0</v>
      </c>
      <c r="N847" s="9" t="str">
        <f ca="1">IFERROR(__xludf.DUMMYFUNCTION("IF(G847&lt;&gt;"""",G847, IFERROR(TRANSPOSE(FILTER('ซื้อสินค้า'!H:H,'ซื้อสินค้า'!B:B=B847,'ซื้อสินค้า'!I:I&gt;0)),))"),"")</f>
        <v/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spans="1:32">
      <c r="A848" s="5"/>
      <c r="B848" s="6"/>
      <c r="C848" s="20">
        <f>IFERROR(VLOOKUP(B848,ชื่อสินค้า!A:C,3,FALSE),)</f>
        <v>0</v>
      </c>
      <c r="D848" s="8" t="str">
        <f>IFERROR(VLOOKUP(B848,ชื่อสินค้า!A:D,4,FALSE),"")</f>
        <v/>
      </c>
      <c r="E848" s="9"/>
      <c r="F848" s="21" t="str">
        <f t="shared" si="20"/>
        <v/>
      </c>
      <c r="G848" s="22"/>
      <c r="H848" s="8">
        <f>IFERROR(VLOOKUP(G848,ซื้อสินค้า!H:I,2,FALSE),)</f>
        <v>0</v>
      </c>
      <c r="I848" s="21">
        <f>IFERROR(VLOOKUP(G848,ซื้อสินค้า!H:J,3,FALSE),)</f>
        <v>0</v>
      </c>
      <c r="J848" s="21">
        <f t="shared" si="21"/>
        <v>0</v>
      </c>
      <c r="K848" s="21">
        <f t="shared" si="22"/>
        <v>0</v>
      </c>
      <c r="L848" s="12">
        <f t="shared" si="23"/>
        <v>0</v>
      </c>
      <c r="M848" s="21">
        <f t="shared" si="24"/>
        <v>0</v>
      </c>
      <c r="N848" s="9" t="str">
        <f ca="1">IFERROR(__xludf.DUMMYFUNCTION("IF(G848&lt;&gt;"""",G848, IFERROR(TRANSPOSE(FILTER('ซื้อสินค้า'!H:H,'ซื้อสินค้า'!B:B=B848,'ซื้อสินค้า'!I:I&gt;0)),))"),"")</f>
        <v/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spans="1:32">
      <c r="A849" s="5"/>
      <c r="B849" s="6"/>
      <c r="C849" s="20">
        <f>IFERROR(VLOOKUP(B849,ชื่อสินค้า!A:C,3,FALSE),)</f>
        <v>0</v>
      </c>
      <c r="D849" s="8" t="str">
        <f>IFERROR(VLOOKUP(B849,ชื่อสินค้า!A:D,4,FALSE),"")</f>
        <v/>
      </c>
      <c r="E849" s="9"/>
      <c r="F849" s="21" t="str">
        <f t="shared" si="20"/>
        <v/>
      </c>
      <c r="G849" s="22"/>
      <c r="H849" s="8">
        <f>IFERROR(VLOOKUP(G849,ซื้อสินค้า!H:I,2,FALSE),)</f>
        <v>0</v>
      </c>
      <c r="I849" s="21">
        <f>IFERROR(VLOOKUP(G849,ซื้อสินค้า!H:J,3,FALSE),)</f>
        <v>0</v>
      </c>
      <c r="J849" s="21">
        <f t="shared" si="21"/>
        <v>0</v>
      </c>
      <c r="K849" s="21">
        <f t="shared" si="22"/>
        <v>0</v>
      </c>
      <c r="L849" s="12">
        <f t="shared" si="23"/>
        <v>0</v>
      </c>
      <c r="M849" s="21">
        <f t="shared" si="24"/>
        <v>0</v>
      </c>
      <c r="N849" s="9" t="str">
        <f ca="1">IFERROR(__xludf.DUMMYFUNCTION("IF(G849&lt;&gt;"""",G849, IFERROR(TRANSPOSE(FILTER('ซื้อสินค้า'!H:H,'ซื้อสินค้า'!B:B=B849,'ซื้อสินค้า'!I:I&gt;0)),))"),"")</f>
        <v/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spans="1:32">
      <c r="A850" s="5"/>
      <c r="B850" s="6"/>
      <c r="C850" s="20">
        <f>IFERROR(VLOOKUP(B850,ชื่อสินค้า!A:C,3,FALSE),)</f>
        <v>0</v>
      </c>
      <c r="D850" s="8" t="str">
        <f>IFERROR(VLOOKUP(B850,ชื่อสินค้า!A:D,4,FALSE),"")</f>
        <v/>
      </c>
      <c r="E850" s="9"/>
      <c r="F850" s="21" t="str">
        <f t="shared" si="20"/>
        <v/>
      </c>
      <c r="G850" s="22"/>
      <c r="H850" s="8">
        <f>IFERROR(VLOOKUP(G850,ซื้อสินค้า!H:I,2,FALSE),)</f>
        <v>0</v>
      </c>
      <c r="I850" s="21">
        <f>IFERROR(VLOOKUP(G850,ซื้อสินค้า!H:J,3,FALSE),)</f>
        <v>0</v>
      </c>
      <c r="J850" s="21">
        <f t="shared" si="21"/>
        <v>0</v>
      </c>
      <c r="K850" s="21">
        <f t="shared" si="22"/>
        <v>0</v>
      </c>
      <c r="L850" s="12">
        <f t="shared" si="23"/>
        <v>0</v>
      </c>
      <c r="M850" s="21">
        <f t="shared" si="24"/>
        <v>0</v>
      </c>
      <c r="N850" s="9" t="str">
        <f ca="1">IFERROR(__xludf.DUMMYFUNCTION("IF(G850&lt;&gt;"""",G850, IFERROR(TRANSPOSE(FILTER('ซื้อสินค้า'!H:H,'ซื้อสินค้า'!B:B=B850,'ซื้อสินค้า'!I:I&gt;0)),))"),"")</f>
        <v/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spans="1:32">
      <c r="A851" s="5"/>
      <c r="B851" s="6"/>
      <c r="C851" s="20">
        <f>IFERROR(VLOOKUP(B851,ชื่อสินค้า!A:C,3,FALSE),)</f>
        <v>0</v>
      </c>
      <c r="D851" s="8" t="str">
        <f>IFERROR(VLOOKUP(B851,ชื่อสินค้า!A:D,4,FALSE),"")</f>
        <v/>
      </c>
      <c r="E851" s="9"/>
      <c r="F851" s="21" t="str">
        <f t="shared" si="20"/>
        <v/>
      </c>
      <c r="G851" s="22"/>
      <c r="H851" s="8">
        <f>IFERROR(VLOOKUP(G851,ซื้อสินค้า!H:I,2,FALSE),)</f>
        <v>0</v>
      </c>
      <c r="I851" s="21">
        <f>IFERROR(VLOOKUP(G851,ซื้อสินค้า!H:J,3,FALSE),)</f>
        <v>0</v>
      </c>
      <c r="J851" s="21">
        <f t="shared" si="21"/>
        <v>0</v>
      </c>
      <c r="K851" s="21">
        <f t="shared" si="22"/>
        <v>0</v>
      </c>
      <c r="L851" s="12">
        <f t="shared" si="23"/>
        <v>0</v>
      </c>
      <c r="M851" s="21">
        <f t="shared" si="24"/>
        <v>0</v>
      </c>
      <c r="N851" s="9" t="str">
        <f ca="1">IFERROR(__xludf.DUMMYFUNCTION("IF(G851&lt;&gt;"""",G851, IFERROR(TRANSPOSE(FILTER('ซื้อสินค้า'!H:H,'ซื้อสินค้า'!B:B=B851,'ซื้อสินค้า'!I:I&gt;0)),))"),"")</f>
        <v/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spans="1:32">
      <c r="A852" s="5"/>
      <c r="B852" s="6"/>
      <c r="C852" s="20">
        <f>IFERROR(VLOOKUP(B852,ชื่อสินค้า!A:C,3,FALSE),)</f>
        <v>0</v>
      </c>
      <c r="D852" s="8" t="str">
        <f>IFERROR(VLOOKUP(B852,ชื่อสินค้า!A:D,4,FALSE),"")</f>
        <v/>
      </c>
      <c r="E852" s="9"/>
      <c r="F852" s="21" t="str">
        <f t="shared" si="20"/>
        <v/>
      </c>
      <c r="G852" s="22"/>
      <c r="H852" s="8">
        <f>IFERROR(VLOOKUP(G852,ซื้อสินค้า!H:I,2,FALSE),)</f>
        <v>0</v>
      </c>
      <c r="I852" s="21">
        <f>IFERROR(VLOOKUP(G852,ซื้อสินค้า!H:J,3,FALSE),)</f>
        <v>0</v>
      </c>
      <c r="J852" s="21">
        <f t="shared" si="21"/>
        <v>0</v>
      </c>
      <c r="K852" s="21">
        <f t="shared" si="22"/>
        <v>0</v>
      </c>
      <c r="L852" s="12">
        <f t="shared" si="23"/>
        <v>0</v>
      </c>
      <c r="M852" s="21">
        <f t="shared" si="24"/>
        <v>0</v>
      </c>
      <c r="N852" s="9" t="str">
        <f ca="1">IFERROR(__xludf.DUMMYFUNCTION("IF(G852&lt;&gt;"""",G852, IFERROR(TRANSPOSE(FILTER('ซื้อสินค้า'!H:H,'ซื้อสินค้า'!B:B=B852,'ซื้อสินค้า'!I:I&gt;0)),))"),"")</f>
        <v/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spans="1:32">
      <c r="A853" s="5"/>
      <c r="B853" s="6"/>
      <c r="C853" s="20">
        <f>IFERROR(VLOOKUP(B853,ชื่อสินค้า!A:C,3,FALSE),)</f>
        <v>0</v>
      </c>
      <c r="D853" s="8" t="str">
        <f>IFERROR(VLOOKUP(B853,ชื่อสินค้า!A:D,4,FALSE),"")</f>
        <v/>
      </c>
      <c r="E853" s="9"/>
      <c r="F853" s="21" t="str">
        <f t="shared" si="20"/>
        <v/>
      </c>
      <c r="G853" s="22"/>
      <c r="H853" s="8">
        <f>IFERROR(VLOOKUP(G853,ซื้อสินค้า!H:I,2,FALSE),)</f>
        <v>0</v>
      </c>
      <c r="I853" s="21">
        <f>IFERROR(VLOOKUP(G853,ซื้อสินค้า!H:J,3,FALSE),)</f>
        <v>0</v>
      </c>
      <c r="J853" s="21">
        <f t="shared" si="21"/>
        <v>0</v>
      </c>
      <c r="K853" s="21">
        <f t="shared" si="22"/>
        <v>0</v>
      </c>
      <c r="L853" s="12">
        <f t="shared" si="23"/>
        <v>0</v>
      </c>
      <c r="M853" s="21">
        <f t="shared" si="24"/>
        <v>0</v>
      </c>
      <c r="N853" s="9" t="str">
        <f ca="1">IFERROR(__xludf.DUMMYFUNCTION("IF(G853&lt;&gt;"""",G853, IFERROR(TRANSPOSE(FILTER('ซื้อสินค้า'!H:H,'ซื้อสินค้า'!B:B=B853,'ซื้อสินค้า'!I:I&gt;0)),))"),"")</f>
        <v/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spans="1:32">
      <c r="A854" s="5"/>
      <c r="B854" s="6"/>
      <c r="C854" s="20">
        <f>IFERROR(VLOOKUP(B854,ชื่อสินค้า!A:C,3,FALSE),)</f>
        <v>0</v>
      </c>
      <c r="D854" s="8" t="str">
        <f>IFERROR(VLOOKUP(B854,ชื่อสินค้า!A:D,4,FALSE),"")</f>
        <v/>
      </c>
      <c r="E854" s="9"/>
      <c r="F854" s="21" t="str">
        <f t="shared" si="20"/>
        <v/>
      </c>
      <c r="G854" s="22"/>
      <c r="H854" s="8">
        <f>IFERROR(VLOOKUP(G854,ซื้อสินค้า!H:I,2,FALSE),)</f>
        <v>0</v>
      </c>
      <c r="I854" s="21">
        <f>IFERROR(VLOOKUP(G854,ซื้อสินค้า!H:J,3,FALSE),)</f>
        <v>0</v>
      </c>
      <c r="J854" s="21">
        <f t="shared" si="21"/>
        <v>0</v>
      </c>
      <c r="K854" s="21">
        <f t="shared" si="22"/>
        <v>0</v>
      </c>
      <c r="L854" s="12">
        <f t="shared" si="23"/>
        <v>0</v>
      </c>
      <c r="M854" s="21">
        <f t="shared" si="24"/>
        <v>0</v>
      </c>
      <c r="N854" s="9" t="str">
        <f ca="1">IFERROR(__xludf.DUMMYFUNCTION("IF(G854&lt;&gt;"""",G854, IFERROR(TRANSPOSE(FILTER('ซื้อสินค้า'!H:H,'ซื้อสินค้า'!B:B=B854,'ซื้อสินค้า'!I:I&gt;0)),))"),"")</f>
        <v/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spans="1:32">
      <c r="A855" s="5"/>
      <c r="B855" s="6"/>
      <c r="C855" s="20">
        <f>IFERROR(VLOOKUP(B855,ชื่อสินค้า!A:C,3,FALSE),)</f>
        <v>0</v>
      </c>
      <c r="D855" s="8" t="str">
        <f>IFERROR(VLOOKUP(B855,ชื่อสินค้า!A:D,4,FALSE),"")</f>
        <v/>
      </c>
      <c r="E855" s="9"/>
      <c r="F855" s="21" t="str">
        <f t="shared" si="20"/>
        <v/>
      </c>
      <c r="G855" s="22"/>
      <c r="H855" s="8">
        <f>IFERROR(VLOOKUP(G855,ซื้อสินค้า!H:I,2,FALSE),)</f>
        <v>0</v>
      </c>
      <c r="I855" s="21">
        <f>IFERROR(VLOOKUP(G855,ซื้อสินค้า!H:J,3,FALSE),)</f>
        <v>0</v>
      </c>
      <c r="J855" s="21">
        <f t="shared" si="21"/>
        <v>0</v>
      </c>
      <c r="K855" s="21">
        <f t="shared" si="22"/>
        <v>0</v>
      </c>
      <c r="L855" s="12">
        <f t="shared" si="23"/>
        <v>0</v>
      </c>
      <c r="M855" s="21">
        <f t="shared" si="24"/>
        <v>0</v>
      </c>
      <c r="N855" s="9" t="str">
        <f ca="1">IFERROR(__xludf.DUMMYFUNCTION("IF(G855&lt;&gt;"""",G855, IFERROR(TRANSPOSE(FILTER('ซื้อสินค้า'!H:H,'ซื้อสินค้า'!B:B=B855,'ซื้อสินค้า'!I:I&gt;0)),))"),"")</f>
        <v/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spans="1:32">
      <c r="A856" s="5"/>
      <c r="B856" s="6"/>
      <c r="C856" s="20">
        <f>IFERROR(VLOOKUP(B856,ชื่อสินค้า!A:C,3,FALSE),)</f>
        <v>0</v>
      </c>
      <c r="D856" s="8" t="str">
        <f>IFERROR(VLOOKUP(B856,ชื่อสินค้า!A:D,4,FALSE),"")</f>
        <v/>
      </c>
      <c r="E856" s="9"/>
      <c r="F856" s="21" t="str">
        <f t="shared" si="20"/>
        <v/>
      </c>
      <c r="G856" s="22"/>
      <c r="H856" s="8">
        <f>IFERROR(VLOOKUP(G856,ซื้อสินค้า!H:I,2,FALSE),)</f>
        <v>0</v>
      </c>
      <c r="I856" s="21">
        <f>IFERROR(VLOOKUP(G856,ซื้อสินค้า!H:J,3,FALSE),)</f>
        <v>0</v>
      </c>
      <c r="J856" s="21">
        <f t="shared" si="21"/>
        <v>0</v>
      </c>
      <c r="K856" s="21">
        <f t="shared" si="22"/>
        <v>0</v>
      </c>
      <c r="L856" s="12">
        <f t="shared" si="23"/>
        <v>0</v>
      </c>
      <c r="M856" s="21">
        <f t="shared" si="24"/>
        <v>0</v>
      </c>
      <c r="N856" s="9" t="str">
        <f ca="1">IFERROR(__xludf.DUMMYFUNCTION("IF(G856&lt;&gt;"""",G856, IFERROR(TRANSPOSE(FILTER('ซื้อสินค้า'!H:H,'ซื้อสินค้า'!B:B=B856,'ซื้อสินค้า'!I:I&gt;0)),))"),"")</f>
        <v/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spans="1:32">
      <c r="A857" s="5"/>
      <c r="B857" s="6"/>
      <c r="C857" s="20">
        <f>IFERROR(VLOOKUP(B857,ชื่อสินค้า!A:C,3,FALSE),)</f>
        <v>0</v>
      </c>
      <c r="D857" s="8" t="str">
        <f>IFERROR(VLOOKUP(B857,ชื่อสินค้า!A:D,4,FALSE),"")</f>
        <v/>
      </c>
      <c r="E857" s="9"/>
      <c r="F857" s="21" t="str">
        <f t="shared" si="20"/>
        <v/>
      </c>
      <c r="G857" s="22"/>
      <c r="H857" s="8">
        <f>IFERROR(VLOOKUP(G857,ซื้อสินค้า!H:I,2,FALSE),)</f>
        <v>0</v>
      </c>
      <c r="I857" s="21">
        <f>IFERROR(VLOOKUP(G857,ซื้อสินค้า!H:J,3,FALSE),)</f>
        <v>0</v>
      </c>
      <c r="J857" s="21">
        <f t="shared" si="21"/>
        <v>0</v>
      </c>
      <c r="K857" s="21">
        <f t="shared" si="22"/>
        <v>0</v>
      </c>
      <c r="L857" s="12">
        <f t="shared" si="23"/>
        <v>0</v>
      </c>
      <c r="M857" s="21">
        <f t="shared" si="24"/>
        <v>0</v>
      </c>
      <c r="N857" s="9" t="str">
        <f ca="1">IFERROR(__xludf.DUMMYFUNCTION("IF(G857&lt;&gt;"""",G857, IFERROR(TRANSPOSE(FILTER('ซื้อสินค้า'!H:H,'ซื้อสินค้า'!B:B=B857,'ซื้อสินค้า'!I:I&gt;0)),))"),"")</f>
        <v/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spans="1:32">
      <c r="A858" s="5"/>
      <c r="B858" s="6"/>
      <c r="C858" s="20">
        <f>IFERROR(VLOOKUP(B858,ชื่อสินค้า!A:C,3,FALSE),)</f>
        <v>0</v>
      </c>
      <c r="D858" s="8" t="str">
        <f>IFERROR(VLOOKUP(B858,ชื่อสินค้า!A:D,4,FALSE),"")</f>
        <v/>
      </c>
      <c r="E858" s="9"/>
      <c r="F858" s="21" t="str">
        <f t="shared" si="20"/>
        <v/>
      </c>
      <c r="G858" s="22"/>
      <c r="H858" s="8">
        <f>IFERROR(VLOOKUP(G858,ซื้อสินค้า!H:I,2,FALSE),)</f>
        <v>0</v>
      </c>
      <c r="I858" s="21">
        <f>IFERROR(VLOOKUP(G858,ซื้อสินค้า!H:J,3,FALSE),)</f>
        <v>0</v>
      </c>
      <c r="J858" s="21">
        <f t="shared" si="21"/>
        <v>0</v>
      </c>
      <c r="K858" s="21">
        <f t="shared" si="22"/>
        <v>0</v>
      </c>
      <c r="L858" s="12">
        <f t="shared" si="23"/>
        <v>0</v>
      </c>
      <c r="M858" s="21">
        <f t="shared" si="24"/>
        <v>0</v>
      </c>
      <c r="N858" s="9" t="str">
        <f ca="1">IFERROR(__xludf.DUMMYFUNCTION("IF(G858&lt;&gt;"""",G858, IFERROR(TRANSPOSE(FILTER('ซื้อสินค้า'!H:H,'ซื้อสินค้า'!B:B=B858,'ซื้อสินค้า'!I:I&gt;0)),))"),"")</f>
        <v/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spans="1:32">
      <c r="A859" s="5"/>
      <c r="B859" s="6"/>
      <c r="C859" s="20">
        <f>IFERROR(VLOOKUP(B859,ชื่อสินค้า!A:C,3,FALSE),)</f>
        <v>0</v>
      </c>
      <c r="D859" s="8" t="str">
        <f>IFERROR(VLOOKUP(B859,ชื่อสินค้า!A:D,4,FALSE),"")</f>
        <v/>
      </c>
      <c r="E859" s="9"/>
      <c r="F859" s="21" t="str">
        <f t="shared" si="20"/>
        <v/>
      </c>
      <c r="G859" s="22"/>
      <c r="H859" s="8">
        <f>IFERROR(VLOOKUP(G859,ซื้อสินค้า!H:I,2,FALSE),)</f>
        <v>0</v>
      </c>
      <c r="I859" s="21">
        <f>IFERROR(VLOOKUP(G859,ซื้อสินค้า!H:J,3,FALSE),)</f>
        <v>0</v>
      </c>
      <c r="J859" s="21">
        <f t="shared" si="21"/>
        <v>0</v>
      </c>
      <c r="K859" s="21">
        <f t="shared" si="22"/>
        <v>0</v>
      </c>
      <c r="L859" s="12">
        <f t="shared" si="23"/>
        <v>0</v>
      </c>
      <c r="M859" s="21">
        <f t="shared" si="24"/>
        <v>0</v>
      </c>
      <c r="N859" s="9" t="str">
        <f ca="1">IFERROR(__xludf.DUMMYFUNCTION("IF(G859&lt;&gt;"""",G859, IFERROR(TRANSPOSE(FILTER('ซื้อสินค้า'!H:H,'ซื้อสินค้า'!B:B=B859,'ซื้อสินค้า'!I:I&gt;0)),))"),"")</f>
        <v/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spans="1:32">
      <c r="A860" s="5"/>
      <c r="B860" s="6"/>
      <c r="C860" s="20">
        <f>IFERROR(VLOOKUP(B860,ชื่อสินค้า!A:C,3,FALSE),)</f>
        <v>0</v>
      </c>
      <c r="D860" s="8" t="str">
        <f>IFERROR(VLOOKUP(B860,ชื่อสินค้า!A:D,4,FALSE),"")</f>
        <v/>
      </c>
      <c r="E860" s="9"/>
      <c r="F860" s="21" t="str">
        <f t="shared" si="20"/>
        <v/>
      </c>
      <c r="G860" s="22"/>
      <c r="H860" s="8">
        <f>IFERROR(VLOOKUP(G860,ซื้อสินค้า!H:I,2,FALSE),)</f>
        <v>0</v>
      </c>
      <c r="I860" s="21">
        <f>IFERROR(VLOOKUP(G860,ซื้อสินค้า!H:J,3,FALSE),)</f>
        <v>0</v>
      </c>
      <c r="J860" s="21">
        <f t="shared" si="21"/>
        <v>0</v>
      </c>
      <c r="K860" s="21">
        <f t="shared" si="22"/>
        <v>0</v>
      </c>
      <c r="L860" s="12">
        <f t="shared" si="23"/>
        <v>0</v>
      </c>
      <c r="M860" s="21">
        <f t="shared" si="24"/>
        <v>0</v>
      </c>
      <c r="N860" s="9" t="str">
        <f ca="1">IFERROR(__xludf.DUMMYFUNCTION("IF(G860&lt;&gt;"""",G860, IFERROR(TRANSPOSE(FILTER('ซื้อสินค้า'!H:H,'ซื้อสินค้า'!B:B=B860,'ซื้อสินค้า'!I:I&gt;0)),))"),"")</f>
        <v/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spans="1:32">
      <c r="A861" s="5"/>
      <c r="B861" s="6"/>
      <c r="C861" s="20">
        <f>IFERROR(VLOOKUP(B861,ชื่อสินค้า!A:C,3,FALSE),)</f>
        <v>0</v>
      </c>
      <c r="D861" s="8" t="str">
        <f>IFERROR(VLOOKUP(B861,ชื่อสินค้า!A:D,4,FALSE),"")</f>
        <v/>
      </c>
      <c r="E861" s="9"/>
      <c r="F861" s="21" t="str">
        <f t="shared" si="20"/>
        <v/>
      </c>
      <c r="G861" s="22"/>
      <c r="H861" s="8">
        <f>IFERROR(VLOOKUP(G861,ซื้อสินค้า!H:I,2,FALSE),)</f>
        <v>0</v>
      </c>
      <c r="I861" s="21">
        <f>IFERROR(VLOOKUP(G861,ซื้อสินค้า!H:J,3,FALSE),)</f>
        <v>0</v>
      </c>
      <c r="J861" s="21">
        <f t="shared" si="21"/>
        <v>0</v>
      </c>
      <c r="K861" s="21">
        <f t="shared" si="22"/>
        <v>0</v>
      </c>
      <c r="L861" s="12">
        <f t="shared" si="23"/>
        <v>0</v>
      </c>
      <c r="M861" s="21">
        <f t="shared" si="24"/>
        <v>0</v>
      </c>
      <c r="N861" s="9" t="str">
        <f ca="1">IFERROR(__xludf.DUMMYFUNCTION("IF(G861&lt;&gt;"""",G861, IFERROR(TRANSPOSE(FILTER('ซื้อสินค้า'!H:H,'ซื้อสินค้า'!B:B=B861,'ซื้อสินค้า'!I:I&gt;0)),))"),"")</f>
        <v/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spans="1:32">
      <c r="A862" s="5"/>
      <c r="B862" s="6"/>
      <c r="C862" s="20">
        <f>IFERROR(VLOOKUP(B862,ชื่อสินค้า!A:C,3,FALSE),)</f>
        <v>0</v>
      </c>
      <c r="D862" s="8" t="str">
        <f>IFERROR(VLOOKUP(B862,ชื่อสินค้า!A:D,4,FALSE),"")</f>
        <v/>
      </c>
      <c r="E862" s="9"/>
      <c r="F862" s="21" t="str">
        <f t="shared" si="20"/>
        <v/>
      </c>
      <c r="G862" s="22"/>
      <c r="H862" s="8">
        <f>IFERROR(VLOOKUP(G862,ซื้อสินค้า!H:I,2,FALSE),)</f>
        <v>0</v>
      </c>
      <c r="I862" s="21">
        <f>IFERROR(VLOOKUP(G862,ซื้อสินค้า!H:J,3,FALSE),)</f>
        <v>0</v>
      </c>
      <c r="J862" s="21">
        <f t="shared" si="21"/>
        <v>0</v>
      </c>
      <c r="K862" s="21">
        <f t="shared" si="22"/>
        <v>0</v>
      </c>
      <c r="L862" s="12">
        <f t="shared" si="23"/>
        <v>0</v>
      </c>
      <c r="M862" s="21">
        <f t="shared" si="24"/>
        <v>0</v>
      </c>
      <c r="N862" s="9" t="str">
        <f ca="1">IFERROR(__xludf.DUMMYFUNCTION("IF(G862&lt;&gt;"""",G862, IFERROR(TRANSPOSE(FILTER('ซื้อสินค้า'!H:H,'ซื้อสินค้า'!B:B=B862,'ซื้อสินค้า'!I:I&gt;0)),))"),"")</f>
        <v/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spans="1:32">
      <c r="A863" s="5"/>
      <c r="B863" s="6"/>
      <c r="C863" s="20">
        <f>IFERROR(VLOOKUP(B863,ชื่อสินค้า!A:C,3,FALSE),)</f>
        <v>0</v>
      </c>
      <c r="D863" s="8" t="str">
        <f>IFERROR(VLOOKUP(B863,ชื่อสินค้า!A:D,4,FALSE),"")</f>
        <v/>
      </c>
      <c r="E863" s="9"/>
      <c r="F863" s="21" t="str">
        <f t="shared" si="20"/>
        <v/>
      </c>
      <c r="G863" s="22"/>
      <c r="H863" s="8">
        <f>IFERROR(VLOOKUP(G863,ซื้อสินค้า!H:I,2,FALSE),)</f>
        <v>0</v>
      </c>
      <c r="I863" s="21">
        <f>IFERROR(VLOOKUP(G863,ซื้อสินค้า!H:J,3,FALSE),)</f>
        <v>0</v>
      </c>
      <c r="J863" s="21">
        <f t="shared" si="21"/>
        <v>0</v>
      </c>
      <c r="K863" s="21">
        <f t="shared" si="22"/>
        <v>0</v>
      </c>
      <c r="L863" s="12">
        <f t="shared" si="23"/>
        <v>0</v>
      </c>
      <c r="M863" s="21">
        <f t="shared" si="24"/>
        <v>0</v>
      </c>
      <c r="N863" s="9" t="str">
        <f ca="1">IFERROR(__xludf.DUMMYFUNCTION("IF(G863&lt;&gt;"""",G863, IFERROR(TRANSPOSE(FILTER('ซื้อสินค้า'!H:H,'ซื้อสินค้า'!B:B=B863,'ซื้อสินค้า'!I:I&gt;0)),))"),"")</f>
        <v/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spans="1:32">
      <c r="A864" s="5"/>
      <c r="B864" s="6"/>
      <c r="C864" s="20">
        <f>IFERROR(VLOOKUP(B864,ชื่อสินค้า!A:C,3,FALSE),)</f>
        <v>0</v>
      </c>
      <c r="D864" s="8" t="str">
        <f>IFERROR(VLOOKUP(B864,ชื่อสินค้า!A:D,4,FALSE),"")</f>
        <v/>
      </c>
      <c r="E864" s="9"/>
      <c r="F864" s="21" t="str">
        <f t="shared" si="20"/>
        <v/>
      </c>
      <c r="G864" s="22"/>
      <c r="H864" s="8">
        <f>IFERROR(VLOOKUP(G864,ซื้อสินค้า!H:I,2,FALSE),)</f>
        <v>0</v>
      </c>
      <c r="I864" s="21">
        <f>IFERROR(VLOOKUP(G864,ซื้อสินค้า!H:J,3,FALSE),)</f>
        <v>0</v>
      </c>
      <c r="J864" s="21">
        <f t="shared" si="21"/>
        <v>0</v>
      </c>
      <c r="K864" s="21">
        <f t="shared" si="22"/>
        <v>0</v>
      </c>
      <c r="L864" s="12">
        <f t="shared" si="23"/>
        <v>0</v>
      </c>
      <c r="M864" s="21">
        <f t="shared" si="24"/>
        <v>0</v>
      </c>
      <c r="N864" s="9" t="str">
        <f ca="1">IFERROR(__xludf.DUMMYFUNCTION("IF(G864&lt;&gt;"""",G864, IFERROR(TRANSPOSE(FILTER('ซื้อสินค้า'!H:H,'ซื้อสินค้า'!B:B=B864,'ซื้อสินค้า'!I:I&gt;0)),))"),"")</f>
        <v/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spans="1:32">
      <c r="A865" s="5"/>
      <c r="B865" s="6"/>
      <c r="C865" s="20">
        <f>IFERROR(VLOOKUP(B865,ชื่อสินค้า!A:C,3,FALSE),)</f>
        <v>0</v>
      </c>
      <c r="D865" s="8" t="str">
        <f>IFERROR(VLOOKUP(B865,ชื่อสินค้า!A:D,4,FALSE),"")</f>
        <v/>
      </c>
      <c r="E865" s="9"/>
      <c r="F865" s="21" t="str">
        <f t="shared" si="20"/>
        <v/>
      </c>
      <c r="G865" s="22"/>
      <c r="H865" s="8">
        <f>IFERROR(VLOOKUP(G865,ซื้อสินค้า!H:I,2,FALSE),)</f>
        <v>0</v>
      </c>
      <c r="I865" s="21">
        <f>IFERROR(VLOOKUP(G865,ซื้อสินค้า!H:J,3,FALSE),)</f>
        <v>0</v>
      </c>
      <c r="J865" s="21">
        <f t="shared" si="21"/>
        <v>0</v>
      </c>
      <c r="K865" s="21">
        <f t="shared" si="22"/>
        <v>0</v>
      </c>
      <c r="L865" s="12">
        <f t="shared" si="23"/>
        <v>0</v>
      </c>
      <c r="M865" s="21">
        <f t="shared" si="24"/>
        <v>0</v>
      </c>
      <c r="N865" s="9" t="str">
        <f ca="1">IFERROR(__xludf.DUMMYFUNCTION("IF(G865&lt;&gt;"""",G865, IFERROR(TRANSPOSE(FILTER('ซื้อสินค้า'!H:H,'ซื้อสินค้า'!B:B=B865,'ซื้อสินค้า'!I:I&gt;0)),))"),"")</f>
        <v/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spans="1:32">
      <c r="A866" s="5"/>
      <c r="B866" s="6"/>
      <c r="C866" s="20">
        <f>IFERROR(VLOOKUP(B866,ชื่อสินค้า!A:C,3,FALSE),)</f>
        <v>0</v>
      </c>
      <c r="D866" s="8" t="str">
        <f>IFERROR(VLOOKUP(B866,ชื่อสินค้า!A:D,4,FALSE),"")</f>
        <v/>
      </c>
      <c r="E866" s="9"/>
      <c r="F866" s="21" t="str">
        <f t="shared" si="20"/>
        <v/>
      </c>
      <c r="G866" s="22"/>
      <c r="H866" s="8">
        <f>IFERROR(VLOOKUP(G866,ซื้อสินค้า!H:I,2,FALSE),)</f>
        <v>0</v>
      </c>
      <c r="I866" s="21">
        <f>IFERROR(VLOOKUP(G866,ซื้อสินค้า!H:J,3,FALSE),)</f>
        <v>0</v>
      </c>
      <c r="J866" s="21">
        <f t="shared" si="21"/>
        <v>0</v>
      </c>
      <c r="K866" s="21">
        <f t="shared" si="22"/>
        <v>0</v>
      </c>
      <c r="L866" s="12">
        <f t="shared" si="23"/>
        <v>0</v>
      </c>
      <c r="M866" s="21">
        <f t="shared" si="24"/>
        <v>0</v>
      </c>
      <c r="N866" s="9" t="str">
        <f ca="1">IFERROR(__xludf.DUMMYFUNCTION("IF(G866&lt;&gt;"""",G866, IFERROR(TRANSPOSE(FILTER('ซื้อสินค้า'!H:H,'ซื้อสินค้า'!B:B=B866,'ซื้อสินค้า'!I:I&gt;0)),))"),"")</f>
        <v/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spans="1:32">
      <c r="A867" s="5"/>
      <c r="B867" s="6"/>
      <c r="C867" s="20">
        <f>IFERROR(VLOOKUP(B867,ชื่อสินค้า!A:C,3,FALSE),)</f>
        <v>0</v>
      </c>
      <c r="D867" s="8" t="str">
        <f>IFERROR(VLOOKUP(B867,ชื่อสินค้า!A:D,4,FALSE),"")</f>
        <v/>
      </c>
      <c r="E867" s="9"/>
      <c r="F867" s="21" t="str">
        <f t="shared" si="20"/>
        <v/>
      </c>
      <c r="G867" s="22"/>
      <c r="H867" s="8">
        <f>IFERROR(VLOOKUP(G867,ซื้อสินค้า!H:I,2,FALSE),)</f>
        <v>0</v>
      </c>
      <c r="I867" s="21">
        <f>IFERROR(VLOOKUP(G867,ซื้อสินค้า!H:J,3,FALSE),)</f>
        <v>0</v>
      </c>
      <c r="J867" s="21">
        <f t="shared" si="21"/>
        <v>0</v>
      </c>
      <c r="K867" s="21">
        <f t="shared" si="22"/>
        <v>0</v>
      </c>
      <c r="L867" s="12">
        <f t="shared" si="23"/>
        <v>0</v>
      </c>
      <c r="M867" s="21">
        <f t="shared" si="24"/>
        <v>0</v>
      </c>
      <c r="N867" s="9" t="str">
        <f ca="1">IFERROR(__xludf.DUMMYFUNCTION("IF(G867&lt;&gt;"""",G867, IFERROR(TRANSPOSE(FILTER('ซื้อสินค้า'!H:H,'ซื้อสินค้า'!B:B=B867,'ซื้อสินค้า'!I:I&gt;0)),))"),"")</f>
        <v/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spans="1:32">
      <c r="A868" s="5"/>
      <c r="B868" s="6"/>
      <c r="C868" s="20">
        <f>IFERROR(VLOOKUP(B868,ชื่อสินค้า!A:C,3,FALSE),)</f>
        <v>0</v>
      </c>
      <c r="D868" s="8" t="str">
        <f>IFERROR(VLOOKUP(B868,ชื่อสินค้า!A:D,4,FALSE),"")</f>
        <v/>
      </c>
      <c r="E868" s="9"/>
      <c r="F868" s="21" t="str">
        <f t="shared" si="20"/>
        <v/>
      </c>
      <c r="G868" s="22"/>
      <c r="H868" s="8">
        <f>IFERROR(VLOOKUP(G868,ซื้อสินค้า!H:I,2,FALSE),)</f>
        <v>0</v>
      </c>
      <c r="I868" s="21">
        <f>IFERROR(VLOOKUP(G868,ซื้อสินค้า!H:J,3,FALSE),)</f>
        <v>0</v>
      </c>
      <c r="J868" s="21">
        <f t="shared" si="21"/>
        <v>0</v>
      </c>
      <c r="K868" s="21">
        <f t="shared" si="22"/>
        <v>0</v>
      </c>
      <c r="L868" s="12">
        <f t="shared" si="23"/>
        <v>0</v>
      </c>
      <c r="M868" s="21">
        <f t="shared" si="24"/>
        <v>0</v>
      </c>
      <c r="N868" s="9" t="str">
        <f ca="1">IFERROR(__xludf.DUMMYFUNCTION("IF(G868&lt;&gt;"""",G868, IFERROR(TRANSPOSE(FILTER('ซื้อสินค้า'!H:H,'ซื้อสินค้า'!B:B=B868,'ซื้อสินค้า'!I:I&gt;0)),))"),"")</f>
        <v/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spans="1:32">
      <c r="A869" s="5"/>
      <c r="B869" s="6"/>
      <c r="C869" s="20">
        <f>IFERROR(VLOOKUP(B869,ชื่อสินค้า!A:C,3,FALSE),)</f>
        <v>0</v>
      </c>
      <c r="D869" s="8" t="str">
        <f>IFERROR(VLOOKUP(B869,ชื่อสินค้า!A:D,4,FALSE),"")</f>
        <v/>
      </c>
      <c r="E869" s="9"/>
      <c r="F869" s="21" t="str">
        <f t="shared" si="20"/>
        <v/>
      </c>
      <c r="G869" s="22"/>
      <c r="H869" s="8">
        <f>IFERROR(VLOOKUP(G869,ซื้อสินค้า!H:I,2,FALSE),)</f>
        <v>0</v>
      </c>
      <c r="I869" s="21">
        <f>IFERROR(VLOOKUP(G869,ซื้อสินค้า!H:J,3,FALSE),)</f>
        <v>0</v>
      </c>
      <c r="J869" s="21">
        <f t="shared" si="21"/>
        <v>0</v>
      </c>
      <c r="K869" s="21">
        <f t="shared" si="22"/>
        <v>0</v>
      </c>
      <c r="L869" s="12">
        <f t="shared" si="23"/>
        <v>0</v>
      </c>
      <c r="M869" s="21">
        <f t="shared" si="24"/>
        <v>0</v>
      </c>
      <c r="N869" s="9" t="str">
        <f ca="1">IFERROR(__xludf.DUMMYFUNCTION("IF(G869&lt;&gt;"""",G869, IFERROR(TRANSPOSE(FILTER('ซื้อสินค้า'!H:H,'ซื้อสินค้า'!B:B=B869,'ซื้อสินค้า'!I:I&gt;0)),))"),"")</f>
        <v/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spans="1:32">
      <c r="A870" s="5"/>
      <c r="B870" s="6"/>
      <c r="C870" s="20">
        <f>IFERROR(VLOOKUP(B870,ชื่อสินค้า!A:C,3,FALSE),)</f>
        <v>0</v>
      </c>
      <c r="D870" s="8" t="str">
        <f>IFERROR(VLOOKUP(B870,ชื่อสินค้า!A:D,4,FALSE),"")</f>
        <v/>
      </c>
      <c r="E870" s="9"/>
      <c r="F870" s="21" t="str">
        <f t="shared" si="20"/>
        <v/>
      </c>
      <c r="G870" s="22"/>
      <c r="H870" s="8">
        <f>IFERROR(VLOOKUP(G870,ซื้อสินค้า!H:I,2,FALSE),)</f>
        <v>0</v>
      </c>
      <c r="I870" s="21">
        <f>IFERROR(VLOOKUP(G870,ซื้อสินค้า!H:J,3,FALSE),)</f>
        <v>0</v>
      </c>
      <c r="J870" s="21">
        <f t="shared" si="21"/>
        <v>0</v>
      </c>
      <c r="K870" s="21">
        <f t="shared" si="22"/>
        <v>0</v>
      </c>
      <c r="L870" s="12">
        <f t="shared" si="23"/>
        <v>0</v>
      </c>
      <c r="M870" s="21">
        <f t="shared" si="24"/>
        <v>0</v>
      </c>
      <c r="N870" s="9" t="str">
        <f ca="1">IFERROR(__xludf.DUMMYFUNCTION("IF(G870&lt;&gt;"""",G870, IFERROR(TRANSPOSE(FILTER('ซื้อสินค้า'!H:H,'ซื้อสินค้า'!B:B=B870,'ซื้อสินค้า'!I:I&gt;0)),))"),"")</f>
        <v/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spans="1:32">
      <c r="A871" s="5"/>
      <c r="B871" s="6"/>
      <c r="C871" s="20">
        <f>IFERROR(VLOOKUP(B871,ชื่อสินค้า!A:C,3,FALSE),)</f>
        <v>0</v>
      </c>
      <c r="D871" s="8" t="str">
        <f>IFERROR(VLOOKUP(B871,ชื่อสินค้า!A:D,4,FALSE),"")</f>
        <v/>
      </c>
      <c r="E871" s="9"/>
      <c r="F871" s="21" t="str">
        <f t="shared" si="20"/>
        <v/>
      </c>
      <c r="G871" s="22"/>
      <c r="H871" s="8">
        <f>IFERROR(VLOOKUP(G871,ซื้อสินค้า!H:I,2,FALSE),)</f>
        <v>0</v>
      </c>
      <c r="I871" s="21">
        <f>IFERROR(VLOOKUP(G871,ซื้อสินค้า!H:J,3,FALSE),)</f>
        <v>0</v>
      </c>
      <c r="J871" s="21">
        <f t="shared" si="21"/>
        <v>0</v>
      </c>
      <c r="K871" s="21">
        <f t="shared" si="22"/>
        <v>0</v>
      </c>
      <c r="L871" s="12">
        <f t="shared" si="23"/>
        <v>0</v>
      </c>
      <c r="M871" s="21">
        <f t="shared" si="24"/>
        <v>0</v>
      </c>
      <c r="N871" s="9" t="str">
        <f ca="1">IFERROR(__xludf.DUMMYFUNCTION("IF(G871&lt;&gt;"""",G871, IFERROR(TRANSPOSE(FILTER('ซื้อสินค้า'!H:H,'ซื้อสินค้า'!B:B=B871,'ซื้อสินค้า'!I:I&gt;0)),))"),"")</f>
        <v/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spans="1:32">
      <c r="A872" s="5"/>
      <c r="B872" s="6"/>
      <c r="C872" s="20">
        <f>IFERROR(VLOOKUP(B872,ชื่อสินค้า!A:C,3,FALSE),)</f>
        <v>0</v>
      </c>
      <c r="D872" s="8" t="str">
        <f>IFERROR(VLOOKUP(B872,ชื่อสินค้า!A:D,4,FALSE),"")</f>
        <v/>
      </c>
      <c r="E872" s="9"/>
      <c r="F872" s="21" t="str">
        <f t="shared" si="20"/>
        <v/>
      </c>
      <c r="G872" s="22"/>
      <c r="H872" s="8">
        <f>IFERROR(VLOOKUP(G872,ซื้อสินค้า!H:I,2,FALSE),)</f>
        <v>0</v>
      </c>
      <c r="I872" s="21">
        <f>IFERROR(VLOOKUP(G872,ซื้อสินค้า!H:J,3,FALSE),)</f>
        <v>0</v>
      </c>
      <c r="J872" s="21">
        <f t="shared" si="21"/>
        <v>0</v>
      </c>
      <c r="K872" s="21">
        <f t="shared" si="22"/>
        <v>0</v>
      </c>
      <c r="L872" s="12">
        <f t="shared" si="23"/>
        <v>0</v>
      </c>
      <c r="M872" s="21">
        <f t="shared" si="24"/>
        <v>0</v>
      </c>
      <c r="N872" s="9" t="str">
        <f ca="1">IFERROR(__xludf.DUMMYFUNCTION("IF(G872&lt;&gt;"""",G872, IFERROR(TRANSPOSE(FILTER('ซื้อสินค้า'!H:H,'ซื้อสินค้า'!B:B=B872,'ซื้อสินค้า'!I:I&gt;0)),))"),"")</f>
        <v/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spans="1:32">
      <c r="A873" s="5"/>
      <c r="B873" s="6"/>
      <c r="C873" s="20">
        <f>IFERROR(VLOOKUP(B873,ชื่อสินค้า!A:C,3,FALSE),)</f>
        <v>0</v>
      </c>
      <c r="D873" s="8" t="str">
        <f>IFERROR(VLOOKUP(B873,ชื่อสินค้า!A:D,4,FALSE),"")</f>
        <v/>
      </c>
      <c r="E873" s="9"/>
      <c r="F873" s="21" t="str">
        <f t="shared" si="20"/>
        <v/>
      </c>
      <c r="G873" s="22"/>
      <c r="H873" s="8">
        <f>IFERROR(VLOOKUP(G873,ซื้อสินค้า!H:I,2,FALSE),)</f>
        <v>0</v>
      </c>
      <c r="I873" s="21">
        <f>IFERROR(VLOOKUP(G873,ซื้อสินค้า!H:J,3,FALSE),)</f>
        <v>0</v>
      </c>
      <c r="J873" s="21">
        <f t="shared" si="21"/>
        <v>0</v>
      </c>
      <c r="K873" s="21">
        <f t="shared" si="22"/>
        <v>0</v>
      </c>
      <c r="L873" s="12">
        <f t="shared" si="23"/>
        <v>0</v>
      </c>
      <c r="M873" s="21">
        <f t="shared" si="24"/>
        <v>0</v>
      </c>
      <c r="N873" s="9" t="str">
        <f ca="1">IFERROR(__xludf.DUMMYFUNCTION("IF(G873&lt;&gt;"""",G873, IFERROR(TRANSPOSE(FILTER('ซื้อสินค้า'!H:H,'ซื้อสินค้า'!B:B=B873,'ซื้อสินค้า'!I:I&gt;0)),))"),"")</f>
        <v/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spans="1:32">
      <c r="A874" s="5"/>
      <c r="B874" s="6"/>
      <c r="C874" s="20">
        <f>IFERROR(VLOOKUP(B874,ชื่อสินค้า!A:C,3,FALSE),)</f>
        <v>0</v>
      </c>
      <c r="D874" s="8" t="str">
        <f>IFERROR(VLOOKUP(B874,ชื่อสินค้า!A:D,4,FALSE),"")</f>
        <v/>
      </c>
      <c r="E874" s="9"/>
      <c r="F874" s="21" t="str">
        <f t="shared" si="20"/>
        <v/>
      </c>
      <c r="G874" s="22"/>
      <c r="H874" s="8">
        <f>IFERROR(VLOOKUP(G874,ซื้อสินค้า!H:I,2,FALSE),)</f>
        <v>0</v>
      </c>
      <c r="I874" s="21">
        <f>IFERROR(VLOOKUP(G874,ซื้อสินค้า!H:J,3,FALSE),)</f>
        <v>0</v>
      </c>
      <c r="J874" s="21">
        <f t="shared" si="21"/>
        <v>0</v>
      </c>
      <c r="K874" s="21">
        <f t="shared" si="22"/>
        <v>0</v>
      </c>
      <c r="L874" s="12">
        <f t="shared" si="23"/>
        <v>0</v>
      </c>
      <c r="M874" s="21">
        <f t="shared" si="24"/>
        <v>0</v>
      </c>
      <c r="N874" s="9" t="str">
        <f ca="1">IFERROR(__xludf.DUMMYFUNCTION("IF(G874&lt;&gt;"""",G874, IFERROR(TRANSPOSE(FILTER('ซื้อสินค้า'!H:H,'ซื้อสินค้า'!B:B=B874,'ซื้อสินค้า'!I:I&gt;0)),))"),"")</f>
        <v/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spans="1:32">
      <c r="A875" s="5"/>
      <c r="B875" s="6"/>
      <c r="C875" s="20">
        <f>IFERROR(VLOOKUP(B875,ชื่อสินค้า!A:C,3,FALSE),)</f>
        <v>0</v>
      </c>
      <c r="D875" s="8" t="str">
        <f>IFERROR(VLOOKUP(B875,ชื่อสินค้า!A:D,4,FALSE),"")</f>
        <v/>
      </c>
      <c r="E875" s="9"/>
      <c r="F875" s="21" t="str">
        <f t="shared" si="20"/>
        <v/>
      </c>
      <c r="G875" s="22"/>
      <c r="H875" s="8">
        <f>IFERROR(VLOOKUP(G875,ซื้อสินค้า!H:I,2,FALSE),)</f>
        <v>0</v>
      </c>
      <c r="I875" s="21">
        <f>IFERROR(VLOOKUP(G875,ซื้อสินค้า!H:J,3,FALSE),)</f>
        <v>0</v>
      </c>
      <c r="J875" s="21">
        <f t="shared" si="21"/>
        <v>0</v>
      </c>
      <c r="K875" s="21">
        <f t="shared" si="22"/>
        <v>0</v>
      </c>
      <c r="L875" s="12">
        <f t="shared" si="23"/>
        <v>0</v>
      </c>
      <c r="M875" s="21">
        <f t="shared" si="24"/>
        <v>0</v>
      </c>
      <c r="N875" s="9" t="str">
        <f ca="1">IFERROR(__xludf.DUMMYFUNCTION("IF(G875&lt;&gt;"""",G875, IFERROR(TRANSPOSE(FILTER('ซื้อสินค้า'!H:H,'ซื้อสินค้า'!B:B=B875,'ซื้อสินค้า'!I:I&gt;0)),))"),"")</f>
        <v/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spans="1:32">
      <c r="A876" s="5"/>
      <c r="B876" s="6"/>
      <c r="C876" s="20">
        <f>IFERROR(VLOOKUP(B876,ชื่อสินค้า!A:C,3,FALSE),)</f>
        <v>0</v>
      </c>
      <c r="D876" s="8" t="str">
        <f>IFERROR(VLOOKUP(B876,ชื่อสินค้า!A:D,4,FALSE),"")</f>
        <v/>
      </c>
      <c r="E876" s="9"/>
      <c r="F876" s="21" t="str">
        <f t="shared" si="20"/>
        <v/>
      </c>
      <c r="G876" s="22"/>
      <c r="H876" s="8">
        <f>IFERROR(VLOOKUP(G876,ซื้อสินค้า!H:I,2,FALSE),)</f>
        <v>0</v>
      </c>
      <c r="I876" s="21">
        <f>IFERROR(VLOOKUP(G876,ซื้อสินค้า!H:J,3,FALSE),)</f>
        <v>0</v>
      </c>
      <c r="J876" s="21">
        <f t="shared" si="21"/>
        <v>0</v>
      </c>
      <c r="K876" s="21">
        <f t="shared" si="22"/>
        <v>0</v>
      </c>
      <c r="L876" s="12">
        <f t="shared" si="23"/>
        <v>0</v>
      </c>
      <c r="M876" s="21">
        <f t="shared" si="24"/>
        <v>0</v>
      </c>
      <c r="N876" s="9" t="str">
        <f ca="1">IFERROR(__xludf.DUMMYFUNCTION("IF(G876&lt;&gt;"""",G876, IFERROR(TRANSPOSE(FILTER('ซื้อสินค้า'!H:H,'ซื้อสินค้า'!B:B=B876,'ซื้อสินค้า'!I:I&gt;0)),))"),"")</f>
        <v/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spans="1:32">
      <c r="A877" s="5"/>
      <c r="B877" s="6"/>
      <c r="C877" s="20">
        <f>IFERROR(VLOOKUP(B877,ชื่อสินค้า!A:C,3,FALSE),)</f>
        <v>0</v>
      </c>
      <c r="D877" s="8" t="str">
        <f>IFERROR(VLOOKUP(B877,ชื่อสินค้า!A:D,4,FALSE),"")</f>
        <v/>
      </c>
      <c r="E877" s="9"/>
      <c r="F877" s="21" t="str">
        <f t="shared" si="20"/>
        <v/>
      </c>
      <c r="G877" s="22"/>
      <c r="H877" s="8">
        <f>IFERROR(VLOOKUP(G877,ซื้อสินค้า!H:I,2,FALSE),)</f>
        <v>0</v>
      </c>
      <c r="I877" s="21">
        <f>IFERROR(VLOOKUP(G877,ซื้อสินค้า!H:J,3,FALSE),)</f>
        <v>0</v>
      </c>
      <c r="J877" s="21">
        <f t="shared" si="21"/>
        <v>0</v>
      </c>
      <c r="K877" s="21">
        <f t="shared" si="22"/>
        <v>0</v>
      </c>
      <c r="L877" s="12">
        <f t="shared" si="23"/>
        <v>0</v>
      </c>
      <c r="M877" s="21">
        <f t="shared" si="24"/>
        <v>0</v>
      </c>
      <c r="N877" s="9" t="str">
        <f ca="1">IFERROR(__xludf.DUMMYFUNCTION("IF(G877&lt;&gt;"""",G877, IFERROR(TRANSPOSE(FILTER('ซื้อสินค้า'!H:H,'ซื้อสินค้า'!B:B=B877,'ซื้อสินค้า'!I:I&gt;0)),))"),"")</f>
        <v/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spans="1:32">
      <c r="A878" s="5"/>
      <c r="B878" s="6"/>
      <c r="C878" s="20">
        <f>IFERROR(VLOOKUP(B878,ชื่อสินค้า!A:C,3,FALSE),)</f>
        <v>0</v>
      </c>
      <c r="D878" s="8" t="str">
        <f>IFERROR(VLOOKUP(B878,ชื่อสินค้า!A:D,4,FALSE),"")</f>
        <v/>
      </c>
      <c r="E878" s="9"/>
      <c r="F878" s="21" t="str">
        <f t="shared" si="20"/>
        <v/>
      </c>
      <c r="G878" s="22"/>
      <c r="H878" s="8">
        <f>IFERROR(VLOOKUP(G878,ซื้อสินค้า!H:I,2,FALSE),)</f>
        <v>0</v>
      </c>
      <c r="I878" s="21">
        <f>IFERROR(VLOOKUP(G878,ซื้อสินค้า!H:J,3,FALSE),)</f>
        <v>0</v>
      </c>
      <c r="J878" s="21">
        <f t="shared" si="21"/>
        <v>0</v>
      </c>
      <c r="K878" s="21">
        <f t="shared" si="22"/>
        <v>0</v>
      </c>
      <c r="L878" s="12">
        <f t="shared" si="23"/>
        <v>0</v>
      </c>
      <c r="M878" s="21">
        <f t="shared" si="24"/>
        <v>0</v>
      </c>
      <c r="N878" s="9" t="str">
        <f ca="1">IFERROR(__xludf.DUMMYFUNCTION("IF(G878&lt;&gt;"""",G878, IFERROR(TRANSPOSE(FILTER('ซื้อสินค้า'!H:H,'ซื้อสินค้า'!B:B=B878,'ซื้อสินค้า'!I:I&gt;0)),))"),"")</f>
        <v/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spans="1:32">
      <c r="A879" s="5"/>
      <c r="B879" s="6"/>
      <c r="C879" s="20">
        <f>IFERROR(VLOOKUP(B879,ชื่อสินค้า!A:C,3,FALSE),)</f>
        <v>0</v>
      </c>
      <c r="D879" s="8" t="str">
        <f>IFERROR(VLOOKUP(B879,ชื่อสินค้า!A:D,4,FALSE),"")</f>
        <v/>
      </c>
      <c r="E879" s="9"/>
      <c r="F879" s="21" t="str">
        <f t="shared" si="20"/>
        <v/>
      </c>
      <c r="G879" s="22"/>
      <c r="H879" s="8">
        <f>IFERROR(VLOOKUP(G879,ซื้อสินค้า!H:I,2,FALSE),)</f>
        <v>0</v>
      </c>
      <c r="I879" s="21">
        <f>IFERROR(VLOOKUP(G879,ซื้อสินค้า!H:J,3,FALSE),)</f>
        <v>0</v>
      </c>
      <c r="J879" s="21">
        <f t="shared" si="21"/>
        <v>0</v>
      </c>
      <c r="K879" s="21">
        <f t="shared" si="22"/>
        <v>0</v>
      </c>
      <c r="L879" s="12">
        <f t="shared" si="23"/>
        <v>0</v>
      </c>
      <c r="M879" s="21">
        <f t="shared" si="24"/>
        <v>0</v>
      </c>
      <c r="N879" s="9" t="str">
        <f ca="1">IFERROR(__xludf.DUMMYFUNCTION("IF(G879&lt;&gt;"""",G879, IFERROR(TRANSPOSE(FILTER('ซื้อสินค้า'!H:H,'ซื้อสินค้า'!B:B=B879,'ซื้อสินค้า'!I:I&gt;0)),))"),"")</f>
        <v/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spans="1:32">
      <c r="A880" s="5"/>
      <c r="B880" s="6"/>
      <c r="C880" s="20">
        <f>IFERROR(VLOOKUP(B880,ชื่อสินค้า!A:C,3,FALSE),)</f>
        <v>0</v>
      </c>
      <c r="D880" s="8" t="str">
        <f>IFERROR(VLOOKUP(B880,ชื่อสินค้า!A:D,4,FALSE),"")</f>
        <v/>
      </c>
      <c r="E880" s="9"/>
      <c r="F880" s="21" t="str">
        <f t="shared" si="20"/>
        <v/>
      </c>
      <c r="G880" s="22"/>
      <c r="H880" s="8">
        <f>IFERROR(VLOOKUP(G880,ซื้อสินค้า!H:I,2,FALSE),)</f>
        <v>0</v>
      </c>
      <c r="I880" s="21">
        <f>IFERROR(VLOOKUP(G880,ซื้อสินค้า!H:J,3,FALSE),)</f>
        <v>0</v>
      </c>
      <c r="J880" s="21">
        <f t="shared" si="21"/>
        <v>0</v>
      </c>
      <c r="K880" s="21">
        <f t="shared" si="22"/>
        <v>0</v>
      </c>
      <c r="L880" s="12">
        <f t="shared" si="23"/>
        <v>0</v>
      </c>
      <c r="M880" s="21">
        <f t="shared" si="24"/>
        <v>0</v>
      </c>
      <c r="N880" s="9" t="str">
        <f ca="1">IFERROR(__xludf.DUMMYFUNCTION("IF(G880&lt;&gt;"""",G880, IFERROR(TRANSPOSE(FILTER('ซื้อสินค้า'!H:H,'ซื้อสินค้า'!B:B=B880,'ซื้อสินค้า'!I:I&gt;0)),))"),"")</f>
        <v/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spans="1:32">
      <c r="A881" s="5"/>
      <c r="B881" s="6"/>
      <c r="C881" s="20">
        <f>IFERROR(VLOOKUP(B881,ชื่อสินค้า!A:C,3,FALSE),)</f>
        <v>0</v>
      </c>
      <c r="D881" s="8" t="str">
        <f>IFERROR(VLOOKUP(B881,ชื่อสินค้า!A:D,4,FALSE),"")</f>
        <v/>
      </c>
      <c r="E881" s="9"/>
      <c r="F881" s="21" t="str">
        <f t="shared" si="20"/>
        <v/>
      </c>
      <c r="G881" s="22"/>
      <c r="H881" s="8">
        <f>IFERROR(VLOOKUP(G881,ซื้อสินค้า!H:I,2,FALSE),)</f>
        <v>0</v>
      </c>
      <c r="I881" s="21">
        <f>IFERROR(VLOOKUP(G881,ซื้อสินค้า!H:J,3,FALSE),)</f>
        <v>0</v>
      </c>
      <c r="J881" s="21">
        <f t="shared" si="21"/>
        <v>0</v>
      </c>
      <c r="K881" s="21">
        <f t="shared" si="22"/>
        <v>0</v>
      </c>
      <c r="L881" s="12">
        <f t="shared" si="23"/>
        <v>0</v>
      </c>
      <c r="M881" s="21">
        <f t="shared" si="24"/>
        <v>0</v>
      </c>
      <c r="N881" s="9" t="str">
        <f ca="1">IFERROR(__xludf.DUMMYFUNCTION("IF(G881&lt;&gt;"""",G881, IFERROR(TRANSPOSE(FILTER('ซื้อสินค้า'!H:H,'ซื้อสินค้า'!B:B=B881,'ซื้อสินค้า'!I:I&gt;0)),))"),"")</f>
        <v/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spans="1:32">
      <c r="A882" s="5"/>
      <c r="B882" s="6"/>
      <c r="C882" s="20">
        <f>IFERROR(VLOOKUP(B882,ชื่อสินค้า!A:C,3,FALSE),)</f>
        <v>0</v>
      </c>
      <c r="D882" s="8" t="str">
        <f>IFERROR(VLOOKUP(B882,ชื่อสินค้า!A:D,4,FALSE),"")</f>
        <v/>
      </c>
      <c r="E882" s="9"/>
      <c r="F882" s="21" t="str">
        <f t="shared" si="20"/>
        <v/>
      </c>
      <c r="G882" s="22"/>
      <c r="H882" s="8">
        <f>IFERROR(VLOOKUP(G882,ซื้อสินค้า!H:I,2,FALSE),)</f>
        <v>0</v>
      </c>
      <c r="I882" s="21">
        <f>IFERROR(VLOOKUP(G882,ซื้อสินค้า!H:J,3,FALSE),)</f>
        <v>0</v>
      </c>
      <c r="J882" s="21">
        <f t="shared" si="21"/>
        <v>0</v>
      </c>
      <c r="K882" s="21">
        <f t="shared" si="22"/>
        <v>0</v>
      </c>
      <c r="L882" s="12">
        <f t="shared" si="23"/>
        <v>0</v>
      </c>
      <c r="M882" s="21">
        <f t="shared" si="24"/>
        <v>0</v>
      </c>
      <c r="N882" s="9" t="str">
        <f ca="1">IFERROR(__xludf.DUMMYFUNCTION("IF(G882&lt;&gt;"""",G882, IFERROR(TRANSPOSE(FILTER('ซื้อสินค้า'!H:H,'ซื้อสินค้า'!B:B=B882,'ซื้อสินค้า'!I:I&gt;0)),))"),"")</f>
        <v/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spans="1:32">
      <c r="A883" s="5"/>
      <c r="B883" s="6"/>
      <c r="C883" s="20">
        <f>IFERROR(VLOOKUP(B883,ชื่อสินค้า!A:C,3,FALSE),)</f>
        <v>0</v>
      </c>
      <c r="D883" s="8" t="str">
        <f>IFERROR(VLOOKUP(B883,ชื่อสินค้า!A:D,4,FALSE),"")</f>
        <v/>
      </c>
      <c r="E883" s="9"/>
      <c r="F883" s="21" t="str">
        <f t="shared" si="20"/>
        <v/>
      </c>
      <c r="G883" s="22"/>
      <c r="H883" s="8">
        <f>IFERROR(VLOOKUP(G883,ซื้อสินค้า!H:I,2,FALSE),)</f>
        <v>0</v>
      </c>
      <c r="I883" s="21">
        <f>IFERROR(VLOOKUP(G883,ซื้อสินค้า!H:J,3,FALSE),)</f>
        <v>0</v>
      </c>
      <c r="J883" s="21">
        <f t="shared" si="21"/>
        <v>0</v>
      </c>
      <c r="K883" s="21">
        <f t="shared" si="22"/>
        <v>0</v>
      </c>
      <c r="L883" s="12">
        <f t="shared" si="23"/>
        <v>0</v>
      </c>
      <c r="M883" s="21">
        <f t="shared" si="24"/>
        <v>0</v>
      </c>
      <c r="N883" s="9" t="str">
        <f ca="1">IFERROR(__xludf.DUMMYFUNCTION("IF(G883&lt;&gt;"""",G883, IFERROR(TRANSPOSE(FILTER('ซื้อสินค้า'!H:H,'ซื้อสินค้า'!B:B=B883,'ซื้อสินค้า'!I:I&gt;0)),))"),"")</f>
        <v/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spans="1:32">
      <c r="A884" s="5"/>
      <c r="B884" s="6"/>
      <c r="C884" s="20">
        <f>IFERROR(VLOOKUP(B884,ชื่อสินค้า!A:C,3,FALSE),)</f>
        <v>0</v>
      </c>
      <c r="D884" s="8" t="str">
        <f>IFERROR(VLOOKUP(B884,ชื่อสินค้า!A:D,4,FALSE),"")</f>
        <v/>
      </c>
      <c r="E884" s="9"/>
      <c r="F884" s="21" t="str">
        <f t="shared" si="20"/>
        <v/>
      </c>
      <c r="G884" s="22"/>
      <c r="H884" s="8">
        <f>IFERROR(VLOOKUP(G884,ซื้อสินค้า!H:I,2,FALSE),)</f>
        <v>0</v>
      </c>
      <c r="I884" s="21">
        <f>IFERROR(VLOOKUP(G884,ซื้อสินค้า!H:J,3,FALSE),)</f>
        <v>0</v>
      </c>
      <c r="J884" s="21">
        <f t="shared" si="21"/>
        <v>0</v>
      </c>
      <c r="K884" s="21">
        <f t="shared" si="22"/>
        <v>0</v>
      </c>
      <c r="L884" s="12">
        <f t="shared" si="23"/>
        <v>0</v>
      </c>
      <c r="M884" s="21">
        <f t="shared" si="24"/>
        <v>0</v>
      </c>
      <c r="N884" s="9" t="str">
        <f ca="1">IFERROR(__xludf.DUMMYFUNCTION("IF(G884&lt;&gt;"""",G884, IFERROR(TRANSPOSE(FILTER('ซื้อสินค้า'!H:H,'ซื้อสินค้า'!B:B=B884,'ซื้อสินค้า'!I:I&gt;0)),))"),"")</f>
        <v/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spans="1:32">
      <c r="A885" s="5"/>
      <c r="B885" s="6"/>
      <c r="C885" s="20">
        <f>IFERROR(VLOOKUP(B885,ชื่อสินค้า!A:C,3,FALSE),)</f>
        <v>0</v>
      </c>
      <c r="D885" s="8" t="str">
        <f>IFERROR(VLOOKUP(B885,ชื่อสินค้า!A:D,4,FALSE),"")</f>
        <v/>
      </c>
      <c r="E885" s="9"/>
      <c r="F885" s="21" t="str">
        <f t="shared" si="20"/>
        <v/>
      </c>
      <c r="G885" s="22"/>
      <c r="H885" s="8">
        <f>IFERROR(VLOOKUP(G885,ซื้อสินค้า!H:I,2,FALSE),)</f>
        <v>0</v>
      </c>
      <c r="I885" s="21">
        <f>IFERROR(VLOOKUP(G885,ซื้อสินค้า!H:J,3,FALSE),)</f>
        <v>0</v>
      </c>
      <c r="J885" s="21">
        <f t="shared" si="21"/>
        <v>0</v>
      </c>
      <c r="K885" s="21">
        <f t="shared" si="22"/>
        <v>0</v>
      </c>
      <c r="L885" s="12">
        <f t="shared" si="23"/>
        <v>0</v>
      </c>
      <c r="M885" s="21">
        <f t="shared" si="24"/>
        <v>0</v>
      </c>
      <c r="N885" s="9" t="str">
        <f ca="1">IFERROR(__xludf.DUMMYFUNCTION("IF(G885&lt;&gt;"""",G885, IFERROR(TRANSPOSE(FILTER('ซื้อสินค้า'!H:H,'ซื้อสินค้า'!B:B=B885,'ซื้อสินค้า'!I:I&gt;0)),))"),"")</f>
        <v/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spans="1:32">
      <c r="A886" s="5"/>
      <c r="B886" s="6"/>
      <c r="C886" s="20">
        <f>IFERROR(VLOOKUP(B886,ชื่อสินค้า!A:C,3,FALSE),)</f>
        <v>0</v>
      </c>
      <c r="D886" s="8" t="str">
        <f>IFERROR(VLOOKUP(B886,ชื่อสินค้า!A:D,4,FALSE),"")</f>
        <v/>
      </c>
      <c r="E886" s="9"/>
      <c r="F886" s="21" t="str">
        <f t="shared" si="20"/>
        <v/>
      </c>
      <c r="G886" s="22"/>
      <c r="H886" s="8">
        <f>IFERROR(VLOOKUP(G886,ซื้อสินค้า!H:I,2,FALSE),)</f>
        <v>0</v>
      </c>
      <c r="I886" s="21">
        <f>IFERROR(VLOOKUP(G886,ซื้อสินค้า!H:J,3,FALSE),)</f>
        <v>0</v>
      </c>
      <c r="J886" s="21">
        <f t="shared" si="21"/>
        <v>0</v>
      </c>
      <c r="K886" s="21">
        <f t="shared" si="22"/>
        <v>0</v>
      </c>
      <c r="L886" s="12">
        <f t="shared" si="23"/>
        <v>0</v>
      </c>
      <c r="M886" s="21">
        <f t="shared" si="24"/>
        <v>0</v>
      </c>
      <c r="N886" s="9" t="str">
        <f ca="1">IFERROR(__xludf.DUMMYFUNCTION("IF(G886&lt;&gt;"""",G886, IFERROR(TRANSPOSE(FILTER('ซื้อสินค้า'!H:H,'ซื้อสินค้า'!B:B=B886,'ซื้อสินค้า'!I:I&gt;0)),))"),"")</f>
        <v/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spans="1:32">
      <c r="A887" s="5"/>
      <c r="B887" s="6"/>
      <c r="C887" s="20">
        <f>IFERROR(VLOOKUP(B887,ชื่อสินค้า!A:C,3,FALSE),)</f>
        <v>0</v>
      </c>
      <c r="D887" s="8" t="str">
        <f>IFERROR(VLOOKUP(B887,ชื่อสินค้า!A:D,4,FALSE),"")</f>
        <v/>
      </c>
      <c r="E887" s="9"/>
      <c r="F887" s="21" t="str">
        <f t="shared" si="20"/>
        <v/>
      </c>
      <c r="G887" s="22"/>
      <c r="H887" s="8">
        <f>IFERROR(VLOOKUP(G887,ซื้อสินค้า!H:I,2,FALSE),)</f>
        <v>0</v>
      </c>
      <c r="I887" s="21">
        <f>IFERROR(VLOOKUP(G887,ซื้อสินค้า!H:J,3,FALSE),)</f>
        <v>0</v>
      </c>
      <c r="J887" s="21">
        <f t="shared" si="21"/>
        <v>0</v>
      </c>
      <c r="K887" s="21">
        <f t="shared" si="22"/>
        <v>0</v>
      </c>
      <c r="L887" s="12">
        <f t="shared" si="23"/>
        <v>0</v>
      </c>
      <c r="M887" s="21">
        <f t="shared" si="24"/>
        <v>0</v>
      </c>
      <c r="N887" s="9" t="str">
        <f ca="1">IFERROR(__xludf.DUMMYFUNCTION("IF(G887&lt;&gt;"""",G887, IFERROR(TRANSPOSE(FILTER('ซื้อสินค้า'!H:H,'ซื้อสินค้า'!B:B=B887,'ซื้อสินค้า'!I:I&gt;0)),))"),"")</f>
        <v/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spans="1:32">
      <c r="A888" s="5"/>
      <c r="B888" s="6"/>
      <c r="C888" s="20">
        <f>IFERROR(VLOOKUP(B888,ชื่อสินค้า!A:C,3,FALSE),)</f>
        <v>0</v>
      </c>
      <c r="D888" s="8" t="str">
        <f>IFERROR(VLOOKUP(B888,ชื่อสินค้า!A:D,4,FALSE),"")</f>
        <v/>
      </c>
      <c r="E888" s="9"/>
      <c r="F888" s="21" t="str">
        <f t="shared" si="20"/>
        <v/>
      </c>
      <c r="G888" s="22"/>
      <c r="H888" s="8">
        <f>IFERROR(VLOOKUP(G888,ซื้อสินค้า!H:I,2,FALSE),)</f>
        <v>0</v>
      </c>
      <c r="I888" s="21">
        <f>IFERROR(VLOOKUP(G888,ซื้อสินค้า!H:J,3,FALSE),)</f>
        <v>0</v>
      </c>
      <c r="J888" s="21">
        <f t="shared" si="21"/>
        <v>0</v>
      </c>
      <c r="K888" s="21">
        <f t="shared" si="22"/>
        <v>0</v>
      </c>
      <c r="L888" s="12">
        <f t="shared" si="23"/>
        <v>0</v>
      </c>
      <c r="M888" s="21">
        <f t="shared" si="24"/>
        <v>0</v>
      </c>
      <c r="N888" s="9" t="str">
        <f ca="1">IFERROR(__xludf.DUMMYFUNCTION("IF(G888&lt;&gt;"""",G888, IFERROR(TRANSPOSE(FILTER('ซื้อสินค้า'!H:H,'ซื้อสินค้า'!B:B=B888,'ซื้อสินค้า'!I:I&gt;0)),))"),"")</f>
        <v/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spans="1:32">
      <c r="A889" s="5"/>
      <c r="B889" s="6"/>
      <c r="C889" s="20">
        <f>IFERROR(VLOOKUP(B889,ชื่อสินค้า!A:C,3,FALSE),)</f>
        <v>0</v>
      </c>
      <c r="D889" s="8" t="str">
        <f>IFERROR(VLOOKUP(B889,ชื่อสินค้า!A:D,4,FALSE),"")</f>
        <v/>
      </c>
      <c r="E889" s="9"/>
      <c r="F889" s="21" t="str">
        <f t="shared" si="20"/>
        <v/>
      </c>
      <c r="G889" s="22"/>
      <c r="H889" s="8">
        <f>IFERROR(VLOOKUP(G889,ซื้อสินค้า!H:I,2,FALSE),)</f>
        <v>0</v>
      </c>
      <c r="I889" s="21">
        <f>IFERROR(VLOOKUP(G889,ซื้อสินค้า!H:J,3,FALSE),)</f>
        <v>0</v>
      </c>
      <c r="J889" s="21">
        <f t="shared" si="21"/>
        <v>0</v>
      </c>
      <c r="K889" s="21">
        <f t="shared" si="22"/>
        <v>0</v>
      </c>
      <c r="L889" s="12">
        <f t="shared" si="23"/>
        <v>0</v>
      </c>
      <c r="M889" s="21">
        <f t="shared" si="24"/>
        <v>0</v>
      </c>
      <c r="N889" s="9" t="str">
        <f ca="1">IFERROR(__xludf.DUMMYFUNCTION("IF(G889&lt;&gt;"""",G889, IFERROR(TRANSPOSE(FILTER('ซื้อสินค้า'!H:H,'ซื้อสินค้า'!B:B=B889,'ซื้อสินค้า'!I:I&gt;0)),))"),"")</f>
        <v/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spans="1:32">
      <c r="A890" s="5"/>
      <c r="B890" s="6"/>
      <c r="C890" s="20">
        <f>IFERROR(VLOOKUP(B890,ชื่อสินค้า!A:C,3,FALSE),)</f>
        <v>0</v>
      </c>
      <c r="D890" s="8" t="str">
        <f>IFERROR(VLOOKUP(B890,ชื่อสินค้า!A:D,4,FALSE),"")</f>
        <v/>
      </c>
      <c r="E890" s="9"/>
      <c r="F890" s="21" t="str">
        <f t="shared" si="20"/>
        <v/>
      </c>
      <c r="G890" s="22"/>
      <c r="H890" s="8">
        <f>IFERROR(VLOOKUP(G890,ซื้อสินค้า!H:I,2,FALSE),)</f>
        <v>0</v>
      </c>
      <c r="I890" s="21">
        <f>IFERROR(VLOOKUP(G890,ซื้อสินค้า!H:J,3,FALSE),)</f>
        <v>0</v>
      </c>
      <c r="J890" s="21">
        <f t="shared" si="21"/>
        <v>0</v>
      </c>
      <c r="K890" s="21">
        <f t="shared" si="22"/>
        <v>0</v>
      </c>
      <c r="L890" s="12">
        <f t="shared" si="23"/>
        <v>0</v>
      </c>
      <c r="M890" s="21">
        <f t="shared" si="24"/>
        <v>0</v>
      </c>
      <c r="N890" s="9" t="str">
        <f ca="1">IFERROR(__xludf.DUMMYFUNCTION("IF(G890&lt;&gt;"""",G890, IFERROR(TRANSPOSE(FILTER('ซื้อสินค้า'!H:H,'ซื้อสินค้า'!B:B=B890,'ซื้อสินค้า'!I:I&gt;0)),))"),"")</f>
        <v/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spans="1:32">
      <c r="A891" s="5"/>
      <c r="B891" s="6"/>
      <c r="C891" s="20">
        <f>IFERROR(VLOOKUP(B891,ชื่อสินค้า!A:C,3,FALSE),)</f>
        <v>0</v>
      </c>
      <c r="D891" s="8" t="str">
        <f>IFERROR(VLOOKUP(B891,ชื่อสินค้า!A:D,4,FALSE),"")</f>
        <v/>
      </c>
      <c r="E891" s="9"/>
      <c r="F891" s="21" t="str">
        <f t="shared" si="20"/>
        <v/>
      </c>
      <c r="G891" s="22"/>
      <c r="H891" s="8">
        <f>IFERROR(VLOOKUP(G891,ซื้อสินค้า!H:I,2,FALSE),)</f>
        <v>0</v>
      </c>
      <c r="I891" s="21">
        <f>IFERROR(VLOOKUP(G891,ซื้อสินค้า!H:J,3,FALSE),)</f>
        <v>0</v>
      </c>
      <c r="J891" s="21">
        <f t="shared" si="21"/>
        <v>0</v>
      </c>
      <c r="K891" s="21">
        <f t="shared" si="22"/>
        <v>0</v>
      </c>
      <c r="L891" s="12">
        <f t="shared" si="23"/>
        <v>0</v>
      </c>
      <c r="M891" s="21">
        <f t="shared" si="24"/>
        <v>0</v>
      </c>
      <c r="N891" s="9" t="str">
        <f ca="1">IFERROR(__xludf.DUMMYFUNCTION("IF(G891&lt;&gt;"""",G891, IFERROR(TRANSPOSE(FILTER('ซื้อสินค้า'!H:H,'ซื้อสินค้า'!B:B=B891,'ซื้อสินค้า'!I:I&gt;0)),))"),"")</f>
        <v/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spans="1:32">
      <c r="A892" s="5"/>
      <c r="B892" s="6"/>
      <c r="C892" s="20">
        <f>IFERROR(VLOOKUP(B892,ชื่อสินค้า!A:C,3,FALSE),)</f>
        <v>0</v>
      </c>
      <c r="D892" s="8" t="str">
        <f>IFERROR(VLOOKUP(B892,ชื่อสินค้า!A:D,4,FALSE),"")</f>
        <v/>
      </c>
      <c r="E892" s="9"/>
      <c r="F892" s="21" t="str">
        <f t="shared" si="20"/>
        <v/>
      </c>
      <c r="G892" s="22"/>
      <c r="H892" s="8">
        <f>IFERROR(VLOOKUP(G892,ซื้อสินค้า!H:I,2,FALSE),)</f>
        <v>0</v>
      </c>
      <c r="I892" s="21">
        <f>IFERROR(VLOOKUP(G892,ซื้อสินค้า!H:J,3,FALSE),)</f>
        <v>0</v>
      </c>
      <c r="J892" s="21">
        <f t="shared" si="21"/>
        <v>0</v>
      </c>
      <c r="K892" s="21">
        <f t="shared" si="22"/>
        <v>0</v>
      </c>
      <c r="L892" s="12">
        <f t="shared" si="23"/>
        <v>0</v>
      </c>
      <c r="M892" s="21">
        <f t="shared" si="24"/>
        <v>0</v>
      </c>
      <c r="N892" s="9" t="str">
        <f ca="1">IFERROR(__xludf.DUMMYFUNCTION("IF(G892&lt;&gt;"""",G892, IFERROR(TRANSPOSE(FILTER('ซื้อสินค้า'!H:H,'ซื้อสินค้า'!B:B=B892,'ซื้อสินค้า'!I:I&gt;0)),))"),"")</f>
        <v/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spans="1:32">
      <c r="A893" s="5"/>
      <c r="B893" s="6"/>
      <c r="C893" s="20">
        <f>IFERROR(VLOOKUP(B893,ชื่อสินค้า!A:C,3,FALSE),)</f>
        <v>0</v>
      </c>
      <c r="D893" s="8" t="str">
        <f>IFERROR(VLOOKUP(B893,ชื่อสินค้า!A:D,4,FALSE),"")</f>
        <v/>
      </c>
      <c r="E893" s="9"/>
      <c r="F893" s="21" t="str">
        <f t="shared" si="20"/>
        <v/>
      </c>
      <c r="G893" s="22"/>
      <c r="H893" s="8">
        <f>IFERROR(VLOOKUP(G893,ซื้อสินค้า!H:I,2,FALSE),)</f>
        <v>0</v>
      </c>
      <c r="I893" s="21">
        <f>IFERROR(VLOOKUP(G893,ซื้อสินค้า!H:J,3,FALSE),)</f>
        <v>0</v>
      </c>
      <c r="J893" s="21">
        <f t="shared" si="21"/>
        <v>0</v>
      </c>
      <c r="K893" s="21">
        <f t="shared" si="22"/>
        <v>0</v>
      </c>
      <c r="L893" s="12">
        <f t="shared" si="23"/>
        <v>0</v>
      </c>
      <c r="M893" s="21">
        <f t="shared" si="24"/>
        <v>0</v>
      </c>
      <c r="N893" s="9" t="str">
        <f ca="1">IFERROR(__xludf.DUMMYFUNCTION("IF(G893&lt;&gt;"""",G893, IFERROR(TRANSPOSE(FILTER('ซื้อสินค้า'!H:H,'ซื้อสินค้า'!B:B=B893,'ซื้อสินค้า'!I:I&gt;0)),))"),"")</f>
        <v/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spans="1:32">
      <c r="A894" s="5"/>
      <c r="B894" s="6"/>
      <c r="C894" s="20">
        <f>IFERROR(VLOOKUP(B894,ชื่อสินค้า!A:C,3,FALSE),)</f>
        <v>0</v>
      </c>
      <c r="D894" s="8" t="str">
        <f>IFERROR(VLOOKUP(B894,ชื่อสินค้า!A:D,4,FALSE),"")</f>
        <v/>
      </c>
      <c r="E894" s="9"/>
      <c r="F894" s="21" t="str">
        <f t="shared" si="20"/>
        <v/>
      </c>
      <c r="G894" s="22"/>
      <c r="H894" s="8">
        <f>IFERROR(VLOOKUP(G894,ซื้อสินค้า!H:I,2,FALSE),)</f>
        <v>0</v>
      </c>
      <c r="I894" s="21">
        <f>IFERROR(VLOOKUP(G894,ซื้อสินค้า!H:J,3,FALSE),)</f>
        <v>0</v>
      </c>
      <c r="J894" s="21">
        <f t="shared" si="21"/>
        <v>0</v>
      </c>
      <c r="K894" s="21">
        <f t="shared" si="22"/>
        <v>0</v>
      </c>
      <c r="L894" s="12">
        <f t="shared" si="23"/>
        <v>0</v>
      </c>
      <c r="M894" s="21">
        <f t="shared" si="24"/>
        <v>0</v>
      </c>
      <c r="N894" s="9" t="str">
        <f ca="1">IFERROR(__xludf.DUMMYFUNCTION("IF(G894&lt;&gt;"""",G894, IFERROR(TRANSPOSE(FILTER('ซื้อสินค้า'!H:H,'ซื้อสินค้า'!B:B=B894,'ซื้อสินค้า'!I:I&gt;0)),))"),"")</f>
        <v/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spans="1:32">
      <c r="A895" s="5"/>
      <c r="B895" s="6"/>
      <c r="C895" s="20">
        <f>IFERROR(VLOOKUP(B895,ชื่อสินค้า!A:C,3,FALSE),)</f>
        <v>0</v>
      </c>
      <c r="D895" s="8" t="str">
        <f>IFERROR(VLOOKUP(B895,ชื่อสินค้า!A:D,4,FALSE),"")</f>
        <v/>
      </c>
      <c r="E895" s="9"/>
      <c r="F895" s="21" t="str">
        <f t="shared" si="20"/>
        <v/>
      </c>
      <c r="G895" s="22"/>
      <c r="H895" s="8">
        <f>IFERROR(VLOOKUP(G895,ซื้อสินค้า!H:I,2,FALSE),)</f>
        <v>0</v>
      </c>
      <c r="I895" s="21">
        <f>IFERROR(VLOOKUP(G895,ซื้อสินค้า!H:J,3,FALSE),)</f>
        <v>0</v>
      </c>
      <c r="J895" s="21">
        <f t="shared" si="21"/>
        <v>0</v>
      </c>
      <c r="K895" s="21">
        <f t="shared" si="22"/>
        <v>0</v>
      </c>
      <c r="L895" s="12">
        <f t="shared" si="23"/>
        <v>0</v>
      </c>
      <c r="M895" s="21">
        <f t="shared" si="24"/>
        <v>0</v>
      </c>
      <c r="N895" s="9" t="str">
        <f ca="1">IFERROR(__xludf.DUMMYFUNCTION("IF(G895&lt;&gt;"""",G895, IFERROR(TRANSPOSE(FILTER('ซื้อสินค้า'!H:H,'ซื้อสินค้า'!B:B=B895,'ซื้อสินค้า'!I:I&gt;0)),))"),"")</f>
        <v/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spans="1:32">
      <c r="A896" s="5"/>
      <c r="B896" s="6"/>
      <c r="C896" s="20">
        <f>IFERROR(VLOOKUP(B896,ชื่อสินค้า!A:C,3,FALSE),)</f>
        <v>0</v>
      </c>
      <c r="D896" s="8" t="str">
        <f>IFERROR(VLOOKUP(B896,ชื่อสินค้า!A:D,4,FALSE),"")</f>
        <v/>
      </c>
      <c r="E896" s="9"/>
      <c r="F896" s="21" t="str">
        <f t="shared" si="20"/>
        <v/>
      </c>
      <c r="G896" s="22"/>
      <c r="H896" s="8">
        <f>IFERROR(VLOOKUP(G896,ซื้อสินค้า!H:I,2,FALSE),)</f>
        <v>0</v>
      </c>
      <c r="I896" s="21">
        <f>IFERROR(VLOOKUP(G896,ซื้อสินค้า!H:J,3,FALSE),)</f>
        <v>0</v>
      </c>
      <c r="J896" s="21">
        <f t="shared" si="21"/>
        <v>0</v>
      </c>
      <c r="K896" s="21">
        <f t="shared" si="22"/>
        <v>0</v>
      </c>
      <c r="L896" s="12">
        <f t="shared" si="23"/>
        <v>0</v>
      </c>
      <c r="M896" s="21">
        <f t="shared" si="24"/>
        <v>0</v>
      </c>
      <c r="N896" s="9" t="str">
        <f ca="1">IFERROR(__xludf.DUMMYFUNCTION("IF(G896&lt;&gt;"""",G896, IFERROR(TRANSPOSE(FILTER('ซื้อสินค้า'!H:H,'ซื้อสินค้า'!B:B=B896,'ซื้อสินค้า'!I:I&gt;0)),))"),"")</f>
        <v/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spans="1:32">
      <c r="A897" s="5"/>
      <c r="B897" s="6"/>
      <c r="C897" s="20">
        <f>IFERROR(VLOOKUP(B897,ชื่อสินค้า!A:C,3,FALSE),)</f>
        <v>0</v>
      </c>
      <c r="D897" s="8" t="str">
        <f>IFERROR(VLOOKUP(B897,ชื่อสินค้า!A:D,4,FALSE),"")</f>
        <v/>
      </c>
      <c r="E897" s="9"/>
      <c r="F897" s="21" t="str">
        <f t="shared" si="20"/>
        <v/>
      </c>
      <c r="G897" s="22"/>
      <c r="H897" s="8">
        <f>IFERROR(VLOOKUP(G897,ซื้อสินค้า!H:I,2,FALSE),)</f>
        <v>0</v>
      </c>
      <c r="I897" s="21">
        <f>IFERROR(VLOOKUP(G897,ซื้อสินค้า!H:J,3,FALSE),)</f>
        <v>0</v>
      </c>
      <c r="J897" s="21">
        <f t="shared" si="21"/>
        <v>0</v>
      </c>
      <c r="K897" s="21">
        <f t="shared" si="22"/>
        <v>0</v>
      </c>
      <c r="L897" s="12">
        <f t="shared" si="23"/>
        <v>0</v>
      </c>
      <c r="M897" s="21">
        <f t="shared" si="24"/>
        <v>0</v>
      </c>
      <c r="N897" s="9" t="str">
        <f ca="1">IFERROR(__xludf.DUMMYFUNCTION("IF(G897&lt;&gt;"""",G897, IFERROR(TRANSPOSE(FILTER('ซื้อสินค้า'!H:H,'ซื้อสินค้า'!B:B=B897,'ซื้อสินค้า'!I:I&gt;0)),))"),"")</f>
        <v/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spans="1:32">
      <c r="A898" s="5"/>
      <c r="B898" s="6"/>
      <c r="C898" s="20">
        <f>IFERROR(VLOOKUP(B898,ชื่อสินค้า!A:C,3,FALSE),)</f>
        <v>0</v>
      </c>
      <c r="D898" s="8" t="str">
        <f>IFERROR(VLOOKUP(B898,ชื่อสินค้า!A:D,4,FALSE),"")</f>
        <v/>
      </c>
      <c r="E898" s="9"/>
      <c r="F898" s="21" t="str">
        <f t="shared" si="20"/>
        <v/>
      </c>
      <c r="G898" s="22"/>
      <c r="H898" s="8">
        <f>IFERROR(VLOOKUP(G898,ซื้อสินค้า!H:I,2,FALSE),)</f>
        <v>0</v>
      </c>
      <c r="I898" s="21">
        <f>IFERROR(VLOOKUP(G898,ซื้อสินค้า!H:J,3,FALSE),)</f>
        <v>0</v>
      </c>
      <c r="J898" s="21">
        <f t="shared" si="21"/>
        <v>0</v>
      </c>
      <c r="K898" s="21">
        <f t="shared" si="22"/>
        <v>0</v>
      </c>
      <c r="L898" s="12">
        <f t="shared" si="23"/>
        <v>0</v>
      </c>
      <c r="M898" s="21">
        <f t="shared" si="24"/>
        <v>0</v>
      </c>
      <c r="N898" s="9" t="str">
        <f ca="1">IFERROR(__xludf.DUMMYFUNCTION("IF(G898&lt;&gt;"""",G898, IFERROR(TRANSPOSE(FILTER('ซื้อสินค้า'!H:H,'ซื้อสินค้า'!B:B=B898,'ซื้อสินค้า'!I:I&gt;0)),))"),"")</f>
        <v/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spans="1:32">
      <c r="A899" s="5"/>
      <c r="B899" s="6"/>
      <c r="C899" s="20">
        <f>IFERROR(VLOOKUP(B899,ชื่อสินค้า!A:C,3,FALSE),)</f>
        <v>0</v>
      </c>
      <c r="D899" s="8" t="str">
        <f>IFERROR(VLOOKUP(B899,ชื่อสินค้า!A:D,4,FALSE),"")</f>
        <v/>
      </c>
      <c r="E899" s="9"/>
      <c r="F899" s="21" t="str">
        <f t="shared" si="20"/>
        <v/>
      </c>
      <c r="G899" s="22"/>
      <c r="H899" s="8">
        <f>IFERROR(VLOOKUP(G899,ซื้อสินค้า!H:I,2,FALSE),)</f>
        <v>0</v>
      </c>
      <c r="I899" s="21">
        <f>IFERROR(VLOOKUP(G899,ซื้อสินค้า!H:J,3,FALSE),)</f>
        <v>0</v>
      </c>
      <c r="J899" s="21">
        <f t="shared" si="21"/>
        <v>0</v>
      </c>
      <c r="K899" s="21">
        <f t="shared" si="22"/>
        <v>0</v>
      </c>
      <c r="L899" s="12">
        <f t="shared" si="23"/>
        <v>0</v>
      </c>
      <c r="M899" s="21">
        <f t="shared" si="24"/>
        <v>0</v>
      </c>
      <c r="N899" s="9" t="str">
        <f ca="1">IFERROR(__xludf.DUMMYFUNCTION("IF(G899&lt;&gt;"""",G899, IFERROR(TRANSPOSE(FILTER('ซื้อสินค้า'!H:H,'ซื้อสินค้า'!B:B=B899,'ซื้อสินค้า'!I:I&gt;0)),))"),"")</f>
        <v/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spans="1:32">
      <c r="A900" s="5"/>
      <c r="B900" s="6"/>
      <c r="C900" s="20">
        <f>IFERROR(VLOOKUP(B900,ชื่อสินค้า!A:C,3,FALSE),)</f>
        <v>0</v>
      </c>
      <c r="D900" s="8" t="str">
        <f>IFERROR(VLOOKUP(B900,ชื่อสินค้า!A:D,4,FALSE),"")</f>
        <v/>
      </c>
      <c r="E900" s="9"/>
      <c r="F900" s="21" t="str">
        <f t="shared" si="20"/>
        <v/>
      </c>
      <c r="G900" s="22"/>
      <c r="H900" s="8">
        <f>IFERROR(VLOOKUP(G900,ซื้อสินค้า!H:I,2,FALSE),)</f>
        <v>0</v>
      </c>
      <c r="I900" s="21">
        <f>IFERROR(VLOOKUP(G900,ซื้อสินค้า!H:J,3,FALSE),)</f>
        <v>0</v>
      </c>
      <c r="J900" s="21">
        <f t="shared" si="21"/>
        <v>0</v>
      </c>
      <c r="K900" s="21">
        <f t="shared" si="22"/>
        <v>0</v>
      </c>
      <c r="L900" s="12">
        <f t="shared" si="23"/>
        <v>0</v>
      </c>
      <c r="M900" s="21">
        <f t="shared" si="24"/>
        <v>0</v>
      </c>
      <c r="N900" s="9" t="str">
        <f ca="1">IFERROR(__xludf.DUMMYFUNCTION("IF(G900&lt;&gt;"""",G900, IFERROR(TRANSPOSE(FILTER('ซื้อสินค้า'!H:H,'ซื้อสินค้า'!B:B=B900,'ซื้อสินค้า'!I:I&gt;0)),))"),"")</f>
        <v/>
      </c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spans="1:32">
      <c r="A901" s="5"/>
      <c r="B901" s="6"/>
      <c r="C901" s="20">
        <f>IFERROR(VLOOKUP(B901,ชื่อสินค้า!A:C,3,FALSE),)</f>
        <v>0</v>
      </c>
      <c r="D901" s="8" t="str">
        <f>IFERROR(VLOOKUP(B901,ชื่อสินค้า!A:D,4,FALSE),"")</f>
        <v/>
      </c>
      <c r="E901" s="9"/>
      <c r="F901" s="21" t="str">
        <f t="shared" si="20"/>
        <v/>
      </c>
      <c r="G901" s="22"/>
      <c r="H901" s="8">
        <f>IFERROR(VLOOKUP(G901,ซื้อสินค้า!H:I,2,FALSE),)</f>
        <v>0</v>
      </c>
      <c r="I901" s="21">
        <f>IFERROR(VLOOKUP(G901,ซื้อสินค้า!H:J,3,FALSE),)</f>
        <v>0</v>
      </c>
      <c r="J901" s="21">
        <f t="shared" si="21"/>
        <v>0</v>
      </c>
      <c r="K901" s="21">
        <f t="shared" si="22"/>
        <v>0</v>
      </c>
      <c r="L901" s="12">
        <f t="shared" si="23"/>
        <v>0</v>
      </c>
      <c r="M901" s="21">
        <f t="shared" si="24"/>
        <v>0</v>
      </c>
      <c r="N901" s="9" t="str">
        <f ca="1">IFERROR(__xludf.DUMMYFUNCTION("IF(G901&lt;&gt;"""",G901, IFERROR(TRANSPOSE(FILTER('ซื้อสินค้า'!H:H,'ซื้อสินค้า'!B:B=B901,'ซื้อสินค้า'!I:I&gt;0)),))"),"")</f>
        <v/>
      </c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spans="1:32">
      <c r="A902" s="5"/>
      <c r="B902" s="6"/>
      <c r="C902" s="20">
        <f>IFERROR(VLOOKUP(B902,ชื่อสินค้า!A:C,3,FALSE),)</f>
        <v>0</v>
      </c>
      <c r="D902" s="8" t="str">
        <f>IFERROR(VLOOKUP(B902,ชื่อสินค้า!A:D,4,FALSE),"")</f>
        <v/>
      </c>
      <c r="E902" s="9"/>
      <c r="F902" s="21" t="str">
        <f t="shared" si="20"/>
        <v/>
      </c>
      <c r="G902" s="22"/>
      <c r="H902" s="8">
        <f>IFERROR(VLOOKUP(G902,ซื้อสินค้า!H:I,2,FALSE),)</f>
        <v>0</v>
      </c>
      <c r="I902" s="21">
        <f>IFERROR(VLOOKUP(G902,ซื้อสินค้า!H:J,3,FALSE),)</f>
        <v>0</v>
      </c>
      <c r="J902" s="21">
        <f t="shared" si="21"/>
        <v>0</v>
      </c>
      <c r="K902" s="21">
        <f t="shared" si="22"/>
        <v>0</v>
      </c>
      <c r="L902" s="12">
        <f t="shared" si="23"/>
        <v>0</v>
      </c>
      <c r="M902" s="21">
        <f t="shared" si="24"/>
        <v>0</v>
      </c>
      <c r="N902" s="9" t="str">
        <f ca="1">IFERROR(__xludf.DUMMYFUNCTION("IF(G902&lt;&gt;"""",G902, IFERROR(TRANSPOSE(FILTER('ซื้อสินค้า'!H:H,'ซื้อสินค้า'!B:B=B902,'ซื้อสินค้า'!I:I&gt;0)),))"),"")</f>
        <v/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spans="1:32">
      <c r="A903" s="5"/>
      <c r="B903" s="6"/>
      <c r="C903" s="20">
        <f>IFERROR(VLOOKUP(B903,ชื่อสินค้า!A:C,3,FALSE),)</f>
        <v>0</v>
      </c>
      <c r="D903" s="8" t="str">
        <f>IFERROR(VLOOKUP(B903,ชื่อสินค้า!A:D,4,FALSE),"")</f>
        <v/>
      </c>
      <c r="E903" s="9"/>
      <c r="F903" s="21" t="str">
        <f t="shared" si="20"/>
        <v/>
      </c>
      <c r="G903" s="22"/>
      <c r="H903" s="8">
        <f>IFERROR(VLOOKUP(G903,ซื้อสินค้า!H:I,2,FALSE),)</f>
        <v>0</v>
      </c>
      <c r="I903" s="21">
        <f>IFERROR(VLOOKUP(G903,ซื้อสินค้า!H:J,3,FALSE),)</f>
        <v>0</v>
      </c>
      <c r="J903" s="21">
        <f t="shared" si="21"/>
        <v>0</v>
      </c>
      <c r="K903" s="21">
        <f t="shared" si="22"/>
        <v>0</v>
      </c>
      <c r="L903" s="12">
        <f t="shared" si="23"/>
        <v>0</v>
      </c>
      <c r="M903" s="21">
        <f t="shared" si="24"/>
        <v>0</v>
      </c>
      <c r="N903" s="9" t="str">
        <f ca="1">IFERROR(__xludf.DUMMYFUNCTION("IF(G903&lt;&gt;"""",G903, IFERROR(TRANSPOSE(FILTER('ซื้อสินค้า'!H:H,'ซื้อสินค้า'!B:B=B903,'ซื้อสินค้า'!I:I&gt;0)),))"),"")</f>
        <v/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spans="1:32">
      <c r="A904" s="5"/>
      <c r="B904" s="6"/>
      <c r="C904" s="20">
        <f>IFERROR(VLOOKUP(B904,ชื่อสินค้า!A:C,3,FALSE),)</f>
        <v>0</v>
      </c>
      <c r="D904" s="8" t="str">
        <f>IFERROR(VLOOKUP(B904,ชื่อสินค้า!A:D,4,FALSE),"")</f>
        <v/>
      </c>
      <c r="E904" s="9"/>
      <c r="F904" s="21" t="str">
        <f t="shared" si="20"/>
        <v/>
      </c>
      <c r="G904" s="22"/>
      <c r="H904" s="8">
        <f>IFERROR(VLOOKUP(G904,ซื้อสินค้า!H:I,2,FALSE),)</f>
        <v>0</v>
      </c>
      <c r="I904" s="21">
        <f>IFERROR(VLOOKUP(G904,ซื้อสินค้า!H:J,3,FALSE),)</f>
        <v>0</v>
      </c>
      <c r="J904" s="21">
        <f t="shared" si="21"/>
        <v>0</v>
      </c>
      <c r="K904" s="21">
        <f t="shared" si="22"/>
        <v>0</v>
      </c>
      <c r="L904" s="12">
        <f t="shared" si="23"/>
        <v>0</v>
      </c>
      <c r="M904" s="21">
        <f t="shared" si="24"/>
        <v>0</v>
      </c>
      <c r="N904" s="9" t="str">
        <f ca="1">IFERROR(__xludf.DUMMYFUNCTION("IF(G904&lt;&gt;"""",G904, IFERROR(TRANSPOSE(FILTER('ซื้อสินค้า'!H:H,'ซื้อสินค้า'!B:B=B904,'ซื้อสินค้า'!I:I&gt;0)),))"),"")</f>
        <v/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spans="1:32">
      <c r="A905" s="5"/>
      <c r="B905" s="6"/>
      <c r="C905" s="20">
        <f>IFERROR(VLOOKUP(B905,ชื่อสินค้า!A:C,3,FALSE),)</f>
        <v>0</v>
      </c>
      <c r="D905" s="8" t="str">
        <f>IFERROR(VLOOKUP(B905,ชื่อสินค้า!A:D,4,FALSE),"")</f>
        <v/>
      </c>
      <c r="E905" s="9"/>
      <c r="F905" s="21" t="str">
        <f t="shared" si="20"/>
        <v/>
      </c>
      <c r="G905" s="22"/>
      <c r="H905" s="8">
        <f>IFERROR(VLOOKUP(G905,ซื้อสินค้า!H:I,2,FALSE),)</f>
        <v>0</v>
      </c>
      <c r="I905" s="21">
        <f>IFERROR(VLOOKUP(G905,ซื้อสินค้า!H:J,3,FALSE),)</f>
        <v>0</v>
      </c>
      <c r="J905" s="21">
        <f t="shared" si="21"/>
        <v>0</v>
      </c>
      <c r="K905" s="21">
        <f t="shared" si="22"/>
        <v>0</v>
      </c>
      <c r="L905" s="12">
        <f t="shared" si="23"/>
        <v>0</v>
      </c>
      <c r="M905" s="21">
        <f t="shared" si="24"/>
        <v>0</v>
      </c>
      <c r="N905" s="9" t="str">
        <f ca="1">IFERROR(__xludf.DUMMYFUNCTION("IF(G905&lt;&gt;"""",G905, IFERROR(TRANSPOSE(FILTER('ซื้อสินค้า'!H:H,'ซื้อสินค้า'!B:B=B905,'ซื้อสินค้า'!I:I&gt;0)),))"),"")</f>
        <v/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spans="1:32">
      <c r="A906" s="5"/>
      <c r="B906" s="6"/>
      <c r="C906" s="20">
        <f>IFERROR(VLOOKUP(B906,ชื่อสินค้า!A:C,3,FALSE),)</f>
        <v>0</v>
      </c>
      <c r="D906" s="8" t="str">
        <f>IFERROR(VLOOKUP(B906,ชื่อสินค้า!A:D,4,FALSE),"")</f>
        <v/>
      </c>
      <c r="E906" s="9"/>
      <c r="F906" s="21" t="str">
        <f t="shared" si="20"/>
        <v/>
      </c>
      <c r="G906" s="22"/>
      <c r="H906" s="8">
        <f>IFERROR(VLOOKUP(G906,ซื้อสินค้า!H:I,2,FALSE),)</f>
        <v>0</v>
      </c>
      <c r="I906" s="21">
        <f>IFERROR(VLOOKUP(G906,ซื้อสินค้า!H:J,3,FALSE),)</f>
        <v>0</v>
      </c>
      <c r="J906" s="21">
        <f t="shared" si="21"/>
        <v>0</v>
      </c>
      <c r="K906" s="21">
        <f t="shared" si="22"/>
        <v>0</v>
      </c>
      <c r="L906" s="12">
        <f t="shared" si="23"/>
        <v>0</v>
      </c>
      <c r="M906" s="21">
        <f t="shared" si="24"/>
        <v>0</v>
      </c>
      <c r="N906" s="9" t="str">
        <f ca="1">IFERROR(__xludf.DUMMYFUNCTION("IF(G906&lt;&gt;"""",G906, IFERROR(TRANSPOSE(FILTER('ซื้อสินค้า'!H:H,'ซื้อสินค้า'!B:B=B906,'ซื้อสินค้า'!I:I&gt;0)),))"),"")</f>
        <v/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spans="1:32">
      <c r="A907" s="5"/>
      <c r="B907" s="6"/>
      <c r="C907" s="20">
        <f>IFERROR(VLOOKUP(B907,ชื่อสินค้า!A:C,3,FALSE),)</f>
        <v>0</v>
      </c>
      <c r="D907" s="8" t="str">
        <f>IFERROR(VLOOKUP(B907,ชื่อสินค้า!A:D,4,FALSE),"")</f>
        <v/>
      </c>
      <c r="E907" s="9"/>
      <c r="F907" s="21" t="str">
        <f t="shared" si="20"/>
        <v/>
      </c>
      <c r="G907" s="22"/>
      <c r="H907" s="8">
        <f>IFERROR(VLOOKUP(G907,ซื้อสินค้า!H:I,2,FALSE),)</f>
        <v>0</v>
      </c>
      <c r="I907" s="21">
        <f>IFERROR(VLOOKUP(G907,ซื้อสินค้า!H:J,3,FALSE),)</f>
        <v>0</v>
      </c>
      <c r="J907" s="21">
        <f t="shared" si="21"/>
        <v>0</v>
      </c>
      <c r="K907" s="21">
        <f t="shared" si="22"/>
        <v>0</v>
      </c>
      <c r="L907" s="12">
        <f t="shared" si="23"/>
        <v>0</v>
      </c>
      <c r="M907" s="21">
        <f t="shared" si="24"/>
        <v>0</v>
      </c>
      <c r="N907" s="9" t="str">
        <f ca="1">IFERROR(__xludf.DUMMYFUNCTION("IF(G907&lt;&gt;"""",G907, IFERROR(TRANSPOSE(FILTER('ซื้อสินค้า'!H:H,'ซื้อสินค้า'!B:B=B907,'ซื้อสินค้า'!I:I&gt;0)),))"),"")</f>
        <v/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spans="1:32">
      <c r="A908" s="5"/>
      <c r="B908" s="6"/>
      <c r="C908" s="20">
        <f>IFERROR(VLOOKUP(B908,ชื่อสินค้า!A:C,3,FALSE),)</f>
        <v>0</v>
      </c>
      <c r="D908" s="8" t="str">
        <f>IFERROR(VLOOKUP(B908,ชื่อสินค้า!A:D,4,FALSE),"")</f>
        <v/>
      </c>
      <c r="E908" s="9"/>
      <c r="F908" s="21" t="str">
        <f t="shared" si="20"/>
        <v/>
      </c>
      <c r="G908" s="22"/>
      <c r="H908" s="8">
        <f>IFERROR(VLOOKUP(G908,ซื้อสินค้า!H:I,2,FALSE),)</f>
        <v>0</v>
      </c>
      <c r="I908" s="21">
        <f>IFERROR(VLOOKUP(G908,ซื้อสินค้า!H:J,3,FALSE),)</f>
        <v>0</v>
      </c>
      <c r="J908" s="21">
        <f t="shared" si="21"/>
        <v>0</v>
      </c>
      <c r="K908" s="21">
        <f t="shared" si="22"/>
        <v>0</v>
      </c>
      <c r="L908" s="12">
        <f t="shared" si="23"/>
        <v>0</v>
      </c>
      <c r="M908" s="21">
        <f t="shared" si="24"/>
        <v>0</v>
      </c>
      <c r="N908" s="9" t="str">
        <f ca="1">IFERROR(__xludf.DUMMYFUNCTION("IF(G908&lt;&gt;"""",G908, IFERROR(TRANSPOSE(FILTER('ซื้อสินค้า'!H:H,'ซื้อสินค้า'!B:B=B908,'ซื้อสินค้า'!I:I&gt;0)),))"),"")</f>
        <v/>
      </c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spans="1:32">
      <c r="A909" s="5"/>
      <c r="B909" s="6"/>
      <c r="C909" s="20">
        <f>IFERROR(VLOOKUP(B909,ชื่อสินค้า!A:C,3,FALSE),)</f>
        <v>0</v>
      </c>
      <c r="D909" s="8" t="str">
        <f>IFERROR(VLOOKUP(B909,ชื่อสินค้า!A:D,4,FALSE),"")</f>
        <v/>
      </c>
      <c r="E909" s="9"/>
      <c r="F909" s="21" t="str">
        <f t="shared" si="20"/>
        <v/>
      </c>
      <c r="G909" s="22"/>
      <c r="H909" s="8">
        <f>IFERROR(VLOOKUP(G909,ซื้อสินค้า!H:I,2,FALSE),)</f>
        <v>0</v>
      </c>
      <c r="I909" s="21">
        <f>IFERROR(VLOOKUP(G909,ซื้อสินค้า!H:J,3,FALSE),)</f>
        <v>0</v>
      </c>
      <c r="J909" s="21">
        <f t="shared" si="21"/>
        <v>0</v>
      </c>
      <c r="K909" s="21">
        <f t="shared" si="22"/>
        <v>0</v>
      </c>
      <c r="L909" s="12">
        <f t="shared" si="23"/>
        <v>0</v>
      </c>
      <c r="M909" s="21">
        <f t="shared" si="24"/>
        <v>0</v>
      </c>
      <c r="N909" s="9" t="str">
        <f ca="1">IFERROR(__xludf.DUMMYFUNCTION("IF(G909&lt;&gt;"""",G909, IFERROR(TRANSPOSE(FILTER('ซื้อสินค้า'!H:H,'ซื้อสินค้า'!B:B=B909,'ซื้อสินค้า'!I:I&gt;0)),))"),"")</f>
        <v/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spans="1:32">
      <c r="A910" s="5"/>
      <c r="B910" s="6"/>
      <c r="C910" s="20">
        <f>IFERROR(VLOOKUP(B910,ชื่อสินค้า!A:C,3,FALSE),)</f>
        <v>0</v>
      </c>
      <c r="D910" s="8" t="str">
        <f>IFERROR(VLOOKUP(B910,ชื่อสินค้า!A:D,4,FALSE),"")</f>
        <v/>
      </c>
      <c r="E910" s="9"/>
      <c r="F910" s="21" t="str">
        <f t="shared" si="20"/>
        <v/>
      </c>
      <c r="G910" s="22"/>
      <c r="H910" s="8">
        <f>IFERROR(VLOOKUP(G910,ซื้อสินค้า!H:I,2,FALSE),)</f>
        <v>0</v>
      </c>
      <c r="I910" s="21">
        <f>IFERROR(VLOOKUP(G910,ซื้อสินค้า!H:J,3,FALSE),)</f>
        <v>0</v>
      </c>
      <c r="J910" s="21">
        <f t="shared" si="21"/>
        <v>0</v>
      </c>
      <c r="K910" s="21">
        <f t="shared" si="22"/>
        <v>0</v>
      </c>
      <c r="L910" s="12">
        <f t="shared" si="23"/>
        <v>0</v>
      </c>
      <c r="M910" s="21">
        <f t="shared" si="24"/>
        <v>0</v>
      </c>
      <c r="N910" s="9" t="str">
        <f ca="1">IFERROR(__xludf.DUMMYFUNCTION("IF(G910&lt;&gt;"""",G910, IFERROR(TRANSPOSE(FILTER('ซื้อสินค้า'!H:H,'ซื้อสินค้า'!B:B=B910,'ซื้อสินค้า'!I:I&gt;0)),))"),"")</f>
        <v/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spans="1:32">
      <c r="A911" s="5"/>
      <c r="B911" s="6"/>
      <c r="C911" s="20">
        <f>IFERROR(VLOOKUP(B911,ชื่อสินค้า!A:C,3,FALSE),)</f>
        <v>0</v>
      </c>
      <c r="D911" s="8" t="str">
        <f>IFERROR(VLOOKUP(B911,ชื่อสินค้า!A:D,4,FALSE),"")</f>
        <v/>
      </c>
      <c r="E911" s="9"/>
      <c r="F911" s="21" t="str">
        <f t="shared" si="20"/>
        <v/>
      </c>
      <c r="G911" s="22"/>
      <c r="H911" s="8">
        <f>IFERROR(VLOOKUP(G911,ซื้อสินค้า!H:I,2,FALSE),)</f>
        <v>0</v>
      </c>
      <c r="I911" s="21">
        <f>IFERROR(VLOOKUP(G911,ซื้อสินค้า!H:J,3,FALSE),)</f>
        <v>0</v>
      </c>
      <c r="J911" s="21">
        <f t="shared" si="21"/>
        <v>0</v>
      </c>
      <c r="K911" s="21">
        <f t="shared" si="22"/>
        <v>0</v>
      </c>
      <c r="L911" s="12">
        <f t="shared" si="23"/>
        <v>0</v>
      </c>
      <c r="M911" s="21">
        <f t="shared" si="24"/>
        <v>0</v>
      </c>
      <c r="N911" s="9" t="str">
        <f ca="1">IFERROR(__xludf.DUMMYFUNCTION("IF(G911&lt;&gt;"""",G911, IFERROR(TRANSPOSE(FILTER('ซื้อสินค้า'!H:H,'ซื้อสินค้า'!B:B=B911,'ซื้อสินค้า'!I:I&gt;0)),))"),"")</f>
        <v/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spans="1:32">
      <c r="A912" s="5"/>
      <c r="B912" s="6"/>
      <c r="C912" s="20">
        <f>IFERROR(VLOOKUP(B912,ชื่อสินค้า!A:C,3,FALSE),)</f>
        <v>0</v>
      </c>
      <c r="D912" s="8" t="str">
        <f>IFERROR(VLOOKUP(B912,ชื่อสินค้า!A:D,4,FALSE),"")</f>
        <v/>
      </c>
      <c r="E912" s="9"/>
      <c r="F912" s="21" t="str">
        <f t="shared" si="20"/>
        <v/>
      </c>
      <c r="G912" s="22"/>
      <c r="H912" s="8">
        <f>IFERROR(VLOOKUP(G912,ซื้อสินค้า!H:I,2,FALSE),)</f>
        <v>0</v>
      </c>
      <c r="I912" s="21">
        <f>IFERROR(VLOOKUP(G912,ซื้อสินค้า!H:J,3,FALSE),)</f>
        <v>0</v>
      </c>
      <c r="J912" s="21">
        <f t="shared" si="21"/>
        <v>0</v>
      </c>
      <c r="K912" s="21">
        <f t="shared" si="22"/>
        <v>0</v>
      </c>
      <c r="L912" s="12">
        <f t="shared" si="23"/>
        <v>0</v>
      </c>
      <c r="M912" s="21">
        <f t="shared" si="24"/>
        <v>0</v>
      </c>
      <c r="N912" s="9" t="str">
        <f ca="1">IFERROR(__xludf.DUMMYFUNCTION("IF(G912&lt;&gt;"""",G912, IFERROR(TRANSPOSE(FILTER('ซื้อสินค้า'!H:H,'ซื้อสินค้า'!B:B=B912,'ซื้อสินค้า'!I:I&gt;0)),))"),"")</f>
        <v/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spans="1:32">
      <c r="A913" s="5"/>
      <c r="B913" s="6"/>
      <c r="C913" s="20">
        <f>IFERROR(VLOOKUP(B913,ชื่อสินค้า!A:C,3,FALSE),)</f>
        <v>0</v>
      </c>
      <c r="D913" s="8" t="str">
        <f>IFERROR(VLOOKUP(B913,ชื่อสินค้า!A:D,4,FALSE),"")</f>
        <v/>
      </c>
      <c r="E913" s="9"/>
      <c r="F913" s="21" t="str">
        <f t="shared" si="20"/>
        <v/>
      </c>
      <c r="G913" s="22"/>
      <c r="H913" s="8">
        <f>IFERROR(VLOOKUP(G913,ซื้อสินค้า!H:I,2,FALSE),)</f>
        <v>0</v>
      </c>
      <c r="I913" s="21">
        <f>IFERROR(VLOOKUP(G913,ซื้อสินค้า!H:J,3,FALSE),)</f>
        <v>0</v>
      </c>
      <c r="J913" s="21">
        <f t="shared" si="21"/>
        <v>0</v>
      </c>
      <c r="K913" s="21">
        <f t="shared" si="22"/>
        <v>0</v>
      </c>
      <c r="L913" s="12">
        <f t="shared" si="23"/>
        <v>0</v>
      </c>
      <c r="M913" s="21">
        <f t="shared" si="24"/>
        <v>0</v>
      </c>
      <c r="N913" s="9" t="str">
        <f ca="1">IFERROR(__xludf.DUMMYFUNCTION("IF(G913&lt;&gt;"""",G913, IFERROR(TRANSPOSE(FILTER('ซื้อสินค้า'!H:H,'ซื้อสินค้า'!B:B=B913,'ซื้อสินค้า'!I:I&gt;0)),))"),"")</f>
        <v/>
      </c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spans="1:32">
      <c r="A914" s="5"/>
      <c r="B914" s="6"/>
      <c r="C914" s="20">
        <f>IFERROR(VLOOKUP(B914,ชื่อสินค้า!A:C,3,FALSE),)</f>
        <v>0</v>
      </c>
      <c r="D914" s="8" t="str">
        <f>IFERROR(VLOOKUP(B914,ชื่อสินค้า!A:D,4,FALSE),"")</f>
        <v/>
      </c>
      <c r="E914" s="9"/>
      <c r="F914" s="21" t="str">
        <f t="shared" si="20"/>
        <v/>
      </c>
      <c r="G914" s="22"/>
      <c r="H914" s="8">
        <f>IFERROR(VLOOKUP(G914,ซื้อสินค้า!H:I,2,FALSE),)</f>
        <v>0</v>
      </c>
      <c r="I914" s="21">
        <f>IFERROR(VLOOKUP(G914,ซื้อสินค้า!H:J,3,FALSE),)</f>
        <v>0</v>
      </c>
      <c r="J914" s="21">
        <f t="shared" si="21"/>
        <v>0</v>
      </c>
      <c r="K914" s="21">
        <f t="shared" si="22"/>
        <v>0</v>
      </c>
      <c r="L914" s="12">
        <f t="shared" si="23"/>
        <v>0</v>
      </c>
      <c r="M914" s="21">
        <f t="shared" si="24"/>
        <v>0</v>
      </c>
      <c r="N914" s="9" t="str">
        <f ca="1">IFERROR(__xludf.DUMMYFUNCTION("IF(G914&lt;&gt;"""",G914, IFERROR(TRANSPOSE(FILTER('ซื้อสินค้า'!H:H,'ซื้อสินค้า'!B:B=B914,'ซื้อสินค้า'!I:I&gt;0)),))"),"")</f>
        <v/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spans="1:32">
      <c r="A915" s="5"/>
      <c r="B915" s="6"/>
      <c r="C915" s="20">
        <f>IFERROR(VLOOKUP(B915,ชื่อสินค้า!A:C,3,FALSE),)</f>
        <v>0</v>
      </c>
      <c r="D915" s="8" t="str">
        <f>IFERROR(VLOOKUP(B915,ชื่อสินค้า!A:D,4,FALSE),"")</f>
        <v/>
      </c>
      <c r="E915" s="9"/>
      <c r="F915" s="21" t="str">
        <f t="shared" si="20"/>
        <v/>
      </c>
      <c r="G915" s="22"/>
      <c r="H915" s="8">
        <f>IFERROR(VLOOKUP(G915,ซื้อสินค้า!H:I,2,FALSE),)</f>
        <v>0</v>
      </c>
      <c r="I915" s="21">
        <f>IFERROR(VLOOKUP(G915,ซื้อสินค้า!H:J,3,FALSE),)</f>
        <v>0</v>
      </c>
      <c r="J915" s="21">
        <f t="shared" si="21"/>
        <v>0</v>
      </c>
      <c r="K915" s="21">
        <f t="shared" si="22"/>
        <v>0</v>
      </c>
      <c r="L915" s="12">
        <f t="shared" si="23"/>
        <v>0</v>
      </c>
      <c r="M915" s="21">
        <f t="shared" si="24"/>
        <v>0</v>
      </c>
      <c r="N915" s="9" t="str">
        <f ca="1">IFERROR(__xludf.DUMMYFUNCTION("IF(G915&lt;&gt;"""",G915, IFERROR(TRANSPOSE(FILTER('ซื้อสินค้า'!H:H,'ซื้อสินค้า'!B:B=B915,'ซื้อสินค้า'!I:I&gt;0)),))"),"")</f>
        <v/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spans="1:32">
      <c r="A916" s="5"/>
      <c r="B916" s="6"/>
      <c r="C916" s="20">
        <f>IFERROR(VLOOKUP(B916,ชื่อสินค้า!A:C,3,FALSE),)</f>
        <v>0</v>
      </c>
      <c r="D916" s="8" t="str">
        <f>IFERROR(VLOOKUP(B916,ชื่อสินค้า!A:D,4,FALSE),"")</f>
        <v/>
      </c>
      <c r="E916" s="9"/>
      <c r="F916" s="21" t="str">
        <f t="shared" si="20"/>
        <v/>
      </c>
      <c r="G916" s="22"/>
      <c r="H916" s="8">
        <f>IFERROR(VLOOKUP(G916,ซื้อสินค้า!H:I,2,FALSE),)</f>
        <v>0</v>
      </c>
      <c r="I916" s="21">
        <f>IFERROR(VLOOKUP(G916,ซื้อสินค้า!H:J,3,FALSE),)</f>
        <v>0</v>
      </c>
      <c r="J916" s="21">
        <f t="shared" si="21"/>
        <v>0</v>
      </c>
      <c r="K916" s="21">
        <f t="shared" si="22"/>
        <v>0</v>
      </c>
      <c r="L916" s="12">
        <f t="shared" si="23"/>
        <v>0</v>
      </c>
      <c r="M916" s="21">
        <f t="shared" si="24"/>
        <v>0</v>
      </c>
      <c r="N916" s="9" t="str">
        <f ca="1">IFERROR(__xludf.DUMMYFUNCTION("IF(G916&lt;&gt;"""",G916, IFERROR(TRANSPOSE(FILTER('ซื้อสินค้า'!H:H,'ซื้อสินค้า'!B:B=B916,'ซื้อสินค้า'!I:I&gt;0)),))"),"")</f>
        <v/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spans="1:32">
      <c r="A917" s="5"/>
      <c r="B917" s="6"/>
      <c r="C917" s="20">
        <f>IFERROR(VLOOKUP(B917,ชื่อสินค้า!A:C,3,FALSE),)</f>
        <v>0</v>
      </c>
      <c r="D917" s="8" t="str">
        <f>IFERROR(VLOOKUP(B917,ชื่อสินค้า!A:D,4,FALSE),"")</f>
        <v/>
      </c>
      <c r="E917" s="9"/>
      <c r="F917" s="21" t="str">
        <f t="shared" si="20"/>
        <v/>
      </c>
      <c r="G917" s="22"/>
      <c r="H917" s="8">
        <f>IFERROR(VLOOKUP(G917,ซื้อสินค้า!H:I,2,FALSE),)</f>
        <v>0</v>
      </c>
      <c r="I917" s="21">
        <f>IFERROR(VLOOKUP(G917,ซื้อสินค้า!H:J,3,FALSE),)</f>
        <v>0</v>
      </c>
      <c r="J917" s="21">
        <f t="shared" si="21"/>
        <v>0</v>
      </c>
      <c r="K917" s="21">
        <f t="shared" si="22"/>
        <v>0</v>
      </c>
      <c r="L917" s="12">
        <f t="shared" si="23"/>
        <v>0</v>
      </c>
      <c r="M917" s="21">
        <f t="shared" si="24"/>
        <v>0</v>
      </c>
      <c r="N917" s="9" t="str">
        <f ca="1">IFERROR(__xludf.DUMMYFUNCTION("IF(G917&lt;&gt;"""",G917, IFERROR(TRANSPOSE(FILTER('ซื้อสินค้า'!H:H,'ซื้อสินค้า'!B:B=B917,'ซื้อสินค้า'!I:I&gt;0)),))"),"")</f>
        <v/>
      </c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spans="1:32">
      <c r="A918" s="5"/>
      <c r="B918" s="6"/>
      <c r="C918" s="20">
        <f>IFERROR(VLOOKUP(B918,ชื่อสินค้า!A:C,3,FALSE),)</f>
        <v>0</v>
      </c>
      <c r="D918" s="8" t="str">
        <f>IFERROR(VLOOKUP(B918,ชื่อสินค้า!A:D,4,FALSE),"")</f>
        <v/>
      </c>
      <c r="E918" s="9"/>
      <c r="F918" s="21" t="str">
        <f t="shared" si="20"/>
        <v/>
      </c>
      <c r="G918" s="22"/>
      <c r="H918" s="8">
        <f>IFERROR(VLOOKUP(G918,ซื้อสินค้า!H:I,2,FALSE),)</f>
        <v>0</v>
      </c>
      <c r="I918" s="21">
        <f>IFERROR(VLOOKUP(G918,ซื้อสินค้า!H:J,3,FALSE),)</f>
        <v>0</v>
      </c>
      <c r="J918" s="21">
        <f t="shared" si="21"/>
        <v>0</v>
      </c>
      <c r="K918" s="21">
        <f t="shared" si="22"/>
        <v>0</v>
      </c>
      <c r="L918" s="12">
        <f t="shared" si="23"/>
        <v>0</v>
      </c>
      <c r="M918" s="21">
        <f t="shared" si="24"/>
        <v>0</v>
      </c>
      <c r="N918" s="9" t="str">
        <f ca="1">IFERROR(__xludf.DUMMYFUNCTION("IF(G918&lt;&gt;"""",G918, IFERROR(TRANSPOSE(FILTER('ซื้อสินค้า'!H:H,'ซื้อสินค้า'!B:B=B918,'ซื้อสินค้า'!I:I&gt;0)),))"),"")</f>
        <v/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spans="1:32">
      <c r="A919" s="5"/>
      <c r="B919" s="6"/>
      <c r="C919" s="20">
        <f>IFERROR(VLOOKUP(B919,ชื่อสินค้า!A:C,3,FALSE),)</f>
        <v>0</v>
      </c>
      <c r="D919" s="8" t="str">
        <f>IFERROR(VLOOKUP(B919,ชื่อสินค้า!A:D,4,FALSE),"")</f>
        <v/>
      </c>
      <c r="E919" s="9"/>
      <c r="F919" s="21" t="str">
        <f t="shared" si="20"/>
        <v/>
      </c>
      <c r="G919" s="22"/>
      <c r="H919" s="8">
        <f>IFERROR(VLOOKUP(G919,ซื้อสินค้า!H:I,2,FALSE),)</f>
        <v>0</v>
      </c>
      <c r="I919" s="21">
        <f>IFERROR(VLOOKUP(G919,ซื้อสินค้า!H:J,3,FALSE),)</f>
        <v>0</v>
      </c>
      <c r="J919" s="21">
        <f t="shared" si="21"/>
        <v>0</v>
      </c>
      <c r="K919" s="21">
        <f t="shared" si="22"/>
        <v>0</v>
      </c>
      <c r="L919" s="12">
        <f t="shared" si="23"/>
        <v>0</v>
      </c>
      <c r="M919" s="21">
        <f t="shared" si="24"/>
        <v>0</v>
      </c>
      <c r="N919" s="9" t="str">
        <f ca="1">IFERROR(__xludf.DUMMYFUNCTION("IF(G919&lt;&gt;"""",G919, IFERROR(TRANSPOSE(FILTER('ซื้อสินค้า'!H:H,'ซื้อสินค้า'!B:B=B919,'ซื้อสินค้า'!I:I&gt;0)),))"),"")</f>
        <v/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spans="1:32">
      <c r="A920" s="5"/>
      <c r="B920" s="6"/>
      <c r="C920" s="20">
        <f>IFERROR(VLOOKUP(B920,ชื่อสินค้า!A:C,3,FALSE),)</f>
        <v>0</v>
      </c>
      <c r="D920" s="8" t="str">
        <f>IFERROR(VLOOKUP(B920,ชื่อสินค้า!A:D,4,FALSE),"")</f>
        <v/>
      </c>
      <c r="E920" s="9"/>
      <c r="F920" s="21" t="str">
        <f t="shared" si="20"/>
        <v/>
      </c>
      <c r="G920" s="22"/>
      <c r="H920" s="8">
        <f>IFERROR(VLOOKUP(G920,ซื้อสินค้า!H:I,2,FALSE),)</f>
        <v>0</v>
      </c>
      <c r="I920" s="21">
        <f>IFERROR(VLOOKUP(G920,ซื้อสินค้า!H:J,3,FALSE),)</f>
        <v>0</v>
      </c>
      <c r="J920" s="21">
        <f t="shared" si="21"/>
        <v>0</v>
      </c>
      <c r="K920" s="21">
        <f t="shared" si="22"/>
        <v>0</v>
      </c>
      <c r="L920" s="12">
        <f t="shared" si="23"/>
        <v>0</v>
      </c>
      <c r="M920" s="21">
        <f t="shared" si="24"/>
        <v>0</v>
      </c>
      <c r="N920" s="9" t="str">
        <f ca="1">IFERROR(__xludf.DUMMYFUNCTION("IF(G920&lt;&gt;"""",G920, IFERROR(TRANSPOSE(FILTER('ซื้อสินค้า'!H:H,'ซื้อสินค้า'!B:B=B920,'ซื้อสินค้า'!I:I&gt;0)),))"),"")</f>
        <v/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spans="1:32">
      <c r="A921" s="5"/>
      <c r="B921" s="6"/>
      <c r="C921" s="20">
        <f>IFERROR(VLOOKUP(B921,ชื่อสินค้า!A:C,3,FALSE),)</f>
        <v>0</v>
      </c>
      <c r="D921" s="8" t="str">
        <f>IFERROR(VLOOKUP(B921,ชื่อสินค้า!A:D,4,FALSE),"")</f>
        <v/>
      </c>
      <c r="E921" s="9"/>
      <c r="F921" s="21" t="str">
        <f t="shared" si="20"/>
        <v/>
      </c>
      <c r="G921" s="22"/>
      <c r="H921" s="8">
        <f>IFERROR(VLOOKUP(G921,ซื้อสินค้า!H:I,2,FALSE),)</f>
        <v>0</v>
      </c>
      <c r="I921" s="21">
        <f>IFERROR(VLOOKUP(G921,ซื้อสินค้า!H:J,3,FALSE),)</f>
        <v>0</v>
      </c>
      <c r="J921" s="21">
        <f t="shared" si="21"/>
        <v>0</v>
      </c>
      <c r="K921" s="21">
        <f t="shared" si="22"/>
        <v>0</v>
      </c>
      <c r="L921" s="12">
        <f t="shared" si="23"/>
        <v>0</v>
      </c>
      <c r="M921" s="21">
        <f t="shared" si="24"/>
        <v>0</v>
      </c>
      <c r="N921" s="9" t="str">
        <f ca="1">IFERROR(__xludf.DUMMYFUNCTION("IF(G921&lt;&gt;"""",G921, IFERROR(TRANSPOSE(FILTER('ซื้อสินค้า'!H:H,'ซื้อสินค้า'!B:B=B921,'ซื้อสินค้า'!I:I&gt;0)),))"),"")</f>
        <v/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spans="1:32">
      <c r="A922" s="5"/>
      <c r="B922" s="6"/>
      <c r="C922" s="20">
        <f>IFERROR(VLOOKUP(B922,ชื่อสินค้า!A:C,3,FALSE),)</f>
        <v>0</v>
      </c>
      <c r="D922" s="8" t="str">
        <f>IFERROR(VLOOKUP(B922,ชื่อสินค้า!A:D,4,FALSE),"")</f>
        <v/>
      </c>
      <c r="E922" s="9"/>
      <c r="F922" s="21" t="str">
        <f t="shared" si="20"/>
        <v/>
      </c>
      <c r="G922" s="22"/>
      <c r="H922" s="8">
        <f>IFERROR(VLOOKUP(G922,ซื้อสินค้า!H:I,2,FALSE),)</f>
        <v>0</v>
      </c>
      <c r="I922" s="21">
        <f>IFERROR(VLOOKUP(G922,ซื้อสินค้า!H:J,3,FALSE),)</f>
        <v>0</v>
      </c>
      <c r="J922" s="21">
        <f t="shared" si="21"/>
        <v>0</v>
      </c>
      <c r="K922" s="21">
        <f t="shared" si="22"/>
        <v>0</v>
      </c>
      <c r="L922" s="12">
        <f t="shared" si="23"/>
        <v>0</v>
      </c>
      <c r="M922" s="21">
        <f t="shared" si="24"/>
        <v>0</v>
      </c>
      <c r="N922" s="9" t="str">
        <f ca="1">IFERROR(__xludf.DUMMYFUNCTION("IF(G922&lt;&gt;"""",G922, IFERROR(TRANSPOSE(FILTER('ซื้อสินค้า'!H:H,'ซื้อสินค้า'!B:B=B922,'ซื้อสินค้า'!I:I&gt;0)),))"),"")</f>
        <v/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spans="1:32">
      <c r="A923" s="5"/>
      <c r="B923" s="6"/>
      <c r="C923" s="20">
        <f>IFERROR(VLOOKUP(B923,ชื่อสินค้า!A:C,3,FALSE),)</f>
        <v>0</v>
      </c>
      <c r="D923" s="8" t="str">
        <f>IFERROR(VLOOKUP(B923,ชื่อสินค้า!A:D,4,FALSE),"")</f>
        <v/>
      </c>
      <c r="E923" s="9"/>
      <c r="F923" s="21" t="str">
        <f t="shared" si="20"/>
        <v/>
      </c>
      <c r="G923" s="22"/>
      <c r="H923" s="8">
        <f>IFERROR(VLOOKUP(G923,ซื้อสินค้า!H:I,2,FALSE),)</f>
        <v>0</v>
      </c>
      <c r="I923" s="21">
        <f>IFERROR(VLOOKUP(G923,ซื้อสินค้า!H:J,3,FALSE),)</f>
        <v>0</v>
      </c>
      <c r="J923" s="21">
        <f t="shared" si="21"/>
        <v>0</v>
      </c>
      <c r="K923" s="21">
        <f t="shared" si="22"/>
        <v>0</v>
      </c>
      <c r="L923" s="12">
        <f t="shared" si="23"/>
        <v>0</v>
      </c>
      <c r="M923" s="21">
        <f t="shared" si="24"/>
        <v>0</v>
      </c>
      <c r="N923" s="9" t="str">
        <f ca="1">IFERROR(__xludf.DUMMYFUNCTION("IF(G923&lt;&gt;"""",G923, IFERROR(TRANSPOSE(FILTER('ซื้อสินค้า'!H:H,'ซื้อสินค้า'!B:B=B923,'ซื้อสินค้า'!I:I&gt;0)),))"),"")</f>
        <v/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spans="1:32">
      <c r="A924" s="5"/>
      <c r="B924" s="6"/>
      <c r="C924" s="20">
        <f>IFERROR(VLOOKUP(B924,ชื่อสินค้า!A:C,3,FALSE),)</f>
        <v>0</v>
      </c>
      <c r="D924" s="8" t="str">
        <f>IFERROR(VLOOKUP(B924,ชื่อสินค้า!A:D,4,FALSE),"")</f>
        <v/>
      </c>
      <c r="E924" s="9"/>
      <c r="F924" s="21" t="str">
        <f t="shared" si="20"/>
        <v/>
      </c>
      <c r="G924" s="22"/>
      <c r="H924" s="8">
        <f>IFERROR(VLOOKUP(G924,ซื้อสินค้า!H:I,2,FALSE),)</f>
        <v>0</v>
      </c>
      <c r="I924" s="21">
        <f>IFERROR(VLOOKUP(G924,ซื้อสินค้า!H:J,3,FALSE),)</f>
        <v>0</v>
      </c>
      <c r="J924" s="21">
        <f t="shared" si="21"/>
        <v>0</v>
      </c>
      <c r="K924" s="21">
        <f t="shared" si="22"/>
        <v>0</v>
      </c>
      <c r="L924" s="12">
        <f t="shared" si="23"/>
        <v>0</v>
      </c>
      <c r="M924" s="21">
        <f t="shared" si="24"/>
        <v>0</v>
      </c>
      <c r="N924" s="9" t="str">
        <f ca="1">IFERROR(__xludf.DUMMYFUNCTION("IF(G924&lt;&gt;"""",G924, IFERROR(TRANSPOSE(FILTER('ซื้อสินค้า'!H:H,'ซื้อสินค้า'!B:B=B924,'ซื้อสินค้า'!I:I&gt;0)),))"),"")</f>
        <v/>
      </c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spans="1:32">
      <c r="A925" s="5"/>
      <c r="B925" s="6"/>
      <c r="C925" s="20">
        <f>IFERROR(VLOOKUP(B925,ชื่อสินค้า!A:C,3,FALSE),)</f>
        <v>0</v>
      </c>
      <c r="D925" s="8" t="str">
        <f>IFERROR(VLOOKUP(B925,ชื่อสินค้า!A:D,4,FALSE),"")</f>
        <v/>
      </c>
      <c r="E925" s="9"/>
      <c r="F925" s="21" t="str">
        <f t="shared" si="20"/>
        <v/>
      </c>
      <c r="G925" s="22"/>
      <c r="H925" s="8">
        <f>IFERROR(VLOOKUP(G925,ซื้อสินค้า!H:I,2,FALSE),)</f>
        <v>0</v>
      </c>
      <c r="I925" s="21">
        <f>IFERROR(VLOOKUP(G925,ซื้อสินค้า!H:J,3,FALSE),)</f>
        <v>0</v>
      </c>
      <c r="J925" s="21">
        <f t="shared" si="21"/>
        <v>0</v>
      </c>
      <c r="K925" s="21">
        <f t="shared" si="22"/>
        <v>0</v>
      </c>
      <c r="L925" s="12">
        <f t="shared" si="23"/>
        <v>0</v>
      </c>
      <c r="M925" s="21">
        <f t="shared" si="24"/>
        <v>0</v>
      </c>
      <c r="N925" s="9" t="str">
        <f ca="1">IFERROR(__xludf.DUMMYFUNCTION("IF(G925&lt;&gt;"""",G925, IFERROR(TRANSPOSE(FILTER('ซื้อสินค้า'!H:H,'ซื้อสินค้า'!B:B=B925,'ซื้อสินค้า'!I:I&gt;0)),))"),"")</f>
        <v/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spans="1:32">
      <c r="A926" s="5"/>
      <c r="B926" s="6"/>
      <c r="C926" s="20">
        <f>IFERROR(VLOOKUP(B926,ชื่อสินค้า!A:C,3,FALSE),)</f>
        <v>0</v>
      </c>
      <c r="D926" s="8" t="str">
        <f>IFERROR(VLOOKUP(B926,ชื่อสินค้า!A:D,4,FALSE),"")</f>
        <v/>
      </c>
      <c r="E926" s="9"/>
      <c r="F926" s="21" t="str">
        <f t="shared" si="20"/>
        <v/>
      </c>
      <c r="G926" s="22"/>
      <c r="H926" s="8">
        <f>IFERROR(VLOOKUP(G926,ซื้อสินค้า!H:I,2,FALSE),)</f>
        <v>0</v>
      </c>
      <c r="I926" s="21">
        <f>IFERROR(VLOOKUP(G926,ซื้อสินค้า!H:J,3,FALSE),)</f>
        <v>0</v>
      </c>
      <c r="J926" s="21">
        <f t="shared" si="21"/>
        <v>0</v>
      </c>
      <c r="K926" s="21">
        <f t="shared" si="22"/>
        <v>0</v>
      </c>
      <c r="L926" s="12">
        <f t="shared" si="23"/>
        <v>0</v>
      </c>
      <c r="M926" s="21">
        <f t="shared" si="24"/>
        <v>0</v>
      </c>
      <c r="N926" s="9" t="str">
        <f ca="1">IFERROR(__xludf.DUMMYFUNCTION("IF(G926&lt;&gt;"""",G926, IFERROR(TRANSPOSE(FILTER('ซื้อสินค้า'!H:H,'ซื้อสินค้า'!B:B=B926,'ซื้อสินค้า'!I:I&gt;0)),))"),"")</f>
        <v/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spans="1:32">
      <c r="A927" s="5"/>
      <c r="B927" s="6"/>
      <c r="C927" s="20">
        <f>IFERROR(VLOOKUP(B927,ชื่อสินค้า!A:C,3,FALSE),)</f>
        <v>0</v>
      </c>
      <c r="D927" s="8" t="str">
        <f>IFERROR(VLOOKUP(B927,ชื่อสินค้า!A:D,4,FALSE),"")</f>
        <v/>
      </c>
      <c r="E927" s="9"/>
      <c r="F927" s="21" t="str">
        <f t="shared" si="20"/>
        <v/>
      </c>
      <c r="G927" s="22"/>
      <c r="H927" s="8">
        <f>IFERROR(VLOOKUP(G927,ซื้อสินค้า!H:I,2,FALSE),)</f>
        <v>0</v>
      </c>
      <c r="I927" s="21">
        <f>IFERROR(VLOOKUP(G927,ซื้อสินค้า!H:J,3,FALSE),)</f>
        <v>0</v>
      </c>
      <c r="J927" s="21">
        <f t="shared" si="21"/>
        <v>0</v>
      </c>
      <c r="K927" s="21">
        <f t="shared" si="22"/>
        <v>0</v>
      </c>
      <c r="L927" s="12">
        <f t="shared" si="23"/>
        <v>0</v>
      </c>
      <c r="M927" s="21">
        <f t="shared" si="24"/>
        <v>0</v>
      </c>
      <c r="N927" s="9" t="str">
        <f ca="1">IFERROR(__xludf.DUMMYFUNCTION("IF(G927&lt;&gt;"""",G927, IFERROR(TRANSPOSE(FILTER('ซื้อสินค้า'!H:H,'ซื้อสินค้า'!B:B=B927,'ซื้อสินค้า'!I:I&gt;0)),))"),"")</f>
        <v/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spans="1:32">
      <c r="A928" s="5"/>
      <c r="B928" s="6"/>
      <c r="C928" s="20">
        <f>IFERROR(VLOOKUP(B928,ชื่อสินค้า!A:C,3,FALSE),)</f>
        <v>0</v>
      </c>
      <c r="D928" s="8" t="str">
        <f>IFERROR(VLOOKUP(B928,ชื่อสินค้า!A:D,4,FALSE),"")</f>
        <v/>
      </c>
      <c r="E928" s="9"/>
      <c r="F928" s="21" t="str">
        <f t="shared" si="20"/>
        <v/>
      </c>
      <c r="G928" s="22"/>
      <c r="H928" s="8">
        <f>IFERROR(VLOOKUP(G928,ซื้อสินค้า!H:I,2,FALSE),)</f>
        <v>0</v>
      </c>
      <c r="I928" s="21">
        <f>IFERROR(VLOOKUP(G928,ซื้อสินค้า!H:J,3,FALSE),)</f>
        <v>0</v>
      </c>
      <c r="J928" s="21">
        <f t="shared" si="21"/>
        <v>0</v>
      </c>
      <c r="K928" s="21">
        <f t="shared" si="22"/>
        <v>0</v>
      </c>
      <c r="L928" s="12">
        <f t="shared" si="23"/>
        <v>0</v>
      </c>
      <c r="M928" s="21">
        <f t="shared" si="24"/>
        <v>0</v>
      </c>
      <c r="N928" s="9" t="str">
        <f ca="1">IFERROR(__xludf.DUMMYFUNCTION("IF(G928&lt;&gt;"""",G928, IFERROR(TRANSPOSE(FILTER('ซื้อสินค้า'!H:H,'ซื้อสินค้า'!B:B=B928,'ซื้อสินค้า'!I:I&gt;0)),))"),"")</f>
        <v/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spans="1:32">
      <c r="A929" s="5"/>
      <c r="B929" s="6"/>
      <c r="C929" s="20">
        <f>IFERROR(VLOOKUP(B929,ชื่อสินค้า!A:C,3,FALSE),)</f>
        <v>0</v>
      </c>
      <c r="D929" s="8" t="str">
        <f>IFERROR(VLOOKUP(B929,ชื่อสินค้า!A:D,4,FALSE),"")</f>
        <v/>
      </c>
      <c r="E929" s="9"/>
      <c r="F929" s="21" t="str">
        <f t="shared" si="20"/>
        <v/>
      </c>
      <c r="G929" s="22"/>
      <c r="H929" s="8">
        <f>IFERROR(VLOOKUP(G929,ซื้อสินค้า!H:I,2,FALSE),)</f>
        <v>0</v>
      </c>
      <c r="I929" s="21">
        <f>IFERROR(VLOOKUP(G929,ซื้อสินค้า!H:J,3,FALSE),)</f>
        <v>0</v>
      </c>
      <c r="J929" s="21">
        <f t="shared" si="21"/>
        <v>0</v>
      </c>
      <c r="K929" s="21">
        <f t="shared" si="22"/>
        <v>0</v>
      </c>
      <c r="L929" s="12">
        <f t="shared" si="23"/>
        <v>0</v>
      </c>
      <c r="M929" s="21">
        <f t="shared" si="24"/>
        <v>0</v>
      </c>
      <c r="N929" s="9" t="str">
        <f ca="1">IFERROR(__xludf.DUMMYFUNCTION("IF(G929&lt;&gt;"""",G929, IFERROR(TRANSPOSE(FILTER('ซื้อสินค้า'!H:H,'ซื้อสินค้า'!B:B=B929,'ซื้อสินค้า'!I:I&gt;0)),))"),"")</f>
        <v/>
      </c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spans="1:32">
      <c r="A930" s="5"/>
      <c r="B930" s="6"/>
      <c r="C930" s="20">
        <f>IFERROR(VLOOKUP(B930,ชื่อสินค้า!A:C,3,FALSE),)</f>
        <v>0</v>
      </c>
      <c r="D930" s="8" t="str">
        <f>IFERROR(VLOOKUP(B930,ชื่อสินค้า!A:D,4,FALSE),"")</f>
        <v/>
      </c>
      <c r="E930" s="9"/>
      <c r="F930" s="21" t="str">
        <f t="shared" si="20"/>
        <v/>
      </c>
      <c r="G930" s="22"/>
      <c r="H930" s="8">
        <f>IFERROR(VLOOKUP(G930,ซื้อสินค้า!H:I,2,FALSE),)</f>
        <v>0</v>
      </c>
      <c r="I930" s="21">
        <f>IFERROR(VLOOKUP(G930,ซื้อสินค้า!H:J,3,FALSE),)</f>
        <v>0</v>
      </c>
      <c r="J930" s="21">
        <f t="shared" si="21"/>
        <v>0</v>
      </c>
      <c r="K930" s="21">
        <f t="shared" si="22"/>
        <v>0</v>
      </c>
      <c r="L930" s="12">
        <f t="shared" si="23"/>
        <v>0</v>
      </c>
      <c r="M930" s="21">
        <f t="shared" si="24"/>
        <v>0</v>
      </c>
      <c r="N930" s="9" t="str">
        <f ca="1">IFERROR(__xludf.DUMMYFUNCTION("IF(G930&lt;&gt;"""",G930, IFERROR(TRANSPOSE(FILTER('ซื้อสินค้า'!H:H,'ซื้อสินค้า'!B:B=B930,'ซื้อสินค้า'!I:I&gt;0)),))"),"")</f>
        <v/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spans="1:32">
      <c r="A931" s="5"/>
      <c r="B931" s="6"/>
      <c r="C931" s="20">
        <f>IFERROR(VLOOKUP(B931,ชื่อสินค้า!A:C,3,FALSE),)</f>
        <v>0</v>
      </c>
      <c r="D931" s="8" t="str">
        <f>IFERROR(VLOOKUP(B931,ชื่อสินค้า!A:D,4,FALSE),"")</f>
        <v/>
      </c>
      <c r="E931" s="9"/>
      <c r="F931" s="21" t="str">
        <f t="shared" si="20"/>
        <v/>
      </c>
      <c r="G931" s="22"/>
      <c r="H931" s="8">
        <f>IFERROR(VLOOKUP(G931,ซื้อสินค้า!H:I,2,FALSE),)</f>
        <v>0</v>
      </c>
      <c r="I931" s="21">
        <f>IFERROR(VLOOKUP(G931,ซื้อสินค้า!H:J,3,FALSE),)</f>
        <v>0</v>
      </c>
      <c r="J931" s="21">
        <f t="shared" si="21"/>
        <v>0</v>
      </c>
      <c r="K931" s="21">
        <f t="shared" si="22"/>
        <v>0</v>
      </c>
      <c r="L931" s="12">
        <f t="shared" si="23"/>
        <v>0</v>
      </c>
      <c r="M931" s="21">
        <f t="shared" si="24"/>
        <v>0</v>
      </c>
      <c r="N931" s="9" t="str">
        <f ca="1">IFERROR(__xludf.DUMMYFUNCTION("IF(G931&lt;&gt;"""",G931, IFERROR(TRANSPOSE(FILTER('ซื้อสินค้า'!H:H,'ซื้อสินค้า'!B:B=B931,'ซื้อสินค้า'!I:I&gt;0)),))"),"")</f>
        <v/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spans="1:32">
      <c r="A932" s="5"/>
      <c r="B932" s="6"/>
      <c r="C932" s="20">
        <f>IFERROR(VLOOKUP(B932,ชื่อสินค้า!A:C,3,FALSE),)</f>
        <v>0</v>
      </c>
      <c r="D932" s="8" t="str">
        <f>IFERROR(VLOOKUP(B932,ชื่อสินค้า!A:D,4,FALSE),"")</f>
        <v/>
      </c>
      <c r="E932" s="9"/>
      <c r="F932" s="21" t="str">
        <f t="shared" si="20"/>
        <v/>
      </c>
      <c r="G932" s="22"/>
      <c r="H932" s="8">
        <f>IFERROR(VLOOKUP(G932,ซื้อสินค้า!H:I,2,FALSE),)</f>
        <v>0</v>
      </c>
      <c r="I932" s="21">
        <f>IFERROR(VLOOKUP(G932,ซื้อสินค้า!H:J,3,FALSE),)</f>
        <v>0</v>
      </c>
      <c r="J932" s="21">
        <f t="shared" si="21"/>
        <v>0</v>
      </c>
      <c r="K932" s="21">
        <f t="shared" si="22"/>
        <v>0</v>
      </c>
      <c r="L932" s="12">
        <f t="shared" si="23"/>
        <v>0</v>
      </c>
      <c r="M932" s="21">
        <f t="shared" si="24"/>
        <v>0</v>
      </c>
      <c r="N932" s="9" t="str">
        <f ca="1">IFERROR(__xludf.DUMMYFUNCTION("IF(G932&lt;&gt;"""",G932, IFERROR(TRANSPOSE(FILTER('ซื้อสินค้า'!H:H,'ซื้อสินค้า'!B:B=B932,'ซื้อสินค้า'!I:I&gt;0)),))"),"")</f>
        <v/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spans="1:32">
      <c r="A933" s="5"/>
      <c r="B933" s="6"/>
      <c r="C933" s="20">
        <f>IFERROR(VLOOKUP(B933,ชื่อสินค้า!A:C,3,FALSE),)</f>
        <v>0</v>
      </c>
      <c r="D933" s="8" t="str">
        <f>IFERROR(VLOOKUP(B933,ชื่อสินค้า!A:D,4,FALSE),"")</f>
        <v/>
      </c>
      <c r="E933" s="9"/>
      <c r="F933" s="21" t="str">
        <f t="shared" si="20"/>
        <v/>
      </c>
      <c r="G933" s="22"/>
      <c r="H933" s="8">
        <f>IFERROR(VLOOKUP(G933,ซื้อสินค้า!H:I,2,FALSE),)</f>
        <v>0</v>
      </c>
      <c r="I933" s="21">
        <f>IFERROR(VLOOKUP(G933,ซื้อสินค้า!H:J,3,FALSE),)</f>
        <v>0</v>
      </c>
      <c r="J933" s="21">
        <f t="shared" si="21"/>
        <v>0</v>
      </c>
      <c r="K933" s="21">
        <f t="shared" si="22"/>
        <v>0</v>
      </c>
      <c r="L933" s="12">
        <f t="shared" si="23"/>
        <v>0</v>
      </c>
      <c r="M933" s="21">
        <f t="shared" si="24"/>
        <v>0</v>
      </c>
      <c r="N933" s="9" t="str">
        <f ca="1">IFERROR(__xludf.DUMMYFUNCTION("IF(G933&lt;&gt;"""",G933, IFERROR(TRANSPOSE(FILTER('ซื้อสินค้า'!H:H,'ซื้อสินค้า'!B:B=B933,'ซื้อสินค้า'!I:I&gt;0)),))"),"")</f>
        <v/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spans="1:32">
      <c r="A934" s="5"/>
      <c r="B934" s="6"/>
      <c r="C934" s="20">
        <f>IFERROR(VLOOKUP(B934,ชื่อสินค้า!A:C,3,FALSE),)</f>
        <v>0</v>
      </c>
      <c r="D934" s="8" t="str">
        <f>IFERROR(VLOOKUP(B934,ชื่อสินค้า!A:D,4,FALSE),"")</f>
        <v/>
      </c>
      <c r="E934" s="9"/>
      <c r="F934" s="21" t="str">
        <f t="shared" si="20"/>
        <v/>
      </c>
      <c r="G934" s="22"/>
      <c r="H934" s="8">
        <f>IFERROR(VLOOKUP(G934,ซื้อสินค้า!H:I,2,FALSE),)</f>
        <v>0</v>
      </c>
      <c r="I934" s="21">
        <f>IFERROR(VLOOKUP(G934,ซื้อสินค้า!H:J,3,FALSE),)</f>
        <v>0</v>
      </c>
      <c r="J934" s="21">
        <f t="shared" si="21"/>
        <v>0</v>
      </c>
      <c r="K934" s="21">
        <f t="shared" si="22"/>
        <v>0</v>
      </c>
      <c r="L934" s="12">
        <f t="shared" si="23"/>
        <v>0</v>
      </c>
      <c r="M934" s="21">
        <f t="shared" si="24"/>
        <v>0</v>
      </c>
      <c r="N934" s="9" t="str">
        <f ca="1">IFERROR(__xludf.DUMMYFUNCTION("IF(G934&lt;&gt;"""",G934, IFERROR(TRANSPOSE(FILTER('ซื้อสินค้า'!H:H,'ซื้อสินค้า'!B:B=B934,'ซื้อสินค้า'!I:I&gt;0)),))"),"")</f>
        <v/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spans="1:32">
      <c r="A935" s="5"/>
      <c r="B935" s="6"/>
      <c r="C935" s="20">
        <f>IFERROR(VLOOKUP(B935,ชื่อสินค้า!A:C,3,FALSE),)</f>
        <v>0</v>
      </c>
      <c r="D935" s="8" t="str">
        <f>IFERROR(VLOOKUP(B935,ชื่อสินค้า!A:D,4,FALSE),"")</f>
        <v/>
      </c>
      <c r="E935" s="9"/>
      <c r="F935" s="21" t="str">
        <f t="shared" si="20"/>
        <v/>
      </c>
      <c r="G935" s="22"/>
      <c r="H935" s="8">
        <f>IFERROR(VLOOKUP(G935,ซื้อสินค้า!H:I,2,FALSE),)</f>
        <v>0</v>
      </c>
      <c r="I935" s="21">
        <f>IFERROR(VLOOKUP(G935,ซื้อสินค้า!H:J,3,FALSE),)</f>
        <v>0</v>
      </c>
      <c r="J935" s="21">
        <f t="shared" si="21"/>
        <v>0</v>
      </c>
      <c r="K935" s="21">
        <f t="shared" si="22"/>
        <v>0</v>
      </c>
      <c r="L935" s="12">
        <f t="shared" si="23"/>
        <v>0</v>
      </c>
      <c r="M935" s="21">
        <f t="shared" si="24"/>
        <v>0</v>
      </c>
      <c r="N935" s="9" t="str">
        <f ca="1">IFERROR(__xludf.DUMMYFUNCTION("IF(G935&lt;&gt;"""",G935, IFERROR(TRANSPOSE(FILTER('ซื้อสินค้า'!H:H,'ซื้อสินค้า'!B:B=B935,'ซื้อสินค้า'!I:I&gt;0)),))"),"")</f>
        <v/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spans="1:32">
      <c r="A936" s="5"/>
      <c r="B936" s="6"/>
      <c r="C936" s="20">
        <f>IFERROR(VLOOKUP(B936,ชื่อสินค้า!A:C,3,FALSE),)</f>
        <v>0</v>
      </c>
      <c r="D936" s="8" t="str">
        <f>IFERROR(VLOOKUP(B936,ชื่อสินค้า!A:D,4,FALSE),"")</f>
        <v/>
      </c>
      <c r="E936" s="9"/>
      <c r="F936" s="21" t="str">
        <f t="shared" si="20"/>
        <v/>
      </c>
      <c r="G936" s="22"/>
      <c r="H936" s="8">
        <f>IFERROR(VLOOKUP(G936,ซื้อสินค้า!H:I,2,FALSE),)</f>
        <v>0</v>
      </c>
      <c r="I936" s="21">
        <f>IFERROR(VLOOKUP(G936,ซื้อสินค้า!H:J,3,FALSE),)</f>
        <v>0</v>
      </c>
      <c r="J936" s="21">
        <f t="shared" si="21"/>
        <v>0</v>
      </c>
      <c r="K936" s="21">
        <f t="shared" si="22"/>
        <v>0</v>
      </c>
      <c r="L936" s="12">
        <f t="shared" si="23"/>
        <v>0</v>
      </c>
      <c r="M936" s="21">
        <f t="shared" si="24"/>
        <v>0</v>
      </c>
      <c r="N936" s="9" t="str">
        <f ca="1">IFERROR(__xludf.DUMMYFUNCTION("IF(G936&lt;&gt;"""",G936, IFERROR(TRANSPOSE(FILTER('ซื้อสินค้า'!H:H,'ซื้อสินค้า'!B:B=B936,'ซื้อสินค้า'!I:I&gt;0)),))"),"")</f>
        <v/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spans="1:32">
      <c r="A937" s="5"/>
      <c r="B937" s="6"/>
      <c r="C937" s="20">
        <f>IFERROR(VLOOKUP(B937,ชื่อสินค้า!A:C,3,FALSE),)</f>
        <v>0</v>
      </c>
      <c r="D937" s="8" t="str">
        <f>IFERROR(VLOOKUP(B937,ชื่อสินค้า!A:D,4,FALSE),"")</f>
        <v/>
      </c>
      <c r="E937" s="9"/>
      <c r="F937" s="21" t="str">
        <f t="shared" si="20"/>
        <v/>
      </c>
      <c r="G937" s="22"/>
      <c r="H937" s="8">
        <f>IFERROR(VLOOKUP(G937,ซื้อสินค้า!H:I,2,FALSE),)</f>
        <v>0</v>
      </c>
      <c r="I937" s="21">
        <f>IFERROR(VLOOKUP(G937,ซื้อสินค้า!H:J,3,FALSE),)</f>
        <v>0</v>
      </c>
      <c r="J937" s="21">
        <f t="shared" si="21"/>
        <v>0</v>
      </c>
      <c r="K937" s="21">
        <f t="shared" si="22"/>
        <v>0</v>
      </c>
      <c r="L937" s="12">
        <f t="shared" si="23"/>
        <v>0</v>
      </c>
      <c r="M937" s="21">
        <f t="shared" si="24"/>
        <v>0</v>
      </c>
      <c r="N937" s="9" t="str">
        <f ca="1">IFERROR(__xludf.DUMMYFUNCTION("IF(G937&lt;&gt;"""",G937, IFERROR(TRANSPOSE(FILTER('ซื้อสินค้า'!H:H,'ซื้อสินค้า'!B:B=B937,'ซื้อสินค้า'!I:I&gt;0)),))"),"")</f>
        <v/>
      </c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spans="1:32">
      <c r="A938" s="5"/>
      <c r="B938" s="6"/>
      <c r="C938" s="20">
        <f>IFERROR(VLOOKUP(B938,ชื่อสินค้า!A:C,3,FALSE),)</f>
        <v>0</v>
      </c>
      <c r="D938" s="8" t="str">
        <f>IFERROR(VLOOKUP(B938,ชื่อสินค้า!A:D,4,FALSE),"")</f>
        <v/>
      </c>
      <c r="E938" s="9"/>
      <c r="F938" s="21" t="str">
        <f t="shared" si="20"/>
        <v/>
      </c>
      <c r="G938" s="22"/>
      <c r="H938" s="8">
        <f>IFERROR(VLOOKUP(G938,ซื้อสินค้า!H:I,2,FALSE),)</f>
        <v>0</v>
      </c>
      <c r="I938" s="21">
        <f>IFERROR(VLOOKUP(G938,ซื้อสินค้า!H:J,3,FALSE),)</f>
        <v>0</v>
      </c>
      <c r="J938" s="21">
        <f t="shared" si="21"/>
        <v>0</v>
      </c>
      <c r="K938" s="21">
        <f t="shared" si="22"/>
        <v>0</v>
      </c>
      <c r="L938" s="12">
        <f t="shared" si="23"/>
        <v>0</v>
      </c>
      <c r="M938" s="21">
        <f t="shared" si="24"/>
        <v>0</v>
      </c>
      <c r="N938" s="9" t="str">
        <f ca="1">IFERROR(__xludf.DUMMYFUNCTION("IF(G938&lt;&gt;"""",G938, IFERROR(TRANSPOSE(FILTER('ซื้อสินค้า'!H:H,'ซื้อสินค้า'!B:B=B938,'ซื้อสินค้า'!I:I&gt;0)),))"),"")</f>
        <v/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spans="1:32">
      <c r="A939" s="5"/>
      <c r="B939" s="6"/>
      <c r="C939" s="20">
        <f>IFERROR(VLOOKUP(B939,ชื่อสินค้า!A:C,3,FALSE),)</f>
        <v>0</v>
      </c>
      <c r="D939" s="8" t="str">
        <f>IFERROR(VLOOKUP(B939,ชื่อสินค้า!A:D,4,FALSE),"")</f>
        <v/>
      </c>
      <c r="E939" s="9"/>
      <c r="F939" s="21" t="str">
        <f t="shared" si="20"/>
        <v/>
      </c>
      <c r="G939" s="22"/>
      <c r="H939" s="8">
        <f>IFERROR(VLOOKUP(G939,ซื้อสินค้า!H:I,2,FALSE),)</f>
        <v>0</v>
      </c>
      <c r="I939" s="21">
        <f>IFERROR(VLOOKUP(G939,ซื้อสินค้า!H:J,3,FALSE),)</f>
        <v>0</v>
      </c>
      <c r="J939" s="21">
        <f t="shared" si="21"/>
        <v>0</v>
      </c>
      <c r="K939" s="21">
        <f t="shared" si="22"/>
        <v>0</v>
      </c>
      <c r="L939" s="12">
        <f t="shared" si="23"/>
        <v>0</v>
      </c>
      <c r="M939" s="21">
        <f t="shared" si="24"/>
        <v>0</v>
      </c>
      <c r="N939" s="9" t="str">
        <f ca="1">IFERROR(__xludf.DUMMYFUNCTION("IF(G939&lt;&gt;"""",G939, IFERROR(TRANSPOSE(FILTER('ซื้อสินค้า'!H:H,'ซื้อสินค้า'!B:B=B939,'ซื้อสินค้า'!I:I&gt;0)),))"),"")</f>
        <v/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spans="1:32">
      <c r="A940" s="5"/>
      <c r="B940" s="6"/>
      <c r="C940" s="20">
        <f>IFERROR(VLOOKUP(B940,ชื่อสินค้า!A:C,3,FALSE),)</f>
        <v>0</v>
      </c>
      <c r="D940" s="8" t="str">
        <f>IFERROR(VLOOKUP(B940,ชื่อสินค้า!A:D,4,FALSE),"")</f>
        <v/>
      </c>
      <c r="E940" s="9"/>
      <c r="F940" s="21" t="str">
        <f t="shared" si="20"/>
        <v/>
      </c>
      <c r="G940" s="22"/>
      <c r="H940" s="8">
        <f>IFERROR(VLOOKUP(G940,ซื้อสินค้า!H:I,2,FALSE),)</f>
        <v>0</v>
      </c>
      <c r="I940" s="21">
        <f>IFERROR(VLOOKUP(G940,ซื้อสินค้า!H:J,3,FALSE),)</f>
        <v>0</v>
      </c>
      <c r="J940" s="21">
        <f t="shared" si="21"/>
        <v>0</v>
      </c>
      <c r="K940" s="21">
        <f t="shared" si="22"/>
        <v>0</v>
      </c>
      <c r="L940" s="12">
        <f t="shared" si="23"/>
        <v>0</v>
      </c>
      <c r="M940" s="21">
        <f t="shared" si="24"/>
        <v>0</v>
      </c>
      <c r="N940" s="9" t="str">
        <f ca="1">IFERROR(__xludf.DUMMYFUNCTION("IF(G940&lt;&gt;"""",G940, IFERROR(TRANSPOSE(FILTER('ซื้อสินค้า'!H:H,'ซื้อสินค้า'!B:B=B940,'ซื้อสินค้า'!I:I&gt;0)),))"),"")</f>
        <v/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spans="1:32">
      <c r="A941" s="5"/>
      <c r="B941" s="6"/>
      <c r="C941" s="20">
        <f>IFERROR(VLOOKUP(B941,ชื่อสินค้า!A:C,3,FALSE),)</f>
        <v>0</v>
      </c>
      <c r="D941" s="8" t="str">
        <f>IFERROR(VLOOKUP(B941,ชื่อสินค้า!A:D,4,FALSE),"")</f>
        <v/>
      </c>
      <c r="E941" s="9"/>
      <c r="F941" s="21" t="str">
        <f t="shared" si="20"/>
        <v/>
      </c>
      <c r="G941" s="22"/>
      <c r="H941" s="8">
        <f>IFERROR(VLOOKUP(G941,ซื้อสินค้า!H:I,2,FALSE),)</f>
        <v>0</v>
      </c>
      <c r="I941" s="21">
        <f>IFERROR(VLOOKUP(G941,ซื้อสินค้า!H:J,3,FALSE),)</f>
        <v>0</v>
      </c>
      <c r="J941" s="21">
        <f t="shared" si="21"/>
        <v>0</v>
      </c>
      <c r="K941" s="21">
        <f t="shared" si="22"/>
        <v>0</v>
      </c>
      <c r="L941" s="12">
        <f t="shared" si="23"/>
        <v>0</v>
      </c>
      <c r="M941" s="21">
        <f t="shared" si="24"/>
        <v>0</v>
      </c>
      <c r="N941" s="9" t="str">
        <f ca="1">IFERROR(__xludf.DUMMYFUNCTION("IF(G941&lt;&gt;"""",G941, IFERROR(TRANSPOSE(FILTER('ซื้อสินค้า'!H:H,'ซื้อสินค้า'!B:B=B941,'ซื้อสินค้า'!I:I&gt;0)),))"),"")</f>
        <v/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spans="1:32">
      <c r="A942" s="5"/>
      <c r="B942" s="6"/>
      <c r="C942" s="20">
        <f>IFERROR(VLOOKUP(B942,ชื่อสินค้า!A:C,3,FALSE),)</f>
        <v>0</v>
      </c>
      <c r="D942" s="8" t="str">
        <f>IFERROR(VLOOKUP(B942,ชื่อสินค้า!A:D,4,FALSE),"")</f>
        <v/>
      </c>
      <c r="E942" s="9"/>
      <c r="F942" s="21" t="str">
        <f t="shared" si="20"/>
        <v/>
      </c>
      <c r="G942" s="22"/>
      <c r="H942" s="8">
        <f>IFERROR(VLOOKUP(G942,ซื้อสินค้า!H:I,2,FALSE),)</f>
        <v>0</v>
      </c>
      <c r="I942" s="21">
        <f>IFERROR(VLOOKUP(G942,ซื้อสินค้า!H:J,3,FALSE),)</f>
        <v>0</v>
      </c>
      <c r="J942" s="21">
        <f t="shared" si="21"/>
        <v>0</v>
      </c>
      <c r="K942" s="21">
        <f t="shared" si="22"/>
        <v>0</v>
      </c>
      <c r="L942" s="12">
        <f t="shared" si="23"/>
        <v>0</v>
      </c>
      <c r="M942" s="21">
        <f t="shared" si="24"/>
        <v>0</v>
      </c>
      <c r="N942" s="9" t="str">
        <f ca="1">IFERROR(__xludf.DUMMYFUNCTION("IF(G942&lt;&gt;"""",G942, IFERROR(TRANSPOSE(FILTER('ซื้อสินค้า'!H:H,'ซื้อสินค้า'!B:B=B942,'ซื้อสินค้า'!I:I&gt;0)),))"),"")</f>
        <v/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spans="1:32">
      <c r="A943" s="5"/>
      <c r="B943" s="6"/>
      <c r="C943" s="20">
        <f>IFERROR(VLOOKUP(B943,ชื่อสินค้า!A:C,3,FALSE),)</f>
        <v>0</v>
      </c>
      <c r="D943" s="8" t="str">
        <f>IFERROR(VLOOKUP(B943,ชื่อสินค้า!A:D,4,FALSE),"")</f>
        <v/>
      </c>
      <c r="E943" s="9"/>
      <c r="F943" s="21" t="str">
        <f t="shared" si="20"/>
        <v/>
      </c>
      <c r="G943" s="22"/>
      <c r="H943" s="8">
        <f>IFERROR(VLOOKUP(G943,ซื้อสินค้า!H:I,2,FALSE),)</f>
        <v>0</v>
      </c>
      <c r="I943" s="21">
        <f>IFERROR(VLOOKUP(G943,ซื้อสินค้า!H:J,3,FALSE),)</f>
        <v>0</v>
      </c>
      <c r="J943" s="21">
        <f t="shared" si="21"/>
        <v>0</v>
      </c>
      <c r="K943" s="21">
        <f t="shared" si="22"/>
        <v>0</v>
      </c>
      <c r="L943" s="12">
        <f t="shared" si="23"/>
        <v>0</v>
      </c>
      <c r="M943" s="21">
        <f t="shared" si="24"/>
        <v>0</v>
      </c>
      <c r="N943" s="9" t="str">
        <f ca="1">IFERROR(__xludf.DUMMYFUNCTION("IF(G943&lt;&gt;"""",G943, IFERROR(TRANSPOSE(FILTER('ซื้อสินค้า'!H:H,'ซื้อสินค้า'!B:B=B943,'ซื้อสินค้า'!I:I&gt;0)),))"),"")</f>
        <v/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spans="1:32">
      <c r="A944" s="5"/>
      <c r="B944" s="6"/>
      <c r="C944" s="20">
        <f>IFERROR(VLOOKUP(B944,ชื่อสินค้า!A:C,3,FALSE),)</f>
        <v>0</v>
      </c>
      <c r="D944" s="8" t="str">
        <f>IFERROR(VLOOKUP(B944,ชื่อสินค้า!A:D,4,FALSE),"")</f>
        <v/>
      </c>
      <c r="E944" s="9"/>
      <c r="F944" s="21" t="str">
        <f t="shared" si="20"/>
        <v/>
      </c>
      <c r="G944" s="22"/>
      <c r="H944" s="8">
        <f>IFERROR(VLOOKUP(G944,ซื้อสินค้า!H:I,2,FALSE),)</f>
        <v>0</v>
      </c>
      <c r="I944" s="21">
        <f>IFERROR(VLOOKUP(G944,ซื้อสินค้า!H:J,3,FALSE),)</f>
        <v>0</v>
      </c>
      <c r="J944" s="21">
        <f t="shared" si="21"/>
        <v>0</v>
      </c>
      <c r="K944" s="21">
        <f t="shared" si="22"/>
        <v>0</v>
      </c>
      <c r="L944" s="12">
        <f t="shared" si="23"/>
        <v>0</v>
      </c>
      <c r="M944" s="21">
        <f t="shared" si="24"/>
        <v>0</v>
      </c>
      <c r="N944" s="9" t="str">
        <f ca="1">IFERROR(__xludf.DUMMYFUNCTION("IF(G944&lt;&gt;"""",G944, IFERROR(TRANSPOSE(FILTER('ซื้อสินค้า'!H:H,'ซื้อสินค้า'!B:B=B944,'ซื้อสินค้า'!I:I&gt;0)),))"),"")</f>
        <v/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spans="1:32">
      <c r="A945" s="5"/>
      <c r="B945" s="6"/>
      <c r="C945" s="20">
        <f>IFERROR(VLOOKUP(B945,ชื่อสินค้า!A:C,3,FALSE),)</f>
        <v>0</v>
      </c>
      <c r="D945" s="8" t="str">
        <f>IFERROR(VLOOKUP(B945,ชื่อสินค้า!A:D,4,FALSE),"")</f>
        <v/>
      </c>
      <c r="E945" s="9"/>
      <c r="F945" s="21" t="str">
        <f t="shared" si="20"/>
        <v/>
      </c>
      <c r="G945" s="22"/>
      <c r="H945" s="8">
        <f>IFERROR(VLOOKUP(G945,ซื้อสินค้า!H:I,2,FALSE),)</f>
        <v>0</v>
      </c>
      <c r="I945" s="21">
        <f>IFERROR(VLOOKUP(G945,ซื้อสินค้า!H:J,3,FALSE),)</f>
        <v>0</v>
      </c>
      <c r="J945" s="21">
        <f t="shared" si="21"/>
        <v>0</v>
      </c>
      <c r="K945" s="21">
        <f t="shared" si="22"/>
        <v>0</v>
      </c>
      <c r="L945" s="12">
        <f t="shared" si="23"/>
        <v>0</v>
      </c>
      <c r="M945" s="21">
        <f t="shared" si="24"/>
        <v>0</v>
      </c>
      <c r="N945" s="9" t="str">
        <f ca="1">IFERROR(__xludf.DUMMYFUNCTION("IF(G945&lt;&gt;"""",G945, IFERROR(TRANSPOSE(FILTER('ซื้อสินค้า'!H:H,'ซื้อสินค้า'!B:B=B945,'ซื้อสินค้า'!I:I&gt;0)),))"),"")</f>
        <v/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spans="1:32">
      <c r="A946" s="5"/>
      <c r="B946" s="6"/>
      <c r="C946" s="20">
        <f>IFERROR(VLOOKUP(B946,ชื่อสินค้า!A:C,3,FALSE),)</f>
        <v>0</v>
      </c>
      <c r="D946" s="8" t="str">
        <f>IFERROR(VLOOKUP(B946,ชื่อสินค้า!A:D,4,FALSE),"")</f>
        <v/>
      </c>
      <c r="E946" s="9"/>
      <c r="F946" s="21" t="str">
        <f t="shared" si="20"/>
        <v/>
      </c>
      <c r="G946" s="22"/>
      <c r="H946" s="8">
        <f>IFERROR(VLOOKUP(G946,ซื้อสินค้า!H:I,2,FALSE),)</f>
        <v>0</v>
      </c>
      <c r="I946" s="21">
        <f>IFERROR(VLOOKUP(G946,ซื้อสินค้า!H:J,3,FALSE),)</f>
        <v>0</v>
      </c>
      <c r="J946" s="21">
        <f t="shared" si="21"/>
        <v>0</v>
      </c>
      <c r="K946" s="21">
        <f t="shared" si="22"/>
        <v>0</v>
      </c>
      <c r="L946" s="12">
        <f t="shared" si="23"/>
        <v>0</v>
      </c>
      <c r="M946" s="21">
        <f t="shared" si="24"/>
        <v>0</v>
      </c>
      <c r="N946" s="9" t="str">
        <f ca="1">IFERROR(__xludf.DUMMYFUNCTION("IF(G946&lt;&gt;"""",G946, IFERROR(TRANSPOSE(FILTER('ซื้อสินค้า'!H:H,'ซื้อสินค้า'!B:B=B946,'ซื้อสินค้า'!I:I&gt;0)),))"),"")</f>
        <v/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spans="1:32">
      <c r="A947" s="5"/>
      <c r="B947" s="6"/>
      <c r="C947" s="20">
        <f>IFERROR(VLOOKUP(B947,ชื่อสินค้า!A:C,3,FALSE),)</f>
        <v>0</v>
      </c>
      <c r="D947" s="8" t="str">
        <f>IFERROR(VLOOKUP(B947,ชื่อสินค้า!A:D,4,FALSE),"")</f>
        <v/>
      </c>
      <c r="E947" s="9"/>
      <c r="F947" s="21" t="str">
        <f t="shared" si="20"/>
        <v/>
      </c>
      <c r="G947" s="22"/>
      <c r="H947" s="8">
        <f>IFERROR(VLOOKUP(G947,ซื้อสินค้า!H:I,2,FALSE),)</f>
        <v>0</v>
      </c>
      <c r="I947" s="21">
        <f>IFERROR(VLOOKUP(G947,ซื้อสินค้า!H:J,3,FALSE),)</f>
        <v>0</v>
      </c>
      <c r="J947" s="21">
        <f t="shared" si="21"/>
        <v>0</v>
      </c>
      <c r="K947" s="21">
        <f t="shared" si="22"/>
        <v>0</v>
      </c>
      <c r="L947" s="12">
        <f t="shared" si="23"/>
        <v>0</v>
      </c>
      <c r="M947" s="21">
        <f t="shared" si="24"/>
        <v>0</v>
      </c>
      <c r="N947" s="9" t="str">
        <f ca="1">IFERROR(__xludf.DUMMYFUNCTION("IF(G947&lt;&gt;"""",G947, IFERROR(TRANSPOSE(FILTER('ซื้อสินค้า'!H:H,'ซื้อสินค้า'!B:B=B947,'ซื้อสินค้า'!I:I&gt;0)),))"),"")</f>
        <v/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spans="1:32">
      <c r="A948" s="5"/>
      <c r="B948" s="6"/>
      <c r="C948" s="20">
        <f>IFERROR(VLOOKUP(B948,ชื่อสินค้า!A:C,3,FALSE),)</f>
        <v>0</v>
      </c>
      <c r="D948" s="8" t="str">
        <f>IFERROR(VLOOKUP(B948,ชื่อสินค้า!A:D,4,FALSE),"")</f>
        <v/>
      </c>
      <c r="E948" s="9"/>
      <c r="F948" s="21" t="str">
        <f t="shared" si="20"/>
        <v/>
      </c>
      <c r="G948" s="22"/>
      <c r="H948" s="8">
        <f>IFERROR(VLOOKUP(G948,ซื้อสินค้า!H:I,2,FALSE),)</f>
        <v>0</v>
      </c>
      <c r="I948" s="21">
        <f>IFERROR(VLOOKUP(G948,ซื้อสินค้า!H:J,3,FALSE),)</f>
        <v>0</v>
      </c>
      <c r="J948" s="21">
        <f t="shared" si="21"/>
        <v>0</v>
      </c>
      <c r="K948" s="21">
        <f t="shared" si="22"/>
        <v>0</v>
      </c>
      <c r="L948" s="12">
        <f t="shared" si="23"/>
        <v>0</v>
      </c>
      <c r="M948" s="21">
        <f t="shared" si="24"/>
        <v>0</v>
      </c>
      <c r="N948" s="9" t="str">
        <f ca="1">IFERROR(__xludf.DUMMYFUNCTION("IF(G948&lt;&gt;"""",G948, IFERROR(TRANSPOSE(FILTER('ซื้อสินค้า'!H:H,'ซื้อสินค้า'!B:B=B948,'ซื้อสินค้า'!I:I&gt;0)),))"),"")</f>
        <v/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spans="1:32">
      <c r="A949" s="5"/>
      <c r="B949" s="6"/>
      <c r="C949" s="20">
        <f>IFERROR(VLOOKUP(B949,ชื่อสินค้า!A:C,3,FALSE),)</f>
        <v>0</v>
      </c>
      <c r="D949" s="8" t="str">
        <f>IFERROR(VLOOKUP(B949,ชื่อสินค้า!A:D,4,FALSE),"")</f>
        <v/>
      </c>
      <c r="E949" s="9"/>
      <c r="F949" s="21" t="str">
        <f t="shared" si="20"/>
        <v/>
      </c>
      <c r="G949" s="22"/>
      <c r="H949" s="8">
        <f>IFERROR(VLOOKUP(G949,ซื้อสินค้า!H:I,2,FALSE),)</f>
        <v>0</v>
      </c>
      <c r="I949" s="21">
        <f>IFERROR(VLOOKUP(G949,ซื้อสินค้า!H:J,3,FALSE),)</f>
        <v>0</v>
      </c>
      <c r="J949" s="21">
        <f t="shared" si="21"/>
        <v>0</v>
      </c>
      <c r="K949" s="21">
        <f t="shared" si="22"/>
        <v>0</v>
      </c>
      <c r="L949" s="12">
        <f t="shared" si="23"/>
        <v>0</v>
      </c>
      <c r="M949" s="21">
        <f t="shared" si="24"/>
        <v>0</v>
      </c>
      <c r="N949" s="9" t="str">
        <f ca="1">IFERROR(__xludf.DUMMYFUNCTION("IF(G949&lt;&gt;"""",G949, IFERROR(TRANSPOSE(FILTER('ซื้อสินค้า'!H:H,'ซื้อสินค้า'!B:B=B949,'ซื้อสินค้า'!I:I&gt;0)),))"),"")</f>
        <v/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spans="1:32">
      <c r="A950" s="5"/>
      <c r="B950" s="6"/>
      <c r="C950" s="20">
        <f>IFERROR(VLOOKUP(B950,ชื่อสินค้า!A:C,3,FALSE),)</f>
        <v>0</v>
      </c>
      <c r="D950" s="8" t="str">
        <f>IFERROR(VLOOKUP(B950,ชื่อสินค้า!A:D,4,FALSE),"")</f>
        <v/>
      </c>
      <c r="E950" s="9"/>
      <c r="F950" s="21" t="str">
        <f t="shared" si="20"/>
        <v/>
      </c>
      <c r="G950" s="22"/>
      <c r="H950" s="8">
        <f>IFERROR(VLOOKUP(G950,ซื้อสินค้า!H:I,2,FALSE),)</f>
        <v>0</v>
      </c>
      <c r="I950" s="21">
        <f>IFERROR(VLOOKUP(G950,ซื้อสินค้า!H:J,3,FALSE),)</f>
        <v>0</v>
      </c>
      <c r="J950" s="21">
        <f t="shared" si="21"/>
        <v>0</v>
      </c>
      <c r="K950" s="21">
        <f t="shared" si="22"/>
        <v>0</v>
      </c>
      <c r="L950" s="12">
        <f t="shared" si="23"/>
        <v>0</v>
      </c>
      <c r="M950" s="21">
        <f t="shared" si="24"/>
        <v>0</v>
      </c>
      <c r="N950" s="9" t="str">
        <f ca="1">IFERROR(__xludf.DUMMYFUNCTION("IF(G950&lt;&gt;"""",G950, IFERROR(TRANSPOSE(FILTER('ซื้อสินค้า'!H:H,'ซื้อสินค้า'!B:B=B950,'ซื้อสินค้า'!I:I&gt;0)),))"),"")</f>
        <v/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spans="1:32">
      <c r="A951" s="5"/>
      <c r="B951" s="6"/>
      <c r="C951" s="20">
        <f>IFERROR(VLOOKUP(B951,ชื่อสินค้า!A:C,3,FALSE),)</f>
        <v>0</v>
      </c>
      <c r="D951" s="8" t="str">
        <f>IFERROR(VLOOKUP(B951,ชื่อสินค้า!A:D,4,FALSE),"")</f>
        <v/>
      </c>
      <c r="E951" s="9"/>
      <c r="F951" s="21" t="str">
        <f t="shared" si="20"/>
        <v/>
      </c>
      <c r="G951" s="22"/>
      <c r="H951" s="8">
        <f>IFERROR(VLOOKUP(G951,ซื้อสินค้า!H:I,2,FALSE),)</f>
        <v>0</v>
      </c>
      <c r="I951" s="21">
        <f>IFERROR(VLOOKUP(G951,ซื้อสินค้า!H:J,3,FALSE),)</f>
        <v>0</v>
      </c>
      <c r="J951" s="21">
        <f t="shared" si="21"/>
        <v>0</v>
      </c>
      <c r="K951" s="21">
        <f t="shared" si="22"/>
        <v>0</v>
      </c>
      <c r="L951" s="12">
        <f t="shared" si="23"/>
        <v>0</v>
      </c>
      <c r="M951" s="21">
        <f t="shared" si="24"/>
        <v>0</v>
      </c>
      <c r="N951" s="9" t="str">
        <f ca="1">IFERROR(__xludf.DUMMYFUNCTION("IF(G951&lt;&gt;"""",G951, IFERROR(TRANSPOSE(FILTER('ซื้อสินค้า'!H:H,'ซื้อสินค้า'!B:B=B951,'ซื้อสินค้า'!I:I&gt;0)),))"),"")</f>
        <v/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spans="1:32">
      <c r="A952" s="5"/>
      <c r="B952" s="6"/>
      <c r="C952" s="20">
        <f>IFERROR(VLOOKUP(B952,ชื่อสินค้า!A:C,3,FALSE),)</f>
        <v>0</v>
      </c>
      <c r="D952" s="8" t="str">
        <f>IFERROR(VLOOKUP(B952,ชื่อสินค้า!A:D,4,FALSE),"")</f>
        <v/>
      </c>
      <c r="E952" s="9"/>
      <c r="F952" s="21" t="str">
        <f t="shared" si="20"/>
        <v/>
      </c>
      <c r="G952" s="22"/>
      <c r="H952" s="8">
        <f>IFERROR(VLOOKUP(G952,ซื้อสินค้า!H:I,2,FALSE),)</f>
        <v>0</v>
      </c>
      <c r="I952" s="21">
        <f>IFERROR(VLOOKUP(G952,ซื้อสินค้า!H:J,3,FALSE),)</f>
        <v>0</v>
      </c>
      <c r="J952" s="21">
        <f t="shared" si="21"/>
        <v>0</v>
      </c>
      <c r="K952" s="21">
        <f t="shared" si="22"/>
        <v>0</v>
      </c>
      <c r="L952" s="12">
        <f t="shared" si="23"/>
        <v>0</v>
      </c>
      <c r="M952" s="21">
        <f t="shared" si="24"/>
        <v>0</v>
      </c>
      <c r="N952" s="9" t="str">
        <f ca="1">IFERROR(__xludf.DUMMYFUNCTION("IF(G952&lt;&gt;"""",G952, IFERROR(TRANSPOSE(FILTER('ซื้อสินค้า'!H:H,'ซื้อสินค้า'!B:B=B952,'ซื้อสินค้า'!I:I&gt;0)),))"),"")</f>
        <v/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spans="1:32">
      <c r="A953" s="5"/>
      <c r="B953" s="6"/>
      <c r="C953" s="20">
        <f>IFERROR(VLOOKUP(B953,ชื่อสินค้า!A:C,3,FALSE),)</f>
        <v>0</v>
      </c>
      <c r="D953" s="8" t="str">
        <f>IFERROR(VLOOKUP(B953,ชื่อสินค้า!A:D,4,FALSE),"")</f>
        <v/>
      </c>
      <c r="E953" s="9"/>
      <c r="F953" s="21" t="str">
        <f t="shared" si="20"/>
        <v/>
      </c>
      <c r="G953" s="22"/>
      <c r="H953" s="8">
        <f>IFERROR(VLOOKUP(G953,ซื้อสินค้า!H:I,2,FALSE),)</f>
        <v>0</v>
      </c>
      <c r="I953" s="21">
        <f>IFERROR(VLOOKUP(G953,ซื้อสินค้า!H:J,3,FALSE),)</f>
        <v>0</v>
      </c>
      <c r="J953" s="21">
        <f t="shared" si="21"/>
        <v>0</v>
      </c>
      <c r="K953" s="21">
        <f t="shared" si="22"/>
        <v>0</v>
      </c>
      <c r="L953" s="12">
        <f t="shared" si="23"/>
        <v>0</v>
      </c>
      <c r="M953" s="21">
        <f t="shared" si="24"/>
        <v>0</v>
      </c>
      <c r="N953" s="9" t="str">
        <f ca="1">IFERROR(__xludf.DUMMYFUNCTION("IF(G953&lt;&gt;"""",G953, IFERROR(TRANSPOSE(FILTER('ซื้อสินค้า'!H:H,'ซื้อสินค้า'!B:B=B953,'ซื้อสินค้า'!I:I&gt;0)),))"),"")</f>
        <v/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spans="1:32">
      <c r="A954" s="5"/>
      <c r="B954" s="6"/>
      <c r="C954" s="20">
        <f>IFERROR(VLOOKUP(B954,ชื่อสินค้า!A:C,3,FALSE),)</f>
        <v>0</v>
      </c>
      <c r="D954" s="8" t="str">
        <f>IFERROR(VLOOKUP(B954,ชื่อสินค้า!A:D,4,FALSE),"")</f>
        <v/>
      </c>
      <c r="E954" s="9"/>
      <c r="F954" s="21" t="str">
        <f t="shared" si="20"/>
        <v/>
      </c>
      <c r="G954" s="22"/>
      <c r="H954" s="8">
        <f>IFERROR(VLOOKUP(G954,ซื้อสินค้า!H:I,2,FALSE),)</f>
        <v>0</v>
      </c>
      <c r="I954" s="21">
        <f>IFERROR(VLOOKUP(G954,ซื้อสินค้า!H:J,3,FALSE),)</f>
        <v>0</v>
      </c>
      <c r="J954" s="21">
        <f t="shared" si="21"/>
        <v>0</v>
      </c>
      <c r="K954" s="21">
        <f t="shared" si="22"/>
        <v>0</v>
      </c>
      <c r="L954" s="12">
        <f t="shared" si="23"/>
        <v>0</v>
      </c>
      <c r="M954" s="21">
        <f t="shared" si="24"/>
        <v>0</v>
      </c>
      <c r="N954" s="9" t="str">
        <f ca="1">IFERROR(__xludf.DUMMYFUNCTION("IF(G954&lt;&gt;"""",G954, IFERROR(TRANSPOSE(FILTER('ซื้อสินค้า'!H:H,'ซื้อสินค้า'!B:B=B954,'ซื้อสินค้า'!I:I&gt;0)),))"),"")</f>
        <v/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spans="1:32">
      <c r="A955" s="5"/>
      <c r="B955" s="6"/>
      <c r="C955" s="20">
        <f>IFERROR(VLOOKUP(B955,ชื่อสินค้า!A:C,3,FALSE),)</f>
        <v>0</v>
      </c>
      <c r="D955" s="8" t="str">
        <f>IFERROR(VLOOKUP(B955,ชื่อสินค้า!A:D,4,FALSE),"")</f>
        <v/>
      </c>
      <c r="E955" s="9"/>
      <c r="F955" s="21" t="str">
        <f t="shared" si="20"/>
        <v/>
      </c>
      <c r="G955" s="22"/>
      <c r="H955" s="8">
        <f>IFERROR(VLOOKUP(G955,ซื้อสินค้า!H:I,2,FALSE),)</f>
        <v>0</v>
      </c>
      <c r="I955" s="21">
        <f>IFERROR(VLOOKUP(G955,ซื้อสินค้า!H:J,3,FALSE),)</f>
        <v>0</v>
      </c>
      <c r="J955" s="21">
        <f t="shared" si="21"/>
        <v>0</v>
      </c>
      <c r="K955" s="21">
        <f t="shared" si="22"/>
        <v>0</v>
      </c>
      <c r="L955" s="12">
        <f t="shared" si="23"/>
        <v>0</v>
      </c>
      <c r="M955" s="21">
        <f t="shared" si="24"/>
        <v>0</v>
      </c>
      <c r="N955" s="9" t="str">
        <f ca="1">IFERROR(__xludf.DUMMYFUNCTION("IF(G955&lt;&gt;"""",G955, IFERROR(TRANSPOSE(FILTER('ซื้อสินค้า'!H:H,'ซื้อสินค้า'!B:B=B955,'ซื้อสินค้า'!I:I&gt;0)),))"),"")</f>
        <v/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spans="1:32">
      <c r="A956" s="5"/>
      <c r="B956" s="6"/>
      <c r="C956" s="20">
        <f>IFERROR(VLOOKUP(B956,ชื่อสินค้า!A:C,3,FALSE),)</f>
        <v>0</v>
      </c>
      <c r="D956" s="8" t="str">
        <f>IFERROR(VLOOKUP(B956,ชื่อสินค้า!A:D,4,FALSE),"")</f>
        <v/>
      </c>
      <c r="E956" s="9"/>
      <c r="F956" s="21" t="str">
        <f t="shared" si="20"/>
        <v/>
      </c>
      <c r="G956" s="22"/>
      <c r="H956" s="8">
        <f>IFERROR(VLOOKUP(G956,ซื้อสินค้า!H:I,2,FALSE),)</f>
        <v>0</v>
      </c>
      <c r="I956" s="21">
        <f>IFERROR(VLOOKUP(G956,ซื้อสินค้า!H:J,3,FALSE),)</f>
        <v>0</v>
      </c>
      <c r="J956" s="21">
        <f t="shared" si="21"/>
        <v>0</v>
      </c>
      <c r="K956" s="21">
        <f t="shared" si="22"/>
        <v>0</v>
      </c>
      <c r="L956" s="12">
        <f t="shared" si="23"/>
        <v>0</v>
      </c>
      <c r="M956" s="21">
        <f t="shared" si="24"/>
        <v>0</v>
      </c>
      <c r="N956" s="9" t="str">
        <f ca="1">IFERROR(__xludf.DUMMYFUNCTION("IF(G956&lt;&gt;"""",G956, IFERROR(TRANSPOSE(FILTER('ซื้อสินค้า'!H:H,'ซื้อสินค้า'!B:B=B956,'ซื้อสินค้า'!I:I&gt;0)),))"),"")</f>
        <v/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spans="1:32">
      <c r="A957" s="5"/>
      <c r="B957" s="6"/>
      <c r="C957" s="20">
        <f>IFERROR(VLOOKUP(B957,ชื่อสินค้า!A:C,3,FALSE),)</f>
        <v>0</v>
      </c>
      <c r="D957" s="8" t="str">
        <f>IFERROR(VLOOKUP(B957,ชื่อสินค้า!A:D,4,FALSE),"")</f>
        <v/>
      </c>
      <c r="E957" s="9"/>
      <c r="F957" s="21" t="str">
        <f t="shared" si="20"/>
        <v/>
      </c>
      <c r="G957" s="22"/>
      <c r="H957" s="8">
        <f>IFERROR(VLOOKUP(G957,ซื้อสินค้า!H:I,2,FALSE),)</f>
        <v>0</v>
      </c>
      <c r="I957" s="21">
        <f>IFERROR(VLOOKUP(G957,ซื้อสินค้า!H:J,3,FALSE),)</f>
        <v>0</v>
      </c>
      <c r="J957" s="21">
        <f t="shared" si="21"/>
        <v>0</v>
      </c>
      <c r="K957" s="21">
        <f t="shared" si="22"/>
        <v>0</v>
      </c>
      <c r="L957" s="12">
        <f t="shared" si="23"/>
        <v>0</v>
      </c>
      <c r="M957" s="21">
        <f t="shared" si="24"/>
        <v>0</v>
      </c>
      <c r="N957" s="9" t="str">
        <f ca="1">IFERROR(__xludf.DUMMYFUNCTION("IF(G957&lt;&gt;"""",G957, IFERROR(TRANSPOSE(FILTER('ซื้อสินค้า'!H:H,'ซื้อสินค้า'!B:B=B957,'ซื้อสินค้า'!I:I&gt;0)),))"),"")</f>
        <v/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spans="1:32">
      <c r="A958" s="5"/>
      <c r="B958" s="6"/>
      <c r="C958" s="20">
        <f>IFERROR(VLOOKUP(B958,ชื่อสินค้า!A:C,3,FALSE),)</f>
        <v>0</v>
      </c>
      <c r="D958" s="8" t="str">
        <f>IFERROR(VLOOKUP(B958,ชื่อสินค้า!A:D,4,FALSE),"")</f>
        <v/>
      </c>
      <c r="E958" s="9"/>
      <c r="F958" s="21" t="str">
        <f t="shared" si="20"/>
        <v/>
      </c>
      <c r="G958" s="22"/>
      <c r="H958" s="8">
        <f>IFERROR(VLOOKUP(G958,ซื้อสินค้า!H:I,2,FALSE),)</f>
        <v>0</v>
      </c>
      <c r="I958" s="21">
        <f>IFERROR(VLOOKUP(G958,ซื้อสินค้า!H:J,3,FALSE),)</f>
        <v>0</v>
      </c>
      <c r="J958" s="21">
        <f t="shared" si="21"/>
        <v>0</v>
      </c>
      <c r="K958" s="21">
        <f t="shared" si="22"/>
        <v>0</v>
      </c>
      <c r="L958" s="12">
        <f t="shared" si="23"/>
        <v>0</v>
      </c>
      <c r="M958" s="21">
        <f t="shared" si="24"/>
        <v>0</v>
      </c>
      <c r="N958" s="9" t="str">
        <f ca="1">IFERROR(__xludf.DUMMYFUNCTION("IF(G958&lt;&gt;"""",G958, IFERROR(TRANSPOSE(FILTER('ซื้อสินค้า'!H:H,'ซื้อสินค้า'!B:B=B958,'ซื้อสินค้า'!I:I&gt;0)),))"),"")</f>
        <v/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spans="1:32">
      <c r="A959" s="5"/>
      <c r="B959" s="6"/>
      <c r="C959" s="20">
        <f>IFERROR(VLOOKUP(B959,ชื่อสินค้า!A:C,3,FALSE),)</f>
        <v>0</v>
      </c>
      <c r="D959" s="8" t="str">
        <f>IFERROR(VLOOKUP(B959,ชื่อสินค้า!A:D,4,FALSE),"")</f>
        <v/>
      </c>
      <c r="E959" s="9"/>
      <c r="F959" s="21" t="str">
        <f t="shared" si="20"/>
        <v/>
      </c>
      <c r="G959" s="22"/>
      <c r="H959" s="8">
        <f>IFERROR(VLOOKUP(G959,ซื้อสินค้า!H:I,2,FALSE),)</f>
        <v>0</v>
      </c>
      <c r="I959" s="21">
        <f>IFERROR(VLOOKUP(G959,ซื้อสินค้า!H:J,3,FALSE),)</f>
        <v>0</v>
      </c>
      <c r="J959" s="21">
        <f t="shared" si="21"/>
        <v>0</v>
      </c>
      <c r="K959" s="21">
        <f t="shared" si="22"/>
        <v>0</v>
      </c>
      <c r="L959" s="12">
        <f t="shared" si="23"/>
        <v>0</v>
      </c>
      <c r="M959" s="21">
        <f t="shared" si="24"/>
        <v>0</v>
      </c>
      <c r="N959" s="9" t="str">
        <f ca="1">IFERROR(__xludf.DUMMYFUNCTION("IF(G959&lt;&gt;"""",G959, IFERROR(TRANSPOSE(FILTER('ซื้อสินค้า'!H:H,'ซื้อสินค้า'!B:B=B959,'ซื้อสินค้า'!I:I&gt;0)),))"),"")</f>
        <v/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spans="1:32">
      <c r="A960" s="5"/>
      <c r="B960" s="6"/>
      <c r="C960" s="20">
        <f>IFERROR(VLOOKUP(B960,ชื่อสินค้า!A:C,3,FALSE),)</f>
        <v>0</v>
      </c>
      <c r="D960" s="8" t="str">
        <f>IFERROR(VLOOKUP(B960,ชื่อสินค้า!A:D,4,FALSE),"")</f>
        <v/>
      </c>
      <c r="E960" s="9"/>
      <c r="F960" s="21" t="str">
        <f t="shared" si="20"/>
        <v/>
      </c>
      <c r="G960" s="22"/>
      <c r="H960" s="8">
        <f>IFERROR(VLOOKUP(G960,ซื้อสินค้า!H:I,2,FALSE),)</f>
        <v>0</v>
      </c>
      <c r="I960" s="21">
        <f>IFERROR(VLOOKUP(G960,ซื้อสินค้า!H:J,3,FALSE),)</f>
        <v>0</v>
      </c>
      <c r="J960" s="21">
        <f t="shared" si="21"/>
        <v>0</v>
      </c>
      <c r="K960" s="21">
        <f t="shared" si="22"/>
        <v>0</v>
      </c>
      <c r="L960" s="12">
        <f t="shared" si="23"/>
        <v>0</v>
      </c>
      <c r="M960" s="21">
        <f t="shared" si="24"/>
        <v>0</v>
      </c>
      <c r="N960" s="9" t="str">
        <f ca="1">IFERROR(__xludf.DUMMYFUNCTION("IF(G960&lt;&gt;"""",G960, IFERROR(TRANSPOSE(FILTER('ซื้อสินค้า'!H:H,'ซื้อสินค้า'!B:B=B960,'ซื้อสินค้า'!I:I&gt;0)),))"),"")</f>
        <v/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spans="1:32">
      <c r="A961" s="5"/>
      <c r="B961" s="6"/>
      <c r="C961" s="20">
        <f>IFERROR(VLOOKUP(B961,ชื่อสินค้า!A:C,3,FALSE),)</f>
        <v>0</v>
      </c>
      <c r="D961" s="8" t="str">
        <f>IFERROR(VLOOKUP(B961,ชื่อสินค้า!A:D,4,FALSE),"")</f>
        <v/>
      </c>
      <c r="E961" s="9"/>
      <c r="F961" s="21" t="str">
        <f t="shared" si="20"/>
        <v/>
      </c>
      <c r="G961" s="22"/>
      <c r="H961" s="8">
        <f>IFERROR(VLOOKUP(G961,ซื้อสินค้า!H:I,2,FALSE),)</f>
        <v>0</v>
      </c>
      <c r="I961" s="21">
        <f>IFERROR(VLOOKUP(G961,ซื้อสินค้า!H:J,3,FALSE),)</f>
        <v>0</v>
      </c>
      <c r="J961" s="21">
        <f t="shared" si="21"/>
        <v>0</v>
      </c>
      <c r="K961" s="21">
        <f t="shared" si="22"/>
        <v>0</v>
      </c>
      <c r="L961" s="12">
        <f t="shared" si="23"/>
        <v>0</v>
      </c>
      <c r="M961" s="21">
        <f t="shared" si="24"/>
        <v>0</v>
      </c>
      <c r="N961" s="9" t="str">
        <f ca="1">IFERROR(__xludf.DUMMYFUNCTION("IF(G961&lt;&gt;"""",G961, IFERROR(TRANSPOSE(FILTER('ซื้อสินค้า'!H:H,'ซื้อสินค้า'!B:B=B961,'ซื้อสินค้า'!I:I&gt;0)),))"),"")</f>
        <v/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spans="1:32">
      <c r="A962" s="5"/>
      <c r="B962" s="6"/>
      <c r="C962" s="20">
        <f>IFERROR(VLOOKUP(B962,ชื่อสินค้า!A:C,3,FALSE),)</f>
        <v>0</v>
      </c>
      <c r="D962" s="8" t="str">
        <f>IFERROR(VLOOKUP(B962,ชื่อสินค้า!A:D,4,FALSE),"")</f>
        <v/>
      </c>
      <c r="E962" s="9"/>
      <c r="F962" s="21" t="str">
        <f t="shared" si="20"/>
        <v/>
      </c>
      <c r="G962" s="22"/>
      <c r="H962" s="8">
        <f>IFERROR(VLOOKUP(G962,ซื้อสินค้า!H:I,2,FALSE),)</f>
        <v>0</v>
      </c>
      <c r="I962" s="21">
        <f>IFERROR(VLOOKUP(G962,ซื้อสินค้า!H:J,3,FALSE),)</f>
        <v>0</v>
      </c>
      <c r="J962" s="21">
        <f t="shared" si="21"/>
        <v>0</v>
      </c>
      <c r="K962" s="21">
        <f t="shared" si="22"/>
        <v>0</v>
      </c>
      <c r="L962" s="12">
        <f t="shared" si="23"/>
        <v>0</v>
      </c>
      <c r="M962" s="21">
        <f t="shared" si="24"/>
        <v>0</v>
      </c>
      <c r="N962" s="9" t="str">
        <f ca="1">IFERROR(__xludf.DUMMYFUNCTION("IF(G962&lt;&gt;"""",G962, IFERROR(TRANSPOSE(FILTER('ซื้อสินค้า'!H:H,'ซื้อสินค้า'!B:B=B962,'ซื้อสินค้า'!I:I&gt;0)),))"),"")</f>
        <v/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spans="1:32">
      <c r="A963" s="5"/>
      <c r="B963" s="6"/>
      <c r="C963" s="20">
        <f>IFERROR(VLOOKUP(B963,ชื่อสินค้า!A:C,3,FALSE),)</f>
        <v>0</v>
      </c>
      <c r="D963" s="8" t="str">
        <f>IFERROR(VLOOKUP(B963,ชื่อสินค้า!A:D,4,FALSE),"")</f>
        <v/>
      </c>
      <c r="E963" s="9"/>
      <c r="F963" s="21" t="str">
        <f t="shared" si="20"/>
        <v/>
      </c>
      <c r="G963" s="22"/>
      <c r="H963" s="8">
        <f>IFERROR(VLOOKUP(G963,ซื้อสินค้า!H:I,2,FALSE),)</f>
        <v>0</v>
      </c>
      <c r="I963" s="21">
        <f>IFERROR(VLOOKUP(G963,ซื้อสินค้า!H:J,3,FALSE),)</f>
        <v>0</v>
      </c>
      <c r="J963" s="21">
        <f t="shared" si="21"/>
        <v>0</v>
      </c>
      <c r="K963" s="21">
        <f t="shared" si="22"/>
        <v>0</v>
      </c>
      <c r="L963" s="12">
        <f t="shared" si="23"/>
        <v>0</v>
      </c>
      <c r="M963" s="21">
        <f t="shared" si="24"/>
        <v>0</v>
      </c>
      <c r="N963" s="9" t="str">
        <f ca="1">IFERROR(__xludf.DUMMYFUNCTION("IF(G963&lt;&gt;"""",G963, IFERROR(TRANSPOSE(FILTER('ซื้อสินค้า'!H:H,'ซื้อสินค้า'!B:B=B963,'ซื้อสินค้า'!I:I&gt;0)),))"),"")</f>
        <v/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spans="1:32">
      <c r="A964" s="5"/>
      <c r="B964" s="6"/>
      <c r="C964" s="20">
        <f>IFERROR(VLOOKUP(B964,ชื่อสินค้า!A:C,3,FALSE),)</f>
        <v>0</v>
      </c>
      <c r="D964" s="8" t="str">
        <f>IFERROR(VLOOKUP(B964,ชื่อสินค้า!A:D,4,FALSE),"")</f>
        <v/>
      </c>
      <c r="E964" s="9"/>
      <c r="F964" s="21" t="str">
        <f t="shared" si="20"/>
        <v/>
      </c>
      <c r="G964" s="22"/>
      <c r="H964" s="8">
        <f>IFERROR(VLOOKUP(G964,ซื้อสินค้า!H:I,2,FALSE),)</f>
        <v>0</v>
      </c>
      <c r="I964" s="21">
        <f>IFERROR(VLOOKUP(G964,ซื้อสินค้า!H:J,3,FALSE),)</f>
        <v>0</v>
      </c>
      <c r="J964" s="21">
        <f t="shared" si="21"/>
        <v>0</v>
      </c>
      <c r="K964" s="21">
        <f t="shared" si="22"/>
        <v>0</v>
      </c>
      <c r="L964" s="12">
        <f t="shared" si="23"/>
        <v>0</v>
      </c>
      <c r="M964" s="21">
        <f t="shared" si="24"/>
        <v>0</v>
      </c>
      <c r="N964" s="9" t="str">
        <f ca="1">IFERROR(__xludf.DUMMYFUNCTION("IF(G964&lt;&gt;"""",G964, IFERROR(TRANSPOSE(FILTER('ซื้อสินค้า'!H:H,'ซื้อสินค้า'!B:B=B964,'ซื้อสินค้า'!I:I&gt;0)),))"),"")</f>
        <v/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spans="1:32">
      <c r="A965" s="5"/>
      <c r="B965" s="6"/>
      <c r="C965" s="20">
        <f>IFERROR(VLOOKUP(B965,ชื่อสินค้า!A:C,3,FALSE),)</f>
        <v>0</v>
      </c>
      <c r="D965" s="8" t="str">
        <f>IFERROR(VLOOKUP(B965,ชื่อสินค้า!A:D,4,FALSE),"")</f>
        <v/>
      </c>
      <c r="E965" s="9"/>
      <c r="F965" s="21" t="str">
        <f t="shared" si="20"/>
        <v/>
      </c>
      <c r="G965" s="22"/>
      <c r="H965" s="8">
        <f>IFERROR(VLOOKUP(G965,ซื้อสินค้า!H:I,2,FALSE),)</f>
        <v>0</v>
      </c>
      <c r="I965" s="21">
        <f>IFERROR(VLOOKUP(G965,ซื้อสินค้า!H:J,3,FALSE),)</f>
        <v>0</v>
      </c>
      <c r="J965" s="21">
        <f t="shared" si="21"/>
        <v>0</v>
      </c>
      <c r="K965" s="21">
        <f t="shared" si="22"/>
        <v>0</v>
      </c>
      <c r="L965" s="12">
        <f t="shared" si="23"/>
        <v>0</v>
      </c>
      <c r="M965" s="21">
        <f t="shared" si="24"/>
        <v>0</v>
      </c>
      <c r="N965" s="9" t="str">
        <f ca="1">IFERROR(__xludf.DUMMYFUNCTION("IF(G965&lt;&gt;"""",G965, IFERROR(TRANSPOSE(FILTER('ซื้อสินค้า'!H:H,'ซื้อสินค้า'!B:B=B965,'ซื้อสินค้า'!I:I&gt;0)),))"),"")</f>
        <v/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spans="1:32">
      <c r="A966" s="5"/>
      <c r="B966" s="6"/>
      <c r="C966" s="20">
        <f>IFERROR(VLOOKUP(B966,ชื่อสินค้า!A:C,3,FALSE),)</f>
        <v>0</v>
      </c>
      <c r="D966" s="8" t="str">
        <f>IFERROR(VLOOKUP(B966,ชื่อสินค้า!A:D,4,FALSE),"")</f>
        <v/>
      </c>
      <c r="E966" s="9"/>
      <c r="F966" s="21" t="str">
        <f t="shared" si="20"/>
        <v/>
      </c>
      <c r="G966" s="22"/>
      <c r="H966" s="8">
        <f>IFERROR(VLOOKUP(G966,ซื้อสินค้า!H:I,2,FALSE),)</f>
        <v>0</v>
      </c>
      <c r="I966" s="21">
        <f>IFERROR(VLOOKUP(G966,ซื้อสินค้า!H:J,3,FALSE),)</f>
        <v>0</v>
      </c>
      <c r="J966" s="21">
        <f t="shared" si="21"/>
        <v>0</v>
      </c>
      <c r="K966" s="21">
        <f t="shared" si="22"/>
        <v>0</v>
      </c>
      <c r="L966" s="12">
        <f t="shared" si="23"/>
        <v>0</v>
      </c>
      <c r="M966" s="21">
        <f t="shared" si="24"/>
        <v>0</v>
      </c>
      <c r="N966" s="9" t="str">
        <f ca="1">IFERROR(__xludf.DUMMYFUNCTION("IF(G966&lt;&gt;"""",G966, IFERROR(TRANSPOSE(FILTER('ซื้อสินค้า'!H:H,'ซื้อสินค้า'!B:B=B966,'ซื้อสินค้า'!I:I&gt;0)),))"),"")</f>
        <v/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spans="1:32">
      <c r="A967" s="5"/>
      <c r="B967" s="6"/>
      <c r="C967" s="20">
        <f>IFERROR(VLOOKUP(B967,ชื่อสินค้า!A:C,3,FALSE),)</f>
        <v>0</v>
      </c>
      <c r="D967" s="8" t="str">
        <f>IFERROR(VLOOKUP(B967,ชื่อสินค้า!A:D,4,FALSE),"")</f>
        <v/>
      </c>
      <c r="E967" s="9"/>
      <c r="F967" s="21" t="str">
        <f t="shared" si="20"/>
        <v/>
      </c>
      <c r="G967" s="22"/>
      <c r="H967" s="8">
        <f>IFERROR(VLOOKUP(G967,ซื้อสินค้า!H:I,2,FALSE),)</f>
        <v>0</v>
      </c>
      <c r="I967" s="21">
        <f>IFERROR(VLOOKUP(G967,ซื้อสินค้า!H:J,3,FALSE),)</f>
        <v>0</v>
      </c>
      <c r="J967" s="21">
        <f t="shared" si="21"/>
        <v>0</v>
      </c>
      <c r="K967" s="21">
        <f t="shared" si="22"/>
        <v>0</v>
      </c>
      <c r="L967" s="12">
        <f t="shared" si="23"/>
        <v>0</v>
      </c>
      <c r="M967" s="21">
        <f t="shared" si="24"/>
        <v>0</v>
      </c>
      <c r="N967" s="9" t="str">
        <f ca="1">IFERROR(__xludf.DUMMYFUNCTION("IF(G967&lt;&gt;"""",G967, IFERROR(TRANSPOSE(FILTER('ซื้อสินค้า'!H:H,'ซื้อสินค้า'!B:B=B967,'ซื้อสินค้า'!I:I&gt;0)),))"),"")</f>
        <v/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spans="1:32">
      <c r="A968" s="5"/>
      <c r="B968" s="6"/>
      <c r="C968" s="20">
        <f>IFERROR(VLOOKUP(B968,ชื่อสินค้า!A:C,3,FALSE),)</f>
        <v>0</v>
      </c>
      <c r="D968" s="8" t="str">
        <f>IFERROR(VLOOKUP(B968,ชื่อสินค้า!A:D,4,FALSE),"")</f>
        <v/>
      </c>
      <c r="E968" s="9"/>
      <c r="F968" s="21" t="str">
        <f t="shared" si="20"/>
        <v/>
      </c>
      <c r="G968" s="22"/>
      <c r="H968" s="8">
        <f>IFERROR(VLOOKUP(G968,ซื้อสินค้า!H:I,2,FALSE),)</f>
        <v>0</v>
      </c>
      <c r="I968" s="21">
        <f>IFERROR(VLOOKUP(G968,ซื้อสินค้า!H:J,3,FALSE),)</f>
        <v>0</v>
      </c>
      <c r="J968" s="21">
        <f t="shared" si="21"/>
        <v>0</v>
      </c>
      <c r="K968" s="21">
        <f t="shared" si="22"/>
        <v>0</v>
      </c>
      <c r="L968" s="12">
        <f t="shared" si="23"/>
        <v>0</v>
      </c>
      <c r="M968" s="21">
        <f t="shared" si="24"/>
        <v>0</v>
      </c>
      <c r="N968" s="9" t="str">
        <f ca="1">IFERROR(__xludf.DUMMYFUNCTION("IF(G968&lt;&gt;"""",G968, IFERROR(TRANSPOSE(FILTER('ซื้อสินค้า'!H:H,'ซื้อสินค้า'!B:B=B968,'ซื้อสินค้า'!I:I&gt;0)),))"),"")</f>
        <v/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spans="1:32">
      <c r="A969" s="5"/>
      <c r="B969" s="6"/>
      <c r="C969" s="20">
        <f>IFERROR(VLOOKUP(B969,ชื่อสินค้า!A:C,3,FALSE),)</f>
        <v>0</v>
      </c>
      <c r="D969" s="8" t="str">
        <f>IFERROR(VLOOKUP(B969,ชื่อสินค้า!A:D,4,FALSE),"")</f>
        <v/>
      </c>
      <c r="E969" s="9"/>
      <c r="F969" s="21" t="str">
        <f t="shared" si="20"/>
        <v/>
      </c>
      <c r="G969" s="22"/>
      <c r="H969" s="8">
        <f>IFERROR(VLOOKUP(G969,ซื้อสินค้า!H:I,2,FALSE),)</f>
        <v>0</v>
      </c>
      <c r="I969" s="21">
        <f>IFERROR(VLOOKUP(G969,ซื้อสินค้า!H:J,3,FALSE),)</f>
        <v>0</v>
      </c>
      <c r="J969" s="21">
        <f t="shared" si="21"/>
        <v>0</v>
      </c>
      <c r="K969" s="21">
        <f t="shared" si="22"/>
        <v>0</v>
      </c>
      <c r="L969" s="12">
        <f t="shared" si="23"/>
        <v>0</v>
      </c>
      <c r="M969" s="21">
        <f t="shared" si="24"/>
        <v>0</v>
      </c>
      <c r="N969" s="9" t="str">
        <f ca="1">IFERROR(__xludf.DUMMYFUNCTION("IF(G969&lt;&gt;"""",G969, IFERROR(TRANSPOSE(FILTER('ซื้อสินค้า'!H:H,'ซื้อสินค้า'!B:B=B969,'ซื้อสินค้า'!I:I&gt;0)),))"),"")</f>
        <v/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spans="1:32">
      <c r="A970" s="5"/>
      <c r="B970" s="6"/>
      <c r="C970" s="20">
        <f>IFERROR(VLOOKUP(B970,ชื่อสินค้า!A:C,3,FALSE),)</f>
        <v>0</v>
      </c>
      <c r="D970" s="8" t="str">
        <f>IFERROR(VLOOKUP(B970,ชื่อสินค้า!A:D,4,FALSE),"")</f>
        <v/>
      </c>
      <c r="E970" s="9"/>
      <c r="F970" s="21" t="str">
        <f t="shared" si="20"/>
        <v/>
      </c>
      <c r="G970" s="22"/>
      <c r="H970" s="8">
        <f>IFERROR(VLOOKUP(G970,ซื้อสินค้า!H:I,2,FALSE),)</f>
        <v>0</v>
      </c>
      <c r="I970" s="21">
        <f>IFERROR(VLOOKUP(G970,ซื้อสินค้า!H:J,3,FALSE),)</f>
        <v>0</v>
      </c>
      <c r="J970" s="21">
        <f t="shared" si="21"/>
        <v>0</v>
      </c>
      <c r="K970" s="21">
        <f t="shared" si="22"/>
        <v>0</v>
      </c>
      <c r="L970" s="12">
        <f t="shared" si="23"/>
        <v>0</v>
      </c>
      <c r="M970" s="21">
        <f t="shared" si="24"/>
        <v>0</v>
      </c>
      <c r="N970" s="9" t="str">
        <f ca="1">IFERROR(__xludf.DUMMYFUNCTION("IF(G970&lt;&gt;"""",G970, IFERROR(TRANSPOSE(FILTER('ซื้อสินค้า'!H:H,'ซื้อสินค้า'!B:B=B970,'ซื้อสินค้า'!I:I&gt;0)),))"),"")</f>
        <v/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spans="1:32">
      <c r="A971" s="5"/>
      <c r="B971" s="6"/>
      <c r="C971" s="20">
        <f>IFERROR(VLOOKUP(B971,ชื่อสินค้า!A:C,3,FALSE),)</f>
        <v>0</v>
      </c>
      <c r="D971" s="8" t="str">
        <f>IFERROR(VLOOKUP(B971,ชื่อสินค้า!A:D,4,FALSE),"")</f>
        <v/>
      </c>
      <c r="E971" s="9"/>
      <c r="F971" s="21" t="str">
        <f t="shared" si="20"/>
        <v/>
      </c>
      <c r="G971" s="22"/>
      <c r="H971" s="8">
        <f>IFERROR(VLOOKUP(G971,ซื้อสินค้า!H:I,2,FALSE),)</f>
        <v>0</v>
      </c>
      <c r="I971" s="21">
        <f>IFERROR(VLOOKUP(G971,ซื้อสินค้า!H:J,3,FALSE),)</f>
        <v>0</v>
      </c>
      <c r="J971" s="21">
        <f t="shared" si="21"/>
        <v>0</v>
      </c>
      <c r="K971" s="21">
        <f t="shared" si="22"/>
        <v>0</v>
      </c>
      <c r="L971" s="12">
        <f t="shared" si="23"/>
        <v>0</v>
      </c>
      <c r="M971" s="21">
        <f t="shared" si="24"/>
        <v>0</v>
      </c>
      <c r="N971" s="9" t="str">
        <f ca="1">IFERROR(__xludf.DUMMYFUNCTION("IF(G971&lt;&gt;"""",G971, IFERROR(TRANSPOSE(FILTER('ซื้อสินค้า'!H:H,'ซื้อสินค้า'!B:B=B971,'ซื้อสินค้า'!I:I&gt;0)),))"),"")</f>
        <v/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spans="1:32">
      <c r="A972" s="5"/>
      <c r="B972" s="6"/>
      <c r="C972" s="20">
        <f>IFERROR(VLOOKUP(B972,ชื่อสินค้า!A:C,3,FALSE),)</f>
        <v>0</v>
      </c>
      <c r="D972" s="8" t="str">
        <f>IFERROR(VLOOKUP(B972,ชื่อสินค้า!A:D,4,FALSE),"")</f>
        <v/>
      </c>
      <c r="E972" s="9"/>
      <c r="F972" s="21" t="str">
        <f t="shared" si="20"/>
        <v/>
      </c>
      <c r="G972" s="22"/>
      <c r="H972" s="8">
        <f>IFERROR(VLOOKUP(G972,ซื้อสินค้า!H:I,2,FALSE),)</f>
        <v>0</v>
      </c>
      <c r="I972" s="21">
        <f>IFERROR(VLOOKUP(G972,ซื้อสินค้า!H:J,3,FALSE),)</f>
        <v>0</v>
      </c>
      <c r="J972" s="21">
        <f t="shared" si="21"/>
        <v>0</v>
      </c>
      <c r="K972" s="21">
        <f t="shared" si="22"/>
        <v>0</v>
      </c>
      <c r="L972" s="12">
        <f t="shared" si="23"/>
        <v>0</v>
      </c>
      <c r="M972" s="21">
        <f t="shared" si="24"/>
        <v>0</v>
      </c>
      <c r="N972" s="9" t="str">
        <f ca="1">IFERROR(__xludf.DUMMYFUNCTION("IF(G972&lt;&gt;"""",G972, IFERROR(TRANSPOSE(FILTER('ซื้อสินค้า'!H:H,'ซื้อสินค้า'!B:B=B972,'ซื้อสินค้า'!I:I&gt;0)),))"),"")</f>
        <v/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spans="1:32">
      <c r="A973" s="5"/>
      <c r="B973" s="6"/>
      <c r="C973" s="20">
        <f>IFERROR(VLOOKUP(B973,ชื่อสินค้า!A:C,3,FALSE),)</f>
        <v>0</v>
      </c>
      <c r="D973" s="8" t="str">
        <f>IFERROR(VLOOKUP(B973,ชื่อสินค้า!A:D,4,FALSE),"")</f>
        <v/>
      </c>
      <c r="E973" s="9"/>
      <c r="F973" s="21" t="str">
        <f t="shared" si="20"/>
        <v/>
      </c>
      <c r="G973" s="22"/>
      <c r="H973" s="8">
        <f>IFERROR(VLOOKUP(G973,ซื้อสินค้า!H:I,2,FALSE),)</f>
        <v>0</v>
      </c>
      <c r="I973" s="21">
        <f>IFERROR(VLOOKUP(G973,ซื้อสินค้า!H:J,3,FALSE),)</f>
        <v>0</v>
      </c>
      <c r="J973" s="21">
        <f t="shared" si="21"/>
        <v>0</v>
      </c>
      <c r="K973" s="21">
        <f t="shared" si="22"/>
        <v>0</v>
      </c>
      <c r="L973" s="12">
        <f t="shared" si="23"/>
        <v>0</v>
      </c>
      <c r="M973" s="21">
        <f t="shared" si="24"/>
        <v>0</v>
      </c>
      <c r="N973" s="9" t="str">
        <f ca="1">IFERROR(__xludf.DUMMYFUNCTION("IF(G973&lt;&gt;"""",G973, IFERROR(TRANSPOSE(FILTER('ซื้อสินค้า'!H:H,'ซื้อสินค้า'!B:B=B973,'ซื้อสินค้า'!I:I&gt;0)),))"),"")</f>
        <v/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spans="1:32">
      <c r="A974" s="5"/>
      <c r="B974" s="6"/>
      <c r="C974" s="20">
        <f>IFERROR(VLOOKUP(B974,ชื่อสินค้า!A:C,3,FALSE),)</f>
        <v>0</v>
      </c>
      <c r="D974" s="8" t="str">
        <f>IFERROR(VLOOKUP(B974,ชื่อสินค้า!A:D,4,FALSE),"")</f>
        <v/>
      </c>
      <c r="E974" s="9"/>
      <c r="F974" s="21" t="str">
        <f t="shared" si="20"/>
        <v/>
      </c>
      <c r="G974" s="22"/>
      <c r="H974" s="8">
        <f>IFERROR(VLOOKUP(G974,ซื้อสินค้า!H:I,2,FALSE),)</f>
        <v>0</v>
      </c>
      <c r="I974" s="21">
        <f>IFERROR(VLOOKUP(G974,ซื้อสินค้า!H:J,3,FALSE),)</f>
        <v>0</v>
      </c>
      <c r="J974" s="21">
        <f t="shared" si="21"/>
        <v>0</v>
      </c>
      <c r="K974" s="21">
        <f t="shared" si="22"/>
        <v>0</v>
      </c>
      <c r="L974" s="12">
        <f t="shared" si="23"/>
        <v>0</v>
      </c>
      <c r="M974" s="21">
        <f t="shared" si="24"/>
        <v>0</v>
      </c>
      <c r="N974" s="9" t="str">
        <f ca="1">IFERROR(__xludf.DUMMYFUNCTION("IF(G974&lt;&gt;"""",G974, IFERROR(TRANSPOSE(FILTER('ซื้อสินค้า'!H:H,'ซื้อสินค้า'!B:B=B974,'ซื้อสินค้า'!I:I&gt;0)),))"),"")</f>
        <v/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spans="1:32">
      <c r="A975" s="5"/>
      <c r="B975" s="6"/>
      <c r="C975" s="20">
        <f>IFERROR(VLOOKUP(B975,ชื่อสินค้า!A:C,3,FALSE),)</f>
        <v>0</v>
      </c>
      <c r="D975" s="8" t="str">
        <f>IFERROR(VLOOKUP(B975,ชื่อสินค้า!A:D,4,FALSE),"")</f>
        <v/>
      </c>
      <c r="E975" s="9"/>
      <c r="F975" s="21" t="str">
        <f t="shared" si="20"/>
        <v/>
      </c>
      <c r="G975" s="22"/>
      <c r="H975" s="8">
        <f>IFERROR(VLOOKUP(G975,ซื้อสินค้า!H:I,2,FALSE),)</f>
        <v>0</v>
      </c>
      <c r="I975" s="21">
        <f>IFERROR(VLOOKUP(G975,ซื้อสินค้า!H:J,3,FALSE),)</f>
        <v>0</v>
      </c>
      <c r="J975" s="21">
        <f t="shared" si="21"/>
        <v>0</v>
      </c>
      <c r="K975" s="21">
        <f t="shared" si="22"/>
        <v>0</v>
      </c>
      <c r="L975" s="12">
        <f t="shared" si="23"/>
        <v>0</v>
      </c>
      <c r="M975" s="21">
        <f t="shared" si="24"/>
        <v>0</v>
      </c>
      <c r="N975" s="9" t="str">
        <f ca="1">IFERROR(__xludf.DUMMYFUNCTION("IF(G975&lt;&gt;"""",G975, IFERROR(TRANSPOSE(FILTER('ซื้อสินค้า'!H:H,'ซื้อสินค้า'!B:B=B975,'ซื้อสินค้า'!I:I&gt;0)),))"),"")</f>
        <v/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spans="1:32">
      <c r="A976" s="5"/>
      <c r="B976" s="6"/>
      <c r="C976" s="20">
        <f>IFERROR(VLOOKUP(B976,ชื่อสินค้า!A:C,3,FALSE),)</f>
        <v>0</v>
      </c>
      <c r="D976" s="8" t="str">
        <f>IFERROR(VLOOKUP(B976,ชื่อสินค้า!A:D,4,FALSE),"")</f>
        <v/>
      </c>
      <c r="E976" s="9"/>
      <c r="F976" s="21" t="str">
        <f t="shared" si="20"/>
        <v/>
      </c>
      <c r="G976" s="22"/>
      <c r="H976" s="8">
        <f>IFERROR(VLOOKUP(G976,ซื้อสินค้า!H:I,2,FALSE),)</f>
        <v>0</v>
      </c>
      <c r="I976" s="21">
        <f>IFERROR(VLOOKUP(G976,ซื้อสินค้า!H:J,3,FALSE),)</f>
        <v>0</v>
      </c>
      <c r="J976" s="21">
        <f t="shared" si="21"/>
        <v>0</v>
      </c>
      <c r="K976" s="21">
        <f t="shared" si="22"/>
        <v>0</v>
      </c>
      <c r="L976" s="12">
        <f t="shared" si="23"/>
        <v>0</v>
      </c>
      <c r="M976" s="21">
        <f t="shared" si="24"/>
        <v>0</v>
      </c>
      <c r="N976" s="9" t="str">
        <f ca="1">IFERROR(__xludf.DUMMYFUNCTION("IF(G976&lt;&gt;"""",G976, IFERROR(TRANSPOSE(FILTER('ซื้อสินค้า'!H:H,'ซื้อสินค้า'!B:B=B976,'ซื้อสินค้า'!I:I&gt;0)),))"),"")</f>
        <v/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spans="1:32">
      <c r="A977" s="5"/>
      <c r="B977" s="6"/>
      <c r="C977" s="20">
        <f>IFERROR(VLOOKUP(B977,ชื่อสินค้า!A:C,3,FALSE),)</f>
        <v>0</v>
      </c>
      <c r="D977" s="8" t="str">
        <f>IFERROR(VLOOKUP(B977,ชื่อสินค้า!A:D,4,FALSE),"")</f>
        <v/>
      </c>
      <c r="E977" s="9"/>
      <c r="F977" s="21" t="str">
        <f t="shared" si="20"/>
        <v/>
      </c>
      <c r="G977" s="22"/>
      <c r="H977" s="8">
        <f>IFERROR(VLOOKUP(G977,ซื้อสินค้า!H:I,2,FALSE),)</f>
        <v>0</v>
      </c>
      <c r="I977" s="21">
        <f>IFERROR(VLOOKUP(G977,ซื้อสินค้า!H:J,3,FALSE),)</f>
        <v>0</v>
      </c>
      <c r="J977" s="21">
        <f t="shared" si="21"/>
        <v>0</v>
      </c>
      <c r="K977" s="21">
        <f t="shared" si="22"/>
        <v>0</v>
      </c>
      <c r="L977" s="12">
        <f t="shared" si="23"/>
        <v>0</v>
      </c>
      <c r="M977" s="21">
        <f t="shared" si="24"/>
        <v>0</v>
      </c>
      <c r="N977" s="9" t="str">
        <f ca="1">IFERROR(__xludf.DUMMYFUNCTION("IF(G977&lt;&gt;"""",G977, IFERROR(TRANSPOSE(FILTER('ซื้อสินค้า'!H:H,'ซื้อสินค้า'!B:B=B977,'ซื้อสินค้า'!I:I&gt;0)),))"),"")</f>
        <v/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spans="1:32">
      <c r="A978" s="5"/>
      <c r="B978" s="6"/>
      <c r="C978" s="20">
        <f>IFERROR(VLOOKUP(B978,ชื่อสินค้า!A:C,3,FALSE),)</f>
        <v>0</v>
      </c>
      <c r="D978" s="8" t="str">
        <f>IFERROR(VLOOKUP(B978,ชื่อสินค้า!A:D,4,FALSE),"")</f>
        <v/>
      </c>
      <c r="E978" s="9"/>
      <c r="F978" s="21" t="str">
        <f t="shared" si="20"/>
        <v/>
      </c>
      <c r="G978" s="22"/>
      <c r="H978" s="8">
        <f>IFERROR(VLOOKUP(G978,ซื้อสินค้า!H:I,2,FALSE),)</f>
        <v>0</v>
      </c>
      <c r="I978" s="21">
        <f>IFERROR(VLOOKUP(G978,ซื้อสินค้า!H:J,3,FALSE),)</f>
        <v>0</v>
      </c>
      <c r="J978" s="21">
        <f t="shared" si="21"/>
        <v>0</v>
      </c>
      <c r="K978" s="21">
        <f t="shared" si="22"/>
        <v>0</v>
      </c>
      <c r="L978" s="12">
        <f t="shared" si="23"/>
        <v>0</v>
      </c>
      <c r="M978" s="21">
        <f t="shared" si="24"/>
        <v>0</v>
      </c>
      <c r="N978" s="9" t="str">
        <f ca="1">IFERROR(__xludf.DUMMYFUNCTION("IF(G978&lt;&gt;"""",G978, IFERROR(TRANSPOSE(FILTER('ซื้อสินค้า'!H:H,'ซื้อสินค้า'!B:B=B978,'ซื้อสินค้า'!I:I&gt;0)),))"),"")</f>
        <v/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spans="1:32">
      <c r="A979" s="5"/>
      <c r="B979" s="6"/>
      <c r="C979" s="20">
        <f>IFERROR(VLOOKUP(B979,ชื่อสินค้า!A:C,3,FALSE),)</f>
        <v>0</v>
      </c>
      <c r="D979" s="8" t="str">
        <f>IFERROR(VLOOKUP(B979,ชื่อสินค้า!A:D,4,FALSE),"")</f>
        <v/>
      </c>
      <c r="E979" s="9"/>
      <c r="F979" s="21" t="str">
        <f t="shared" si="20"/>
        <v/>
      </c>
      <c r="G979" s="22"/>
      <c r="H979" s="8">
        <f>IFERROR(VLOOKUP(G979,ซื้อสินค้า!H:I,2,FALSE),)</f>
        <v>0</v>
      </c>
      <c r="I979" s="21">
        <f>IFERROR(VLOOKUP(G979,ซื้อสินค้า!H:J,3,FALSE),)</f>
        <v>0</v>
      </c>
      <c r="J979" s="21">
        <f t="shared" si="21"/>
        <v>0</v>
      </c>
      <c r="K979" s="21">
        <f t="shared" si="22"/>
        <v>0</v>
      </c>
      <c r="L979" s="12">
        <f t="shared" si="23"/>
        <v>0</v>
      </c>
      <c r="M979" s="21">
        <f t="shared" si="24"/>
        <v>0</v>
      </c>
      <c r="N979" s="9" t="str">
        <f ca="1">IFERROR(__xludf.DUMMYFUNCTION("IF(G979&lt;&gt;"""",G979, IFERROR(TRANSPOSE(FILTER('ซื้อสินค้า'!H:H,'ซื้อสินค้า'!B:B=B979,'ซื้อสินค้า'!I:I&gt;0)),))"),"")</f>
        <v/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spans="1:32">
      <c r="A980" s="5"/>
      <c r="B980" s="6"/>
      <c r="C980" s="20">
        <f>IFERROR(VLOOKUP(B980,ชื่อสินค้า!A:C,3,FALSE),)</f>
        <v>0</v>
      </c>
      <c r="D980" s="8" t="str">
        <f>IFERROR(VLOOKUP(B980,ชื่อสินค้า!A:D,4,FALSE),"")</f>
        <v/>
      </c>
      <c r="E980" s="9"/>
      <c r="F980" s="21" t="str">
        <f t="shared" si="20"/>
        <v/>
      </c>
      <c r="G980" s="22"/>
      <c r="H980" s="8">
        <f>IFERROR(VLOOKUP(G980,ซื้อสินค้า!H:I,2,FALSE),)</f>
        <v>0</v>
      </c>
      <c r="I980" s="21">
        <f>IFERROR(VLOOKUP(G980,ซื้อสินค้า!H:J,3,FALSE),)</f>
        <v>0</v>
      </c>
      <c r="J980" s="21">
        <f t="shared" si="21"/>
        <v>0</v>
      </c>
      <c r="K980" s="21">
        <f t="shared" si="22"/>
        <v>0</v>
      </c>
      <c r="L980" s="12">
        <f t="shared" si="23"/>
        <v>0</v>
      </c>
      <c r="M980" s="21">
        <f t="shared" si="24"/>
        <v>0</v>
      </c>
      <c r="N980" s="9" t="str">
        <f ca="1">IFERROR(__xludf.DUMMYFUNCTION("IF(G980&lt;&gt;"""",G980, IFERROR(TRANSPOSE(FILTER('ซื้อสินค้า'!H:H,'ซื้อสินค้า'!B:B=B980,'ซื้อสินค้า'!I:I&gt;0)),))"),"")</f>
        <v/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spans="1:32">
      <c r="A981" s="5"/>
      <c r="B981" s="6"/>
      <c r="C981" s="20">
        <f>IFERROR(VLOOKUP(B981,ชื่อสินค้า!A:C,3,FALSE),)</f>
        <v>0</v>
      </c>
      <c r="D981" s="8" t="str">
        <f>IFERROR(VLOOKUP(B981,ชื่อสินค้า!A:D,4,FALSE),"")</f>
        <v/>
      </c>
      <c r="E981" s="9"/>
      <c r="F981" s="21" t="str">
        <f t="shared" si="20"/>
        <v/>
      </c>
      <c r="G981" s="22"/>
      <c r="H981" s="8">
        <f>IFERROR(VLOOKUP(G981,ซื้อสินค้า!H:I,2,FALSE),)</f>
        <v>0</v>
      </c>
      <c r="I981" s="21">
        <f>IFERROR(VLOOKUP(G981,ซื้อสินค้า!H:J,3,FALSE),)</f>
        <v>0</v>
      </c>
      <c r="J981" s="21">
        <f t="shared" si="21"/>
        <v>0</v>
      </c>
      <c r="K981" s="21">
        <f t="shared" si="22"/>
        <v>0</v>
      </c>
      <c r="L981" s="12">
        <f t="shared" si="23"/>
        <v>0</v>
      </c>
      <c r="M981" s="21">
        <f t="shared" si="24"/>
        <v>0</v>
      </c>
      <c r="N981" s="9" t="str">
        <f ca="1">IFERROR(__xludf.DUMMYFUNCTION("IF(G981&lt;&gt;"""",G981, IFERROR(TRANSPOSE(FILTER('ซื้อสินค้า'!H:H,'ซื้อสินค้า'!B:B=B981,'ซื้อสินค้า'!I:I&gt;0)),))"),"")</f>
        <v/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spans="1:32">
      <c r="A982" s="5"/>
      <c r="B982" s="6"/>
      <c r="C982" s="20">
        <f>IFERROR(VLOOKUP(B982,ชื่อสินค้า!A:C,3,FALSE),)</f>
        <v>0</v>
      </c>
      <c r="D982" s="8" t="str">
        <f>IFERROR(VLOOKUP(B982,ชื่อสินค้า!A:D,4,FALSE),"")</f>
        <v/>
      </c>
      <c r="E982" s="9"/>
      <c r="F982" s="21" t="str">
        <f t="shared" si="20"/>
        <v/>
      </c>
      <c r="G982" s="22"/>
      <c r="H982" s="8">
        <f>IFERROR(VLOOKUP(G982,ซื้อสินค้า!H:I,2,FALSE),)</f>
        <v>0</v>
      </c>
      <c r="I982" s="21">
        <f>IFERROR(VLOOKUP(G982,ซื้อสินค้า!H:J,3,FALSE),)</f>
        <v>0</v>
      </c>
      <c r="J982" s="21">
        <f t="shared" si="21"/>
        <v>0</v>
      </c>
      <c r="K982" s="21">
        <f t="shared" si="22"/>
        <v>0</v>
      </c>
      <c r="L982" s="12">
        <f t="shared" si="23"/>
        <v>0</v>
      </c>
      <c r="M982" s="21">
        <f t="shared" si="24"/>
        <v>0</v>
      </c>
      <c r="N982" s="9" t="str">
        <f ca="1">IFERROR(__xludf.DUMMYFUNCTION("IF(G982&lt;&gt;"""",G982, IFERROR(TRANSPOSE(FILTER('ซื้อสินค้า'!H:H,'ซื้อสินค้า'!B:B=B982,'ซื้อสินค้า'!I:I&gt;0)),))"),"")</f>
        <v/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spans="1:32">
      <c r="A983" s="5"/>
      <c r="B983" s="6"/>
      <c r="C983" s="20">
        <f>IFERROR(VLOOKUP(B983,ชื่อสินค้า!A:C,3,FALSE),)</f>
        <v>0</v>
      </c>
      <c r="D983" s="8" t="str">
        <f>IFERROR(VLOOKUP(B983,ชื่อสินค้า!A:D,4,FALSE),"")</f>
        <v/>
      </c>
      <c r="E983" s="9"/>
      <c r="F983" s="21" t="str">
        <f t="shared" si="20"/>
        <v/>
      </c>
      <c r="G983" s="22"/>
      <c r="H983" s="8">
        <f>IFERROR(VLOOKUP(G983,ซื้อสินค้า!H:I,2,FALSE),)</f>
        <v>0</v>
      </c>
      <c r="I983" s="21">
        <f>IFERROR(VLOOKUP(G983,ซื้อสินค้า!H:J,3,FALSE),)</f>
        <v>0</v>
      </c>
      <c r="J983" s="21">
        <f t="shared" si="21"/>
        <v>0</v>
      </c>
      <c r="K983" s="21">
        <f t="shared" si="22"/>
        <v>0</v>
      </c>
      <c r="L983" s="12">
        <f t="shared" si="23"/>
        <v>0</v>
      </c>
      <c r="M983" s="21">
        <f t="shared" si="24"/>
        <v>0</v>
      </c>
      <c r="N983" s="9" t="str">
        <f ca="1">IFERROR(__xludf.DUMMYFUNCTION("IF(G983&lt;&gt;"""",G983, IFERROR(TRANSPOSE(FILTER('ซื้อสินค้า'!H:H,'ซื้อสินค้า'!B:B=B983,'ซื้อสินค้า'!I:I&gt;0)),))"),"")</f>
        <v/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spans="1:32">
      <c r="A984" s="5"/>
      <c r="B984" s="6"/>
      <c r="C984" s="20">
        <f>IFERROR(VLOOKUP(B984,ชื่อสินค้า!A:C,3,FALSE),)</f>
        <v>0</v>
      </c>
      <c r="D984" s="8" t="str">
        <f>IFERROR(VLOOKUP(B984,ชื่อสินค้า!A:D,4,FALSE),"")</f>
        <v/>
      </c>
      <c r="E984" s="9"/>
      <c r="F984" s="21" t="str">
        <f t="shared" si="20"/>
        <v/>
      </c>
      <c r="G984" s="22"/>
      <c r="H984" s="8">
        <f>IFERROR(VLOOKUP(G984,ซื้อสินค้า!H:I,2,FALSE),)</f>
        <v>0</v>
      </c>
      <c r="I984" s="21">
        <f>IFERROR(VLOOKUP(G984,ซื้อสินค้า!H:J,3,FALSE),)</f>
        <v>0</v>
      </c>
      <c r="J984" s="21">
        <f t="shared" si="21"/>
        <v>0</v>
      </c>
      <c r="K984" s="21">
        <f t="shared" si="22"/>
        <v>0</v>
      </c>
      <c r="L984" s="12">
        <f t="shared" si="23"/>
        <v>0</v>
      </c>
      <c r="M984" s="21">
        <f t="shared" si="24"/>
        <v>0</v>
      </c>
      <c r="N984" s="9" t="str">
        <f ca="1">IFERROR(__xludf.DUMMYFUNCTION("IF(G984&lt;&gt;"""",G984, IFERROR(TRANSPOSE(FILTER('ซื้อสินค้า'!H:H,'ซื้อสินค้า'!B:B=B984,'ซื้อสินค้า'!I:I&gt;0)),))"),"")</f>
        <v/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spans="1:32">
      <c r="A985" s="5"/>
      <c r="B985" s="6"/>
      <c r="C985" s="20">
        <f>IFERROR(VLOOKUP(B985,ชื่อสินค้า!A:C,3,FALSE),)</f>
        <v>0</v>
      </c>
      <c r="D985" s="8" t="str">
        <f>IFERROR(VLOOKUP(B985,ชื่อสินค้า!A:D,4,FALSE),"")</f>
        <v/>
      </c>
      <c r="E985" s="9"/>
      <c r="F985" s="21" t="str">
        <f t="shared" si="20"/>
        <v/>
      </c>
      <c r="G985" s="22"/>
      <c r="H985" s="8">
        <f>IFERROR(VLOOKUP(G985,ซื้อสินค้า!H:I,2,FALSE),)</f>
        <v>0</v>
      </c>
      <c r="I985" s="21">
        <f>IFERROR(VLOOKUP(G985,ซื้อสินค้า!H:J,3,FALSE),)</f>
        <v>0</v>
      </c>
      <c r="J985" s="21">
        <f t="shared" si="21"/>
        <v>0</v>
      </c>
      <c r="K985" s="21">
        <f t="shared" si="22"/>
        <v>0</v>
      </c>
      <c r="L985" s="12">
        <f t="shared" si="23"/>
        <v>0</v>
      </c>
      <c r="M985" s="21">
        <f t="shared" si="24"/>
        <v>0</v>
      </c>
      <c r="N985" s="9" t="str">
        <f ca="1">IFERROR(__xludf.DUMMYFUNCTION("IF(G985&lt;&gt;"""",G985, IFERROR(TRANSPOSE(FILTER('ซื้อสินค้า'!H:H,'ซื้อสินค้า'!B:B=B985,'ซื้อสินค้า'!I:I&gt;0)),))"),"")</f>
        <v/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spans="1:32">
      <c r="A986" s="5"/>
      <c r="B986" s="6"/>
      <c r="C986" s="20">
        <f>IFERROR(VLOOKUP(B986,ชื่อสินค้า!A:C,3,FALSE),)</f>
        <v>0</v>
      </c>
      <c r="D986" s="8" t="str">
        <f>IFERROR(VLOOKUP(B986,ชื่อสินค้า!A:D,4,FALSE),"")</f>
        <v/>
      </c>
      <c r="E986" s="9"/>
      <c r="F986" s="21" t="str">
        <f t="shared" si="20"/>
        <v/>
      </c>
      <c r="G986" s="22"/>
      <c r="H986" s="8">
        <f>IFERROR(VLOOKUP(G986,ซื้อสินค้า!H:I,2,FALSE),)</f>
        <v>0</v>
      </c>
      <c r="I986" s="21">
        <f>IFERROR(VLOOKUP(G986,ซื้อสินค้า!H:J,3,FALSE),)</f>
        <v>0</v>
      </c>
      <c r="J986" s="21">
        <f t="shared" si="21"/>
        <v>0</v>
      </c>
      <c r="K986" s="21">
        <f t="shared" si="22"/>
        <v>0</v>
      </c>
      <c r="L986" s="12">
        <f t="shared" si="23"/>
        <v>0</v>
      </c>
      <c r="M986" s="21">
        <f t="shared" si="24"/>
        <v>0</v>
      </c>
      <c r="N986" s="9" t="str">
        <f ca="1">IFERROR(__xludf.DUMMYFUNCTION("IF(G986&lt;&gt;"""",G986, IFERROR(TRANSPOSE(FILTER('ซื้อสินค้า'!H:H,'ซื้อสินค้า'!B:B=B986,'ซื้อสินค้า'!I:I&gt;0)),))"),"")</f>
        <v/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spans="1:32">
      <c r="A987" s="5"/>
      <c r="B987" s="6"/>
      <c r="C987" s="20">
        <f>IFERROR(VLOOKUP(B987,ชื่อสินค้า!A:C,3,FALSE),)</f>
        <v>0</v>
      </c>
      <c r="D987" s="8" t="str">
        <f>IFERROR(VLOOKUP(B987,ชื่อสินค้า!A:D,4,FALSE),"")</f>
        <v/>
      </c>
      <c r="E987" s="9"/>
      <c r="F987" s="21" t="str">
        <f t="shared" si="20"/>
        <v/>
      </c>
      <c r="G987" s="22"/>
      <c r="H987" s="8">
        <f>IFERROR(VLOOKUP(G987,ซื้อสินค้า!H:I,2,FALSE),)</f>
        <v>0</v>
      </c>
      <c r="I987" s="21">
        <f>IFERROR(VLOOKUP(G987,ซื้อสินค้า!H:J,3,FALSE),)</f>
        <v>0</v>
      </c>
      <c r="J987" s="21">
        <f t="shared" si="21"/>
        <v>0</v>
      </c>
      <c r="K987" s="21">
        <f t="shared" si="22"/>
        <v>0</v>
      </c>
      <c r="L987" s="12">
        <f t="shared" si="23"/>
        <v>0</v>
      </c>
      <c r="M987" s="21">
        <f t="shared" si="24"/>
        <v>0</v>
      </c>
      <c r="N987" s="9" t="str">
        <f ca="1">IFERROR(__xludf.DUMMYFUNCTION("IF(G987&lt;&gt;"""",G987, IFERROR(TRANSPOSE(FILTER('ซื้อสินค้า'!H:H,'ซื้อสินค้า'!B:B=B987,'ซื้อสินค้า'!I:I&gt;0)),))"),"")</f>
        <v/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spans="1:32">
      <c r="A988" s="5"/>
      <c r="B988" s="6"/>
      <c r="C988" s="20">
        <f>IFERROR(VLOOKUP(B988,ชื่อสินค้า!A:C,3,FALSE),)</f>
        <v>0</v>
      </c>
      <c r="D988" s="8" t="str">
        <f>IFERROR(VLOOKUP(B988,ชื่อสินค้า!A:D,4,FALSE),"")</f>
        <v/>
      </c>
      <c r="E988" s="9"/>
      <c r="F988" s="21" t="str">
        <f t="shared" si="20"/>
        <v/>
      </c>
      <c r="G988" s="22"/>
      <c r="H988" s="8">
        <f>IFERROR(VLOOKUP(G988,ซื้อสินค้า!H:I,2,FALSE),)</f>
        <v>0</v>
      </c>
      <c r="I988" s="21">
        <f>IFERROR(VLOOKUP(G988,ซื้อสินค้า!H:J,3,FALSE),)</f>
        <v>0</v>
      </c>
      <c r="J988" s="21">
        <f t="shared" si="21"/>
        <v>0</v>
      </c>
      <c r="K988" s="21">
        <f t="shared" si="22"/>
        <v>0</v>
      </c>
      <c r="L988" s="12">
        <f t="shared" si="23"/>
        <v>0</v>
      </c>
      <c r="M988" s="21">
        <f t="shared" si="24"/>
        <v>0</v>
      </c>
      <c r="N988" s="9" t="str">
        <f ca="1">IFERROR(__xludf.DUMMYFUNCTION("IF(G988&lt;&gt;"""",G988, IFERROR(TRANSPOSE(FILTER('ซื้อสินค้า'!H:H,'ซื้อสินค้า'!B:B=B988,'ซื้อสินค้า'!I:I&gt;0)),))"),"")</f>
        <v/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spans="1:32">
      <c r="A989" s="5"/>
      <c r="B989" s="6"/>
      <c r="C989" s="20">
        <f>IFERROR(VLOOKUP(B989,ชื่อสินค้า!A:C,3,FALSE),)</f>
        <v>0</v>
      </c>
      <c r="D989" s="8" t="str">
        <f>IFERROR(VLOOKUP(B989,ชื่อสินค้า!A:D,4,FALSE),"")</f>
        <v/>
      </c>
      <c r="E989" s="9"/>
      <c r="F989" s="21" t="str">
        <f t="shared" si="20"/>
        <v/>
      </c>
      <c r="G989" s="22"/>
      <c r="H989" s="8">
        <f>IFERROR(VLOOKUP(G989,ซื้อสินค้า!H:I,2,FALSE),)</f>
        <v>0</v>
      </c>
      <c r="I989" s="21">
        <f>IFERROR(VLOOKUP(G989,ซื้อสินค้า!H:J,3,FALSE),)</f>
        <v>0</v>
      </c>
      <c r="J989" s="21">
        <f t="shared" si="21"/>
        <v>0</v>
      </c>
      <c r="K989" s="21">
        <f t="shared" si="22"/>
        <v>0</v>
      </c>
      <c r="L989" s="12">
        <f t="shared" si="23"/>
        <v>0</v>
      </c>
      <c r="M989" s="21">
        <f t="shared" si="24"/>
        <v>0</v>
      </c>
      <c r="N989" s="9" t="str">
        <f ca="1">IFERROR(__xludf.DUMMYFUNCTION("IF(G989&lt;&gt;"""",G989, IFERROR(TRANSPOSE(FILTER('ซื้อสินค้า'!H:H,'ซื้อสินค้า'!B:B=B989,'ซื้อสินค้า'!I:I&gt;0)),))"),"")</f>
        <v/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spans="1:32">
      <c r="A990" s="5"/>
      <c r="B990" s="6"/>
      <c r="C990" s="20">
        <f>IFERROR(VLOOKUP(B990,ชื่อสินค้า!A:C,3,FALSE),)</f>
        <v>0</v>
      </c>
      <c r="D990" s="8" t="str">
        <f>IFERROR(VLOOKUP(B990,ชื่อสินค้า!A:D,4,FALSE),"")</f>
        <v/>
      </c>
      <c r="E990" s="9"/>
      <c r="F990" s="21" t="str">
        <f t="shared" si="20"/>
        <v/>
      </c>
      <c r="G990" s="22"/>
      <c r="H990" s="8">
        <f>IFERROR(VLOOKUP(G990,ซื้อสินค้า!H:I,2,FALSE),)</f>
        <v>0</v>
      </c>
      <c r="I990" s="21">
        <f>IFERROR(VLOOKUP(G990,ซื้อสินค้า!H:J,3,FALSE),)</f>
        <v>0</v>
      </c>
      <c r="J990" s="21">
        <f t="shared" si="21"/>
        <v>0</v>
      </c>
      <c r="K990" s="21">
        <f t="shared" si="22"/>
        <v>0</v>
      </c>
      <c r="L990" s="12">
        <f t="shared" si="23"/>
        <v>0</v>
      </c>
      <c r="M990" s="21">
        <f t="shared" si="24"/>
        <v>0</v>
      </c>
      <c r="N990" s="9" t="str">
        <f ca="1">IFERROR(__xludf.DUMMYFUNCTION("IF(G990&lt;&gt;"""",G990, IFERROR(TRANSPOSE(FILTER('ซื้อสินค้า'!H:H,'ซื้อสินค้า'!B:B=B990,'ซื้อสินค้า'!I:I&gt;0)),))"),"")</f>
        <v/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spans="1:32">
      <c r="A991" s="5"/>
      <c r="B991" s="6"/>
      <c r="C991" s="20">
        <f>IFERROR(VLOOKUP(B991,ชื่อสินค้า!A:C,3,FALSE),)</f>
        <v>0</v>
      </c>
      <c r="D991" s="8" t="str">
        <f>IFERROR(VLOOKUP(B991,ชื่อสินค้า!A:D,4,FALSE),"")</f>
        <v/>
      </c>
      <c r="E991" s="9"/>
      <c r="F991" s="21" t="str">
        <f t="shared" si="20"/>
        <v/>
      </c>
      <c r="G991" s="22"/>
      <c r="H991" s="8">
        <f>IFERROR(VLOOKUP(G991,ซื้อสินค้า!H:I,2,FALSE),)</f>
        <v>0</v>
      </c>
      <c r="I991" s="21">
        <f>IFERROR(VLOOKUP(G991,ซื้อสินค้า!H:J,3,FALSE),)</f>
        <v>0</v>
      </c>
      <c r="J991" s="21">
        <f t="shared" si="21"/>
        <v>0</v>
      </c>
      <c r="K991" s="21">
        <f t="shared" si="22"/>
        <v>0</v>
      </c>
      <c r="L991" s="12">
        <f t="shared" si="23"/>
        <v>0</v>
      </c>
      <c r="M991" s="21">
        <f t="shared" si="24"/>
        <v>0</v>
      </c>
      <c r="N991" s="9" t="str">
        <f ca="1">IFERROR(__xludf.DUMMYFUNCTION("IF(G991&lt;&gt;"""",G991, IFERROR(TRANSPOSE(FILTER('ซื้อสินค้า'!H:H,'ซื้อสินค้า'!B:B=B991,'ซื้อสินค้า'!I:I&gt;0)),))"),"")</f>
        <v/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spans="1:32">
      <c r="A992" s="5"/>
      <c r="B992" s="6"/>
      <c r="C992" s="20">
        <f>IFERROR(VLOOKUP(B992,ชื่อสินค้า!A:C,3,FALSE),)</f>
        <v>0</v>
      </c>
      <c r="D992" s="8" t="str">
        <f>IFERROR(VLOOKUP(B992,ชื่อสินค้า!A:D,4,FALSE),"")</f>
        <v/>
      </c>
      <c r="E992" s="9"/>
      <c r="F992" s="21" t="str">
        <f t="shared" si="20"/>
        <v/>
      </c>
      <c r="G992" s="22"/>
      <c r="H992" s="8">
        <f>IFERROR(VLOOKUP(G992,ซื้อสินค้า!H:I,2,FALSE),)</f>
        <v>0</v>
      </c>
      <c r="I992" s="21">
        <f>IFERROR(VLOOKUP(G992,ซื้อสินค้า!H:J,3,FALSE),)</f>
        <v>0</v>
      </c>
      <c r="J992" s="21">
        <f t="shared" si="21"/>
        <v>0</v>
      </c>
      <c r="K992" s="21">
        <f t="shared" si="22"/>
        <v>0</v>
      </c>
      <c r="L992" s="12">
        <f t="shared" si="23"/>
        <v>0</v>
      </c>
      <c r="M992" s="21">
        <f t="shared" si="24"/>
        <v>0</v>
      </c>
      <c r="N992" s="9" t="str">
        <f ca="1">IFERROR(__xludf.DUMMYFUNCTION("IF(G992&lt;&gt;"""",G992, IFERROR(TRANSPOSE(FILTER('ซื้อสินค้า'!H:H,'ซื้อสินค้า'!B:B=B992,'ซื้อสินค้า'!I:I&gt;0)),))"),"")</f>
        <v/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spans="1:32">
      <c r="A993" s="5"/>
      <c r="B993" s="6"/>
      <c r="C993" s="20">
        <f>IFERROR(VLOOKUP(B993,ชื่อสินค้า!A:C,3,FALSE),)</f>
        <v>0</v>
      </c>
      <c r="D993" s="8" t="str">
        <f>IFERROR(VLOOKUP(B993,ชื่อสินค้า!A:D,4,FALSE),"")</f>
        <v/>
      </c>
      <c r="E993" s="9"/>
      <c r="F993" s="21" t="str">
        <f t="shared" si="20"/>
        <v/>
      </c>
      <c r="G993" s="22"/>
      <c r="H993" s="8">
        <f>IFERROR(VLOOKUP(G993,ซื้อสินค้า!H:I,2,FALSE),)</f>
        <v>0</v>
      </c>
      <c r="I993" s="21">
        <f>IFERROR(VLOOKUP(G993,ซื้อสินค้า!H:J,3,FALSE),)</f>
        <v>0</v>
      </c>
      <c r="J993" s="21">
        <f t="shared" si="21"/>
        <v>0</v>
      </c>
      <c r="K993" s="21">
        <f t="shared" si="22"/>
        <v>0</v>
      </c>
      <c r="L993" s="12">
        <f t="shared" si="23"/>
        <v>0</v>
      </c>
      <c r="M993" s="21">
        <f t="shared" si="24"/>
        <v>0</v>
      </c>
      <c r="N993" s="9" t="str">
        <f ca="1">IFERROR(__xludf.DUMMYFUNCTION("IF(G993&lt;&gt;"""",G993, IFERROR(TRANSPOSE(FILTER('ซื้อสินค้า'!H:H,'ซื้อสินค้า'!B:B=B993,'ซื้อสินค้า'!I:I&gt;0)),))"),"")</f>
        <v/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spans="1:32">
      <c r="A994" s="5"/>
      <c r="B994" s="6"/>
      <c r="C994" s="20">
        <f>IFERROR(VLOOKUP(B994,ชื่อสินค้า!A:C,3,FALSE),)</f>
        <v>0</v>
      </c>
      <c r="D994" s="8" t="str">
        <f>IFERROR(VLOOKUP(B994,ชื่อสินค้า!A:D,4,FALSE),"")</f>
        <v/>
      </c>
      <c r="E994" s="9"/>
      <c r="F994" s="21" t="str">
        <f t="shared" si="20"/>
        <v/>
      </c>
      <c r="G994" s="22"/>
      <c r="H994" s="8">
        <f>IFERROR(VLOOKUP(G994,ซื้อสินค้า!H:I,2,FALSE),)</f>
        <v>0</v>
      </c>
      <c r="I994" s="21">
        <f>IFERROR(VLOOKUP(G994,ซื้อสินค้า!H:J,3,FALSE),)</f>
        <v>0</v>
      </c>
      <c r="J994" s="21">
        <f t="shared" si="21"/>
        <v>0</v>
      </c>
      <c r="K994" s="21">
        <f t="shared" si="22"/>
        <v>0</v>
      </c>
      <c r="L994" s="12">
        <f t="shared" si="23"/>
        <v>0</v>
      </c>
      <c r="M994" s="21">
        <f t="shared" si="24"/>
        <v>0</v>
      </c>
      <c r="N994" s="9" t="str">
        <f ca="1">IFERROR(__xludf.DUMMYFUNCTION("IF(G994&lt;&gt;"""",G994, IFERROR(TRANSPOSE(FILTER('ซื้อสินค้า'!H:H,'ซื้อสินค้า'!B:B=B994,'ซื้อสินค้า'!I:I&gt;0)),))"),"")</f>
        <v/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spans="1:32">
      <c r="A995" s="5"/>
      <c r="B995" s="6"/>
      <c r="C995" s="20">
        <f>IFERROR(VLOOKUP(B995,ชื่อสินค้า!A:C,3,FALSE),)</f>
        <v>0</v>
      </c>
      <c r="D995" s="8" t="str">
        <f>IFERROR(VLOOKUP(B995,ชื่อสินค้า!A:D,4,FALSE),"")</f>
        <v/>
      </c>
      <c r="E995" s="9"/>
      <c r="F995" s="21" t="str">
        <f t="shared" si="20"/>
        <v/>
      </c>
      <c r="G995" s="22"/>
      <c r="H995" s="8">
        <f>IFERROR(VLOOKUP(G995,ซื้อสินค้า!H:I,2,FALSE),)</f>
        <v>0</v>
      </c>
      <c r="I995" s="21">
        <f>IFERROR(VLOOKUP(G995,ซื้อสินค้า!H:J,3,FALSE),)</f>
        <v>0</v>
      </c>
      <c r="J995" s="21">
        <f t="shared" si="21"/>
        <v>0</v>
      </c>
      <c r="K995" s="21">
        <f t="shared" si="22"/>
        <v>0</v>
      </c>
      <c r="L995" s="12">
        <f t="shared" si="23"/>
        <v>0</v>
      </c>
      <c r="M995" s="21">
        <f t="shared" si="24"/>
        <v>0</v>
      </c>
      <c r="N995" s="9" t="str">
        <f ca="1">IFERROR(__xludf.DUMMYFUNCTION("IF(G995&lt;&gt;"""",G995, IFERROR(TRANSPOSE(FILTER('ซื้อสินค้า'!H:H,'ซื้อสินค้า'!B:B=B995,'ซื้อสินค้า'!I:I&gt;0)),))"),"")</f>
        <v/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spans="1:32">
      <c r="A996" s="5"/>
      <c r="B996" s="6"/>
      <c r="C996" s="20">
        <f>IFERROR(VLOOKUP(B996,ชื่อสินค้า!A:C,3,FALSE),)</f>
        <v>0</v>
      </c>
      <c r="D996" s="8" t="str">
        <f>IFERROR(VLOOKUP(B996,ชื่อสินค้า!A:D,4,FALSE),"")</f>
        <v/>
      </c>
      <c r="E996" s="9"/>
      <c r="F996" s="21" t="str">
        <f t="shared" si="20"/>
        <v/>
      </c>
      <c r="G996" s="22"/>
      <c r="H996" s="8">
        <f>IFERROR(VLOOKUP(G996,ซื้อสินค้า!H:I,2,FALSE),)</f>
        <v>0</v>
      </c>
      <c r="I996" s="21">
        <f>IFERROR(VLOOKUP(G996,ซื้อสินค้า!H:J,3,FALSE),)</f>
        <v>0</v>
      </c>
      <c r="J996" s="21">
        <f t="shared" si="21"/>
        <v>0</v>
      </c>
      <c r="K996" s="21">
        <f t="shared" si="22"/>
        <v>0</v>
      </c>
      <c r="L996" s="12">
        <f t="shared" si="23"/>
        <v>0</v>
      </c>
      <c r="M996" s="21">
        <f t="shared" si="24"/>
        <v>0</v>
      </c>
      <c r="N996" s="9" t="str">
        <f ca="1">IFERROR(__xludf.DUMMYFUNCTION("IF(G996&lt;&gt;"""",G996, IFERROR(TRANSPOSE(FILTER('ซื้อสินค้า'!H:H,'ซื้อสินค้า'!B:B=B996,'ซื้อสินค้า'!I:I&gt;0)),))"),"")</f>
        <v/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spans="1:32">
      <c r="A997" s="5"/>
      <c r="B997" s="6"/>
      <c r="C997" s="20">
        <f>IFERROR(VLOOKUP(B997,ชื่อสินค้า!A:C,3,FALSE),)</f>
        <v>0</v>
      </c>
      <c r="D997" s="8" t="str">
        <f>IFERROR(VLOOKUP(B997,ชื่อสินค้า!A:D,4,FALSE),"")</f>
        <v/>
      </c>
      <c r="E997" s="9"/>
      <c r="F997" s="21" t="str">
        <f t="shared" si="20"/>
        <v/>
      </c>
      <c r="G997" s="22"/>
      <c r="H997" s="8">
        <f>IFERROR(VLOOKUP(G997,ซื้อสินค้า!H:I,2,FALSE),)</f>
        <v>0</v>
      </c>
      <c r="I997" s="21">
        <f>IFERROR(VLOOKUP(G997,ซื้อสินค้า!H:J,3,FALSE),)</f>
        <v>0</v>
      </c>
      <c r="J997" s="21">
        <f t="shared" si="21"/>
        <v>0</v>
      </c>
      <c r="K997" s="21">
        <f t="shared" si="22"/>
        <v>0</v>
      </c>
      <c r="L997" s="12">
        <f t="shared" si="23"/>
        <v>0</v>
      </c>
      <c r="M997" s="21">
        <f t="shared" si="24"/>
        <v>0</v>
      </c>
      <c r="N997" s="9" t="str">
        <f ca="1">IFERROR(__xludf.DUMMYFUNCTION("IF(G997&lt;&gt;"""",G997, IFERROR(TRANSPOSE(FILTER('ซื้อสินค้า'!H:H,'ซื้อสินค้า'!B:B=B997,'ซื้อสินค้า'!I:I&gt;0)),))"),"")</f>
        <v/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spans="1:32">
      <c r="A998" s="5"/>
      <c r="B998" s="6"/>
      <c r="C998" s="20">
        <f>IFERROR(VLOOKUP(B998,ชื่อสินค้า!A:C,3,FALSE),)</f>
        <v>0</v>
      </c>
      <c r="D998" s="8" t="str">
        <f>IFERROR(VLOOKUP(B998,ชื่อสินค้า!A:D,4,FALSE),"")</f>
        <v/>
      </c>
      <c r="E998" s="9"/>
      <c r="F998" s="21" t="str">
        <f t="shared" si="20"/>
        <v/>
      </c>
      <c r="G998" s="22"/>
      <c r="H998" s="8">
        <f>IFERROR(VLOOKUP(G998,ซื้อสินค้า!H:I,2,FALSE),)</f>
        <v>0</v>
      </c>
      <c r="I998" s="21">
        <f>IFERROR(VLOOKUP(G998,ซื้อสินค้า!H:J,3,FALSE),)</f>
        <v>0</v>
      </c>
      <c r="J998" s="21">
        <f t="shared" si="21"/>
        <v>0</v>
      </c>
      <c r="K998" s="21">
        <f t="shared" si="22"/>
        <v>0</v>
      </c>
      <c r="L998" s="12">
        <f t="shared" si="23"/>
        <v>0</v>
      </c>
      <c r="M998" s="21">
        <f t="shared" si="24"/>
        <v>0</v>
      </c>
      <c r="N998" s="9" t="str">
        <f ca="1">IFERROR(__xludf.DUMMYFUNCTION("IF(G998&lt;&gt;"""",G998, IFERROR(TRANSPOSE(FILTER('ซื้อสินค้า'!H:H,'ซื้อสินค้า'!B:B=B998,'ซื้อสินค้า'!I:I&gt;0)),))"),"")</f>
        <v/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spans="1:32">
      <c r="A999" s="5"/>
      <c r="B999" s="6"/>
      <c r="C999" s="20">
        <f>IFERROR(VLOOKUP(B999,ชื่อสินค้า!A:C,3,FALSE),)</f>
        <v>0</v>
      </c>
      <c r="D999" s="8" t="str">
        <f>IFERROR(VLOOKUP(B999,ชื่อสินค้า!A:D,4,FALSE),"")</f>
        <v/>
      </c>
      <c r="E999" s="9"/>
      <c r="F999" s="21" t="str">
        <f t="shared" si="20"/>
        <v/>
      </c>
      <c r="G999" s="22"/>
      <c r="H999" s="8">
        <f>IFERROR(VLOOKUP(G999,ซื้อสินค้า!H:I,2,FALSE),)</f>
        <v>0</v>
      </c>
      <c r="I999" s="21">
        <f>IFERROR(VLOOKUP(G999,ซื้อสินค้า!H:J,3,FALSE),)</f>
        <v>0</v>
      </c>
      <c r="J999" s="21">
        <f t="shared" si="21"/>
        <v>0</v>
      </c>
      <c r="K999" s="21">
        <f t="shared" si="22"/>
        <v>0</v>
      </c>
      <c r="L999" s="12">
        <f t="shared" si="23"/>
        <v>0</v>
      </c>
      <c r="M999" s="21">
        <f t="shared" si="24"/>
        <v>0</v>
      </c>
      <c r="N999" s="9" t="str">
        <f ca="1">IFERROR(__xludf.DUMMYFUNCTION("IF(G999&lt;&gt;"""",G999, IFERROR(TRANSPOSE(FILTER('ซื้อสินค้า'!H:H,'ซื้อสินค้า'!B:B=B999,'ซื้อสินค้า'!I:I&gt;0)),))"),"")</f>
        <v/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</sheetData>
  <dataValidations count="3">
    <dataValidation type="decimal" operator="greaterThanOrEqual" allowBlank="1" showDropDown="1" showInputMessage="1" prompt="สินค้าใน lot มีจำนวนน้อยกว่า 0" sqref="H2:M999" xr:uid="{00000000-0002-0000-0100-000000000000}">
      <formula1>0</formula1>
    </dataValidation>
    <dataValidation type="list" allowBlank="1" showErrorMessage="1" sqref="G2:G999" xr:uid="{00000000-0002-0000-0100-000002000000}">
      <formula1>$N2:$AE2</formula1>
    </dataValidation>
    <dataValidation type="custom" allowBlank="1" showDropDown="1" sqref="A2:A999" xr:uid="{00000000-0002-0000-0100-000003000000}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ชื่อสินค้า!$A$2:$A999</xm:f>
          </x14:formula1>
          <xm:sqref>B2:B999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CCCC"/>
    <outlinePr summaryBelow="0" summaryRight="0"/>
  </sheetPr>
  <dimension ref="A1:F1000"/>
  <sheetViews>
    <sheetView zoomScale="115" zoomScaleNormal="115" workbookViewId="0">
      <selection activeCell="C1" sqref="C1"/>
    </sheetView>
  </sheetViews>
  <sheetFormatPr defaultColWidth="12.5703125" defaultRowHeight="15.75" customHeight="1"/>
  <cols>
    <col min="1" max="1" width="39.140625" customWidth="1"/>
    <col min="4" max="4" width="13.42578125" customWidth="1"/>
    <col min="5" max="5" width="19.140625" customWidth="1"/>
  </cols>
  <sheetData>
    <row r="1" spans="1:6" ht="12.75">
      <c r="A1" s="1" t="s">
        <v>1</v>
      </c>
      <c r="B1" s="1" t="s">
        <v>21</v>
      </c>
      <c r="C1" s="1" t="s">
        <v>22</v>
      </c>
      <c r="D1" s="1" t="s">
        <v>47</v>
      </c>
      <c r="E1" s="1" t="s">
        <v>48</v>
      </c>
      <c r="F1" s="1" t="s">
        <v>49</v>
      </c>
    </row>
    <row r="2" spans="1:6" ht="15.75" customHeight="1">
      <c r="A2" s="59" t="s">
        <v>64</v>
      </c>
      <c r="B2" s="56">
        <v>40500</v>
      </c>
      <c r="C2" s="56">
        <v>43500</v>
      </c>
      <c r="D2" s="55" t="s">
        <v>50</v>
      </c>
      <c r="E2" s="54" t="s">
        <v>63</v>
      </c>
      <c r="F2" s="9" t="s">
        <v>65</v>
      </c>
    </row>
    <row r="3" spans="1:6" ht="12.75">
      <c r="A3" s="60" t="s">
        <v>72</v>
      </c>
      <c r="B3" s="56">
        <v>26500</v>
      </c>
      <c r="C3" s="56">
        <v>27500</v>
      </c>
      <c r="D3" s="26" t="s">
        <v>51</v>
      </c>
      <c r="E3" s="54" t="s">
        <v>51</v>
      </c>
      <c r="F3" s="57" t="s">
        <v>69</v>
      </c>
    </row>
    <row r="4" spans="1:6" ht="15">
      <c r="A4" s="61" t="s">
        <v>74</v>
      </c>
      <c r="B4" s="9" t="s">
        <v>76</v>
      </c>
      <c r="C4" s="56">
        <v>85500</v>
      </c>
      <c r="D4" s="55" t="s">
        <v>59</v>
      </c>
      <c r="E4" s="54" t="s">
        <v>75</v>
      </c>
      <c r="F4" s="54" t="s">
        <v>73</v>
      </c>
    </row>
    <row r="5" spans="1:6" ht="14.25">
      <c r="A5" s="62" t="s">
        <v>79</v>
      </c>
      <c r="B5" s="56">
        <v>25000</v>
      </c>
      <c r="C5" s="56">
        <v>28500</v>
      </c>
      <c r="D5" s="55" t="s">
        <v>57</v>
      </c>
      <c r="E5" s="63" t="s">
        <v>78</v>
      </c>
      <c r="F5" s="54" t="s">
        <v>77</v>
      </c>
    </row>
    <row r="6" spans="1:6" ht="12.75">
      <c r="A6" s="60" t="s">
        <v>67</v>
      </c>
      <c r="B6" s="56">
        <v>37000</v>
      </c>
      <c r="C6" s="56">
        <v>38500</v>
      </c>
      <c r="D6" s="26" t="s">
        <v>53</v>
      </c>
      <c r="E6" s="54" t="s">
        <v>66</v>
      </c>
      <c r="F6" s="9" t="s">
        <v>65</v>
      </c>
    </row>
    <row r="7" spans="1:6" ht="12.75">
      <c r="A7" s="60" t="s">
        <v>71</v>
      </c>
      <c r="B7" s="56">
        <v>10000</v>
      </c>
      <c r="C7" s="56">
        <v>12500</v>
      </c>
      <c r="D7" s="26" t="s">
        <v>52</v>
      </c>
      <c r="E7" s="26" t="s">
        <v>52</v>
      </c>
      <c r="F7" s="57" t="s">
        <v>70</v>
      </c>
    </row>
    <row r="8" spans="1:6" ht="12.75">
      <c r="A8" s="52" t="s">
        <v>64</v>
      </c>
      <c r="B8" s="58">
        <v>40500</v>
      </c>
      <c r="C8" s="58">
        <v>43500</v>
      </c>
      <c r="D8" s="52" t="s">
        <v>50</v>
      </c>
      <c r="E8" s="52" t="s">
        <v>63</v>
      </c>
      <c r="F8" s="52" t="s">
        <v>80</v>
      </c>
    </row>
    <row r="9" spans="1:6" ht="12.75">
      <c r="A9" s="9" t="s">
        <v>81</v>
      </c>
      <c r="B9" s="56">
        <v>26500</v>
      </c>
      <c r="C9" s="56">
        <v>27500</v>
      </c>
      <c r="D9" s="26" t="s">
        <v>51</v>
      </c>
      <c r="E9" s="9" t="s">
        <v>51</v>
      </c>
      <c r="F9" s="9" t="s">
        <v>69</v>
      </c>
    </row>
    <row r="10" spans="1:6" ht="12.75">
      <c r="A10" s="9" t="s">
        <v>82</v>
      </c>
      <c r="B10" s="56">
        <v>80000</v>
      </c>
      <c r="C10" s="56">
        <v>85500</v>
      </c>
      <c r="D10" s="55" t="s">
        <v>59</v>
      </c>
      <c r="E10" s="9" t="s">
        <v>75</v>
      </c>
      <c r="F10" s="9" t="s">
        <v>73</v>
      </c>
    </row>
    <row r="11" spans="1:6" ht="12.75">
      <c r="A11" s="52" t="s">
        <v>79</v>
      </c>
      <c r="B11" s="58">
        <v>25000</v>
      </c>
      <c r="C11" s="58">
        <v>28500</v>
      </c>
      <c r="D11" s="52" t="s">
        <v>57</v>
      </c>
      <c r="E11" s="52" t="s">
        <v>78</v>
      </c>
      <c r="F11" s="52" t="s">
        <v>77</v>
      </c>
    </row>
    <row r="12" spans="1:6" ht="12.75">
      <c r="A12" s="9" t="s">
        <v>83</v>
      </c>
      <c r="B12" s="56">
        <v>3500</v>
      </c>
      <c r="C12" s="56">
        <v>4200</v>
      </c>
      <c r="D12" s="55" t="s">
        <v>61</v>
      </c>
      <c r="E12" s="9" t="s">
        <v>61</v>
      </c>
      <c r="F12" s="9" t="s">
        <v>84</v>
      </c>
    </row>
    <row r="13" spans="1:6" ht="12.75">
      <c r="A13" s="9" t="s">
        <v>85</v>
      </c>
      <c r="B13" s="56">
        <v>45000</v>
      </c>
      <c r="C13" s="56">
        <v>48500</v>
      </c>
      <c r="D13" s="55" t="s">
        <v>56</v>
      </c>
      <c r="E13" s="9" t="s">
        <v>86</v>
      </c>
      <c r="F13" s="9" t="s">
        <v>87</v>
      </c>
    </row>
    <row r="14" spans="1:6" ht="12.75">
      <c r="A14" s="9" t="s">
        <v>71</v>
      </c>
      <c r="B14" s="56">
        <v>10000</v>
      </c>
      <c r="C14" s="56">
        <v>12500</v>
      </c>
      <c r="D14" s="55" t="s">
        <v>52</v>
      </c>
      <c r="E14" s="9" t="s">
        <v>52</v>
      </c>
      <c r="F14" s="9" t="s">
        <v>70</v>
      </c>
    </row>
    <row r="15" spans="1:6" ht="12.75">
      <c r="A15" s="9" t="s">
        <v>88</v>
      </c>
      <c r="B15" s="56">
        <v>3800</v>
      </c>
      <c r="C15" s="56">
        <v>4500</v>
      </c>
      <c r="D15" s="26" t="s">
        <v>54</v>
      </c>
      <c r="E15" s="9" t="s">
        <v>89</v>
      </c>
      <c r="F15" s="9" t="s">
        <v>90</v>
      </c>
    </row>
    <row r="16" spans="1:6" ht="12.75">
      <c r="A16" s="52" t="s">
        <v>91</v>
      </c>
      <c r="B16" s="58">
        <v>2500</v>
      </c>
      <c r="C16" s="58">
        <v>3200</v>
      </c>
      <c r="D16" s="52" t="s">
        <v>62</v>
      </c>
      <c r="E16" s="52" t="s">
        <v>62</v>
      </c>
      <c r="F16" s="52" t="s">
        <v>92</v>
      </c>
    </row>
    <row r="17" spans="1:6" ht="12.75">
      <c r="A17" s="52" t="s">
        <v>67</v>
      </c>
      <c r="B17" s="58">
        <v>37000</v>
      </c>
      <c r="C17" s="58">
        <v>38500</v>
      </c>
      <c r="D17" s="52" t="s">
        <v>53</v>
      </c>
      <c r="E17" s="52" t="s">
        <v>66</v>
      </c>
      <c r="F17" s="52" t="s">
        <v>80</v>
      </c>
    </row>
    <row r="18" spans="1:6" ht="12.75">
      <c r="A18" s="9" t="s">
        <v>93</v>
      </c>
      <c r="B18" s="56">
        <v>20000</v>
      </c>
      <c r="C18" s="56">
        <v>22500</v>
      </c>
      <c r="D18" s="53" t="s">
        <v>60</v>
      </c>
      <c r="E18" s="9" t="s">
        <v>94</v>
      </c>
      <c r="F18" s="9" t="s">
        <v>95</v>
      </c>
    </row>
    <row r="19" spans="1:6" ht="12.75">
      <c r="A19" s="9" t="s">
        <v>96</v>
      </c>
      <c r="B19" s="56">
        <v>120000</v>
      </c>
      <c r="C19" s="56">
        <v>125000</v>
      </c>
      <c r="D19" s="53" t="s">
        <v>58</v>
      </c>
      <c r="E19" s="9" t="s">
        <v>97</v>
      </c>
      <c r="F19" s="9" t="s">
        <v>98</v>
      </c>
    </row>
    <row r="20" spans="1:6" ht="12.75">
      <c r="A20" s="9" t="s">
        <v>99</v>
      </c>
      <c r="B20" s="56">
        <v>95000</v>
      </c>
      <c r="C20" s="56">
        <v>99500</v>
      </c>
      <c r="D20" s="9" t="s">
        <v>59</v>
      </c>
      <c r="E20" s="9" t="s">
        <v>100</v>
      </c>
      <c r="F20" s="9" t="s">
        <v>101</v>
      </c>
    </row>
    <row r="21" spans="1:6" ht="12.75">
      <c r="A21" s="9" t="s">
        <v>102</v>
      </c>
      <c r="B21" s="56">
        <v>32000</v>
      </c>
      <c r="C21" s="56">
        <v>35500</v>
      </c>
      <c r="D21" s="52" t="s">
        <v>50</v>
      </c>
      <c r="E21" s="9" t="s">
        <v>63</v>
      </c>
      <c r="F21" s="9" t="s">
        <v>103</v>
      </c>
    </row>
    <row r="22" spans="1:6" ht="12.75">
      <c r="A22" s="9" t="s">
        <v>104</v>
      </c>
      <c r="B22" s="56">
        <v>8500</v>
      </c>
      <c r="C22" s="56">
        <v>9800</v>
      </c>
      <c r="D22" s="52" t="s">
        <v>51</v>
      </c>
      <c r="E22" s="9" t="s">
        <v>51</v>
      </c>
      <c r="F22" s="9" t="s">
        <v>105</v>
      </c>
    </row>
    <row r="23" spans="1:6" ht="12.75">
      <c r="A23" s="9" t="s">
        <v>106</v>
      </c>
      <c r="B23" s="56">
        <v>60000</v>
      </c>
      <c r="C23" s="56">
        <v>64500</v>
      </c>
      <c r="D23" s="52" t="s">
        <v>55</v>
      </c>
      <c r="E23" s="9" t="s">
        <v>68</v>
      </c>
      <c r="F23" s="9" t="s">
        <v>73</v>
      </c>
    </row>
    <row r="24" spans="1:6" ht="12.75">
      <c r="A24" s="9" t="s">
        <v>107</v>
      </c>
      <c r="B24" s="56">
        <v>28000</v>
      </c>
      <c r="C24" s="56">
        <v>32000</v>
      </c>
      <c r="D24" s="9" t="s">
        <v>57</v>
      </c>
      <c r="E24" s="9" t="s">
        <v>108</v>
      </c>
      <c r="F24" s="9" t="s">
        <v>84</v>
      </c>
    </row>
    <row r="25" spans="1:6" ht="12.75">
      <c r="A25" s="9" t="s">
        <v>109</v>
      </c>
      <c r="B25" s="56">
        <v>2200</v>
      </c>
      <c r="C25" s="56">
        <v>2800</v>
      </c>
      <c r="D25" s="52" t="s">
        <v>61</v>
      </c>
      <c r="E25" s="9" t="s">
        <v>61</v>
      </c>
      <c r="F25" s="9" t="s">
        <v>110</v>
      </c>
    </row>
    <row r="26" spans="1:6" ht="12.75">
      <c r="A26" s="9" t="s">
        <v>111</v>
      </c>
      <c r="B26" s="56">
        <v>38000</v>
      </c>
      <c r="C26" s="56">
        <v>41500</v>
      </c>
      <c r="D26" s="9" t="s">
        <v>56</v>
      </c>
      <c r="E26" s="9" t="s">
        <v>86</v>
      </c>
      <c r="F26" s="9" t="s">
        <v>112</v>
      </c>
    </row>
    <row r="27" spans="1:6" ht="12.75">
      <c r="A27" s="9" t="s">
        <v>113</v>
      </c>
      <c r="B27" s="56">
        <v>11500</v>
      </c>
      <c r="C27" s="56">
        <v>13500</v>
      </c>
      <c r="D27" s="52" t="s">
        <v>52</v>
      </c>
      <c r="E27" s="9" t="s">
        <v>52</v>
      </c>
      <c r="F27" s="9" t="s">
        <v>114</v>
      </c>
    </row>
    <row r="28" spans="1:6" ht="12.75">
      <c r="A28" s="9" t="s">
        <v>115</v>
      </c>
      <c r="B28" s="56">
        <v>2500</v>
      </c>
      <c r="C28" s="56">
        <v>3000</v>
      </c>
      <c r="D28" s="9" t="s">
        <v>54</v>
      </c>
      <c r="E28" s="9" t="s">
        <v>116</v>
      </c>
      <c r="F28" s="9" t="s">
        <v>117</v>
      </c>
    </row>
    <row r="29" spans="1:6" ht="12.75">
      <c r="A29" s="9" t="s">
        <v>118</v>
      </c>
      <c r="B29" s="56">
        <v>3200</v>
      </c>
      <c r="C29" s="56">
        <v>4000</v>
      </c>
      <c r="D29" s="9" t="s">
        <v>62</v>
      </c>
      <c r="E29" s="9" t="s">
        <v>119</v>
      </c>
      <c r="F29" s="9" t="s">
        <v>84</v>
      </c>
    </row>
    <row r="30" spans="1:6" ht="12.75">
      <c r="A30" s="9" t="s">
        <v>120</v>
      </c>
      <c r="B30" s="56">
        <v>42000</v>
      </c>
      <c r="C30" s="56">
        <v>46000</v>
      </c>
      <c r="D30" s="52" t="s">
        <v>53</v>
      </c>
      <c r="E30" s="9" t="s">
        <v>66</v>
      </c>
      <c r="F30" s="9" t="s">
        <v>121</v>
      </c>
    </row>
    <row r="31" spans="1:6" ht="12.75">
      <c r="A31" s="9" t="s">
        <v>122</v>
      </c>
      <c r="B31" s="56">
        <v>7000</v>
      </c>
      <c r="C31" s="56">
        <v>8200</v>
      </c>
      <c r="D31" s="9" t="s">
        <v>60</v>
      </c>
      <c r="E31" s="9" t="s">
        <v>94</v>
      </c>
      <c r="F31" s="9" t="s">
        <v>123</v>
      </c>
    </row>
    <row r="32" spans="1:6">
      <c r="A32" s="9" t="s">
        <v>124</v>
      </c>
      <c r="B32" s="56">
        <v>65000</v>
      </c>
      <c r="C32" s="56">
        <v>69500</v>
      </c>
      <c r="D32" s="9" t="s">
        <v>58</v>
      </c>
      <c r="E32" s="9" t="s">
        <v>125</v>
      </c>
      <c r="F32" s="9" t="s">
        <v>84</v>
      </c>
    </row>
    <row r="33" spans="1:6">
      <c r="A33" s="9" t="s">
        <v>126</v>
      </c>
      <c r="B33" s="56">
        <v>70000</v>
      </c>
      <c r="C33" s="56">
        <v>74500</v>
      </c>
      <c r="D33" s="9" t="s">
        <v>59</v>
      </c>
      <c r="E33" s="9" t="s">
        <v>127</v>
      </c>
      <c r="F33" s="9" t="s">
        <v>128</v>
      </c>
    </row>
    <row r="34" spans="1:6">
      <c r="A34" s="9" t="s">
        <v>129</v>
      </c>
      <c r="B34" s="56">
        <v>28500</v>
      </c>
      <c r="C34" s="56">
        <v>31500</v>
      </c>
      <c r="D34" s="9" t="s">
        <v>50</v>
      </c>
      <c r="E34" s="9" t="s">
        <v>63</v>
      </c>
      <c r="F34" s="9" t="s">
        <v>130</v>
      </c>
    </row>
    <row r="35" spans="1:6">
      <c r="A35" s="9" t="s">
        <v>131</v>
      </c>
      <c r="B35" s="56">
        <v>12000</v>
      </c>
      <c r="C35" s="56">
        <v>13800</v>
      </c>
      <c r="D35" s="9" t="s">
        <v>51</v>
      </c>
      <c r="E35" s="9" t="s">
        <v>51</v>
      </c>
      <c r="F35" s="9" t="s">
        <v>132</v>
      </c>
    </row>
    <row r="36" spans="1:6">
      <c r="A36" s="9" t="s">
        <v>133</v>
      </c>
      <c r="B36" s="56">
        <v>27000</v>
      </c>
      <c r="C36" s="56">
        <v>29500</v>
      </c>
      <c r="D36" s="9" t="s">
        <v>55</v>
      </c>
      <c r="E36" s="9" t="s">
        <v>68</v>
      </c>
      <c r="F36" s="9" t="s">
        <v>134</v>
      </c>
    </row>
    <row r="37" spans="1:6">
      <c r="A37" s="9" t="s">
        <v>135</v>
      </c>
      <c r="B37" s="56">
        <v>35000</v>
      </c>
      <c r="C37" s="56">
        <v>38800</v>
      </c>
      <c r="D37" s="9" t="s">
        <v>57</v>
      </c>
      <c r="E37" s="9" t="s">
        <v>108</v>
      </c>
      <c r="F37" s="9" t="s">
        <v>136</v>
      </c>
    </row>
    <row r="38" spans="1:6">
      <c r="A38" s="9" t="s">
        <v>137</v>
      </c>
      <c r="B38" s="56">
        <v>1200</v>
      </c>
      <c r="C38" s="56">
        <v>1600</v>
      </c>
      <c r="D38" s="9" t="s">
        <v>61</v>
      </c>
      <c r="E38" s="9" t="s">
        <v>61</v>
      </c>
      <c r="F38" s="9" t="s">
        <v>84</v>
      </c>
    </row>
    <row r="39" spans="1:6">
      <c r="A39" s="9" t="s">
        <v>138</v>
      </c>
      <c r="B39" s="56">
        <v>28000</v>
      </c>
      <c r="C39" s="56">
        <v>31000</v>
      </c>
      <c r="D39" s="9" t="s">
        <v>56</v>
      </c>
      <c r="E39" s="9" t="s">
        <v>86</v>
      </c>
      <c r="F39" s="9" t="s">
        <v>139</v>
      </c>
    </row>
    <row r="40" spans="1:6">
      <c r="A40" s="9" t="s">
        <v>140</v>
      </c>
      <c r="B40" s="56">
        <v>15000</v>
      </c>
      <c r="C40" s="56">
        <v>17500</v>
      </c>
      <c r="D40" s="9" t="s">
        <v>52</v>
      </c>
      <c r="E40" s="9" t="s">
        <v>52</v>
      </c>
      <c r="F40" s="9" t="s">
        <v>141</v>
      </c>
    </row>
    <row r="41" spans="1:6">
      <c r="A41" s="9" t="s">
        <v>142</v>
      </c>
      <c r="B41" s="56">
        <v>4200</v>
      </c>
      <c r="C41" s="56">
        <v>5000</v>
      </c>
      <c r="D41" s="9" t="s">
        <v>54</v>
      </c>
      <c r="E41" s="9" t="s">
        <v>143</v>
      </c>
      <c r="F41" s="9" t="s">
        <v>144</v>
      </c>
    </row>
    <row r="42" spans="1:6">
      <c r="A42" s="9" t="s">
        <v>145</v>
      </c>
      <c r="B42" s="56">
        <v>3800</v>
      </c>
      <c r="C42" s="56">
        <v>4600</v>
      </c>
      <c r="D42" s="9" t="s">
        <v>62</v>
      </c>
      <c r="E42" s="9" t="s">
        <v>62</v>
      </c>
      <c r="F42" s="9" t="s">
        <v>146</v>
      </c>
    </row>
    <row r="43" spans="1:6">
      <c r="A43" s="9" t="s">
        <v>147</v>
      </c>
      <c r="B43" s="56">
        <v>40000</v>
      </c>
      <c r="C43" s="56">
        <v>44500</v>
      </c>
      <c r="D43" s="9" t="s">
        <v>53</v>
      </c>
      <c r="E43" s="9" t="s">
        <v>66</v>
      </c>
      <c r="F43" s="9" t="s">
        <v>148</v>
      </c>
    </row>
    <row r="44" spans="1:6">
      <c r="A44" s="9" t="s">
        <v>149</v>
      </c>
      <c r="B44" s="56">
        <v>8500</v>
      </c>
      <c r="C44" s="56">
        <v>9800</v>
      </c>
      <c r="D44" s="9" t="s">
        <v>60</v>
      </c>
      <c r="E44" s="9" t="s">
        <v>150</v>
      </c>
      <c r="F44" s="9" t="s">
        <v>151</v>
      </c>
    </row>
    <row r="45" spans="1:6">
      <c r="A45" s="9" t="s">
        <v>152</v>
      </c>
      <c r="B45" s="56">
        <v>185000</v>
      </c>
      <c r="C45" s="56">
        <v>190000</v>
      </c>
      <c r="D45" s="9" t="s">
        <v>58</v>
      </c>
      <c r="E45" s="9" t="s">
        <v>125</v>
      </c>
      <c r="F45" s="9" t="s">
        <v>153</v>
      </c>
    </row>
    <row r="46" spans="1:6">
      <c r="A46" s="9" t="s">
        <v>154</v>
      </c>
      <c r="B46" s="56">
        <v>35000</v>
      </c>
      <c r="C46" s="56">
        <v>38500</v>
      </c>
      <c r="D46" s="9" t="s">
        <v>59</v>
      </c>
      <c r="E46" s="9" t="s">
        <v>100</v>
      </c>
      <c r="F46" s="9" t="s">
        <v>84</v>
      </c>
    </row>
    <row r="47" spans="1:6">
      <c r="A47" s="9" t="s">
        <v>155</v>
      </c>
      <c r="B47" s="56">
        <v>42000</v>
      </c>
      <c r="C47" s="56">
        <v>46500</v>
      </c>
      <c r="D47" s="9" t="s">
        <v>50</v>
      </c>
      <c r="E47" s="9" t="s">
        <v>63</v>
      </c>
      <c r="F47" s="9" t="s">
        <v>156</v>
      </c>
    </row>
    <row r="48" spans="1:6">
      <c r="A48" s="9" t="s">
        <v>157</v>
      </c>
      <c r="B48" s="56">
        <v>18000</v>
      </c>
      <c r="C48" s="56">
        <v>20500</v>
      </c>
      <c r="D48" s="9" t="s">
        <v>51</v>
      </c>
      <c r="E48" s="9" t="s">
        <v>51</v>
      </c>
      <c r="F48" s="9" t="s">
        <v>158</v>
      </c>
    </row>
    <row r="49" spans="1:6">
      <c r="A49" s="9" t="s">
        <v>159</v>
      </c>
      <c r="B49" s="56">
        <v>55000</v>
      </c>
      <c r="C49" s="56">
        <v>59500</v>
      </c>
      <c r="D49" s="9" t="s">
        <v>55</v>
      </c>
      <c r="E49" s="9" t="s">
        <v>68</v>
      </c>
      <c r="F49" s="9" t="s">
        <v>73</v>
      </c>
    </row>
    <row r="50" spans="1:6">
      <c r="A50" s="9" t="s">
        <v>160</v>
      </c>
      <c r="B50" s="56">
        <v>42000</v>
      </c>
      <c r="C50" s="56">
        <v>45500</v>
      </c>
      <c r="D50" s="9" t="s">
        <v>57</v>
      </c>
      <c r="E50" s="9" t="s">
        <v>108</v>
      </c>
      <c r="F50" s="9" t="s">
        <v>161</v>
      </c>
    </row>
    <row r="51" spans="1:6">
      <c r="A51" s="9" t="s">
        <v>162</v>
      </c>
      <c r="B51" s="56">
        <v>6500</v>
      </c>
      <c r="C51" s="56">
        <v>7800</v>
      </c>
      <c r="D51" s="9" t="s">
        <v>61</v>
      </c>
      <c r="E51" s="9" t="s">
        <v>61</v>
      </c>
      <c r="F51" s="9" t="s">
        <v>163</v>
      </c>
    </row>
    <row r="52" spans="1:6">
      <c r="A52" s="9" t="s">
        <v>164</v>
      </c>
      <c r="B52" s="56">
        <v>22500</v>
      </c>
      <c r="C52" s="56">
        <v>25500</v>
      </c>
      <c r="D52" s="9" t="s">
        <v>56</v>
      </c>
      <c r="E52" s="9" t="s">
        <v>86</v>
      </c>
      <c r="F52" s="9" t="s">
        <v>165</v>
      </c>
    </row>
    <row r="53" spans="1:6">
      <c r="A53" s="9" t="s">
        <v>166</v>
      </c>
      <c r="B53" s="56">
        <v>9500</v>
      </c>
      <c r="C53" s="56">
        <v>11200</v>
      </c>
      <c r="D53" s="9" t="s">
        <v>52</v>
      </c>
      <c r="E53" s="9" t="s">
        <v>52</v>
      </c>
      <c r="F53" s="9" t="s">
        <v>167</v>
      </c>
    </row>
    <row r="54" spans="1:6">
      <c r="A54" s="9" t="s">
        <v>168</v>
      </c>
      <c r="B54" s="56">
        <v>4500</v>
      </c>
      <c r="C54" s="56">
        <v>5500</v>
      </c>
      <c r="D54" s="9" t="s">
        <v>54</v>
      </c>
      <c r="E54" s="9" t="s">
        <v>143</v>
      </c>
      <c r="F54" s="9" t="s">
        <v>169</v>
      </c>
    </row>
    <row r="55" spans="1:6">
      <c r="A55" s="9" t="s">
        <v>170</v>
      </c>
      <c r="B55" s="56">
        <v>5500</v>
      </c>
      <c r="C55" s="56">
        <v>6800</v>
      </c>
      <c r="D55" s="9" t="s">
        <v>62</v>
      </c>
      <c r="E55" s="9" t="s">
        <v>62</v>
      </c>
      <c r="F55" s="9" t="s">
        <v>92</v>
      </c>
    </row>
    <row r="56" spans="1:6">
      <c r="A56" s="9" t="s">
        <v>171</v>
      </c>
      <c r="B56" s="56">
        <v>33000</v>
      </c>
      <c r="C56" s="56">
        <v>37500</v>
      </c>
      <c r="D56" s="9" t="s">
        <v>53</v>
      </c>
      <c r="E56" s="9" t="s">
        <v>66</v>
      </c>
      <c r="F56" s="9" t="s">
        <v>172</v>
      </c>
    </row>
    <row r="57" spans="1:6">
      <c r="A57" s="9" t="s">
        <v>173</v>
      </c>
      <c r="B57" s="56">
        <v>22500</v>
      </c>
      <c r="C57" s="56">
        <v>25500</v>
      </c>
      <c r="D57" s="9" t="s">
        <v>60</v>
      </c>
      <c r="E57" s="9" t="s">
        <v>174</v>
      </c>
      <c r="F57" s="9" t="s">
        <v>95</v>
      </c>
    </row>
    <row r="58" spans="1:6">
      <c r="A58" s="9" t="s">
        <v>175</v>
      </c>
      <c r="B58" s="56">
        <v>42000</v>
      </c>
      <c r="C58" s="56">
        <v>45500</v>
      </c>
      <c r="D58" s="9" t="s">
        <v>58</v>
      </c>
      <c r="E58" s="9" t="s">
        <v>97</v>
      </c>
      <c r="F58" s="9" t="s">
        <v>84</v>
      </c>
    </row>
    <row r="59" spans="1:6">
      <c r="A59" s="9"/>
      <c r="B59" s="9"/>
      <c r="C59" s="9"/>
      <c r="D59" s="9"/>
      <c r="E59" s="9"/>
      <c r="F59" s="9"/>
    </row>
    <row r="60" spans="1:6">
      <c r="A60" s="9"/>
      <c r="B60" s="9"/>
      <c r="C60" s="9"/>
      <c r="D60" s="9"/>
      <c r="E60" s="9"/>
      <c r="F60" s="9"/>
    </row>
    <row r="61" spans="1:6">
      <c r="A61" s="9"/>
      <c r="B61" s="9"/>
      <c r="C61" s="9"/>
      <c r="D61" s="9"/>
      <c r="E61" s="9"/>
      <c r="F61" s="9"/>
    </row>
    <row r="62" spans="1:6">
      <c r="A62" s="9"/>
      <c r="B62" s="9"/>
      <c r="C62" s="9"/>
      <c r="D62" s="9"/>
      <c r="E62" s="9"/>
      <c r="F62" s="9"/>
    </row>
    <row r="63" spans="1:6">
      <c r="A63" s="9"/>
      <c r="B63" s="9"/>
      <c r="C63" s="9"/>
      <c r="D63" s="9"/>
      <c r="E63" s="9"/>
      <c r="F63" s="9"/>
    </row>
    <row r="64" spans="1:6">
      <c r="A64" s="9"/>
      <c r="B64" s="9"/>
      <c r="C64" s="9"/>
      <c r="D64" s="9"/>
      <c r="E64" s="9"/>
      <c r="F64" s="9"/>
    </row>
    <row r="65" spans="1:6">
      <c r="A65" s="9"/>
      <c r="B65" s="9"/>
      <c r="C65" s="9"/>
      <c r="D65" s="9"/>
      <c r="E65" s="9"/>
      <c r="F65" s="9"/>
    </row>
    <row r="66" spans="1:6">
      <c r="A66" s="9"/>
      <c r="B66" s="9"/>
      <c r="C66" s="9"/>
      <c r="D66" s="9"/>
      <c r="E66" s="9"/>
      <c r="F66" s="9"/>
    </row>
    <row r="67" spans="1:6">
      <c r="A67" s="9"/>
      <c r="B67" s="9"/>
      <c r="C67" s="9"/>
      <c r="D67" s="9"/>
      <c r="E67" s="9"/>
      <c r="F67" s="9"/>
    </row>
    <row r="68" spans="1:6">
      <c r="A68" s="9"/>
      <c r="B68" s="9"/>
      <c r="C68" s="9"/>
      <c r="D68" s="9"/>
      <c r="E68" s="9"/>
      <c r="F68" s="9"/>
    </row>
    <row r="69" spans="1:6">
      <c r="A69" s="9"/>
      <c r="B69" s="9"/>
      <c r="C69" s="9"/>
      <c r="D69" s="9"/>
      <c r="E69" s="9"/>
      <c r="F69" s="9"/>
    </row>
    <row r="70" spans="1:6">
      <c r="A70" s="9"/>
      <c r="B70" s="9"/>
      <c r="C70" s="9"/>
      <c r="D70" s="9"/>
      <c r="E70" s="9"/>
      <c r="F70" s="9"/>
    </row>
    <row r="71" spans="1:6">
      <c r="A71" s="9"/>
      <c r="B71" s="9"/>
      <c r="C71" s="9"/>
      <c r="D71" s="9"/>
      <c r="E71" s="9"/>
      <c r="F71" s="9"/>
    </row>
    <row r="72" spans="1:6">
      <c r="A72" s="9"/>
      <c r="B72" s="9"/>
      <c r="C72" s="9"/>
      <c r="D72" s="9"/>
      <c r="E72" s="9"/>
      <c r="F72" s="9"/>
    </row>
    <row r="73" spans="1:6">
      <c r="A73" s="9"/>
      <c r="B73" s="9"/>
      <c r="C73" s="9"/>
      <c r="D73" s="9"/>
      <c r="E73" s="9"/>
      <c r="F73" s="9"/>
    </row>
    <row r="74" spans="1:6">
      <c r="A74" s="9"/>
      <c r="B74" s="9"/>
      <c r="C74" s="9"/>
      <c r="D74" s="9"/>
      <c r="E74" s="9"/>
      <c r="F74" s="9"/>
    </row>
    <row r="75" spans="1:6">
      <c r="A75" s="9"/>
      <c r="B75" s="9"/>
      <c r="C75" s="9"/>
      <c r="D75" s="9"/>
      <c r="E75" s="9"/>
      <c r="F75" s="9"/>
    </row>
    <row r="76" spans="1:6">
      <c r="A76" s="9"/>
      <c r="B76" s="9"/>
      <c r="C76" s="9"/>
      <c r="D76" s="9"/>
      <c r="E76" s="9"/>
      <c r="F76" s="9"/>
    </row>
    <row r="77" spans="1:6">
      <c r="A77" s="9"/>
      <c r="B77" s="9"/>
      <c r="C77" s="9"/>
      <c r="D77" s="9"/>
      <c r="E77" s="9"/>
      <c r="F77" s="9"/>
    </row>
    <row r="78" spans="1:6">
      <c r="A78" s="9"/>
      <c r="B78" s="9"/>
      <c r="C78" s="9"/>
      <c r="D78" s="9"/>
      <c r="E78" s="9"/>
      <c r="F78" s="9"/>
    </row>
    <row r="79" spans="1:6">
      <c r="A79" s="9"/>
      <c r="B79" s="9"/>
      <c r="C79" s="9"/>
      <c r="D79" s="9"/>
      <c r="E79" s="9"/>
      <c r="F79" s="9"/>
    </row>
    <row r="80" spans="1:6">
      <c r="A80" s="9"/>
      <c r="B80" s="9"/>
      <c r="C80" s="9"/>
      <c r="D80" s="9"/>
      <c r="E80" s="9"/>
      <c r="F80" s="9"/>
    </row>
    <row r="81" spans="1:6">
      <c r="A81" s="9"/>
      <c r="B81" s="9"/>
      <c r="C81" s="9"/>
      <c r="D81" s="9"/>
      <c r="E81" s="9"/>
      <c r="F81" s="9"/>
    </row>
    <row r="82" spans="1:6">
      <c r="A82" s="9"/>
      <c r="B82" s="9"/>
      <c r="C82" s="9"/>
      <c r="D82" s="9"/>
      <c r="E82" s="9"/>
      <c r="F82" s="9"/>
    </row>
    <row r="83" spans="1:6">
      <c r="A83" s="9"/>
      <c r="B83" s="9"/>
      <c r="C83" s="9"/>
      <c r="D83" s="9"/>
      <c r="E83" s="9"/>
      <c r="F83" s="9"/>
    </row>
    <row r="84" spans="1:6">
      <c r="A84" s="9"/>
      <c r="B84" s="9"/>
      <c r="C84" s="9"/>
      <c r="D84" s="9"/>
      <c r="E84" s="9"/>
      <c r="F84" s="9"/>
    </row>
    <row r="85" spans="1:6">
      <c r="A85" s="9"/>
      <c r="B85" s="9"/>
      <c r="C85" s="9"/>
      <c r="D85" s="9"/>
      <c r="E85" s="9"/>
      <c r="F85" s="9"/>
    </row>
    <row r="86" spans="1:6">
      <c r="A86" s="9"/>
      <c r="B86" s="9"/>
      <c r="C86" s="9"/>
      <c r="D86" s="9"/>
      <c r="E86" s="9"/>
      <c r="F86" s="9"/>
    </row>
    <row r="87" spans="1:6">
      <c r="A87" s="9"/>
      <c r="B87" s="9"/>
      <c r="C87" s="9"/>
      <c r="D87" s="9"/>
      <c r="E87" s="9"/>
      <c r="F87" s="9"/>
    </row>
    <row r="88" spans="1:6">
      <c r="A88" s="9"/>
      <c r="B88" s="9"/>
      <c r="C88" s="9"/>
      <c r="D88" s="9"/>
      <c r="E88" s="9"/>
      <c r="F88" s="9"/>
    </row>
    <row r="89" spans="1:6">
      <c r="A89" s="9"/>
      <c r="B89" s="9"/>
      <c r="C89" s="9"/>
      <c r="D89" s="9"/>
      <c r="E89" s="9"/>
      <c r="F89" s="9"/>
    </row>
    <row r="90" spans="1:6">
      <c r="A90" s="9"/>
      <c r="B90" s="9"/>
      <c r="C90" s="9"/>
      <c r="D90" s="9"/>
      <c r="E90" s="9"/>
      <c r="F90" s="9"/>
    </row>
    <row r="91" spans="1:6">
      <c r="A91" s="9"/>
      <c r="B91" s="9"/>
      <c r="C91" s="9"/>
      <c r="D91" s="9"/>
      <c r="E91" s="9"/>
      <c r="F91" s="9"/>
    </row>
    <row r="92" spans="1:6">
      <c r="A92" s="9"/>
      <c r="B92" s="9"/>
      <c r="C92" s="9"/>
      <c r="D92" s="9"/>
      <c r="E92" s="9"/>
      <c r="F92" s="9"/>
    </row>
    <row r="93" spans="1:6">
      <c r="A93" s="9"/>
      <c r="B93" s="9"/>
      <c r="C93" s="9"/>
      <c r="D93" s="9"/>
      <c r="E93" s="9"/>
      <c r="F93" s="9"/>
    </row>
    <row r="94" spans="1:6">
      <c r="A94" s="9"/>
      <c r="B94" s="9"/>
      <c r="C94" s="9"/>
      <c r="D94" s="9"/>
      <c r="E94" s="9"/>
      <c r="F94" s="9"/>
    </row>
    <row r="95" spans="1:6">
      <c r="A95" s="9"/>
      <c r="B95" s="9"/>
      <c r="C95" s="9"/>
      <c r="D95" s="9"/>
      <c r="E95" s="9"/>
      <c r="F95" s="9"/>
    </row>
    <row r="96" spans="1:6">
      <c r="A96" s="9"/>
      <c r="B96" s="9"/>
      <c r="C96" s="9"/>
      <c r="D96" s="9"/>
      <c r="E96" s="9"/>
      <c r="F96" s="9"/>
    </row>
    <row r="97" spans="1:6">
      <c r="A97" s="9"/>
      <c r="B97" s="9"/>
      <c r="C97" s="9"/>
      <c r="D97" s="9"/>
      <c r="E97" s="9"/>
      <c r="F97" s="9"/>
    </row>
    <row r="98" spans="1:6">
      <c r="A98" s="9"/>
      <c r="B98" s="9"/>
      <c r="C98" s="9"/>
      <c r="D98" s="9"/>
      <c r="E98" s="9"/>
      <c r="F98" s="9"/>
    </row>
    <row r="99" spans="1:6">
      <c r="A99" s="9"/>
      <c r="B99" s="9"/>
      <c r="C99" s="9"/>
      <c r="D99" s="9"/>
      <c r="E99" s="9"/>
      <c r="F99" s="9"/>
    </row>
    <row r="100" spans="1:6">
      <c r="A100" s="9"/>
      <c r="B100" s="9"/>
      <c r="C100" s="9"/>
      <c r="D100" s="9"/>
      <c r="E100" s="9"/>
      <c r="F100" s="9"/>
    </row>
    <row r="101" spans="1:6">
      <c r="A101" s="9"/>
      <c r="B101" s="9"/>
      <c r="C101" s="9"/>
      <c r="D101" s="9"/>
      <c r="E101" s="9"/>
      <c r="F101" s="9"/>
    </row>
    <row r="102" spans="1:6">
      <c r="A102" s="9"/>
      <c r="B102" s="9"/>
      <c r="C102" s="9"/>
      <c r="D102" s="9"/>
      <c r="E102" s="9"/>
      <c r="F102" s="9"/>
    </row>
    <row r="103" spans="1:6">
      <c r="A103" s="9"/>
      <c r="B103" s="9"/>
      <c r="C103" s="9"/>
      <c r="D103" s="9"/>
      <c r="E103" s="9"/>
      <c r="F103" s="9"/>
    </row>
    <row r="104" spans="1:6">
      <c r="A104" s="9"/>
      <c r="B104" s="9"/>
      <c r="C104" s="9"/>
      <c r="D104" s="9"/>
      <c r="E104" s="9"/>
      <c r="F104" s="9"/>
    </row>
    <row r="105" spans="1:6">
      <c r="A105" s="9"/>
      <c r="B105" s="9"/>
      <c r="C105" s="9"/>
      <c r="D105" s="9"/>
      <c r="E105" s="9"/>
      <c r="F105" s="9"/>
    </row>
    <row r="106" spans="1:6">
      <c r="A106" s="9"/>
      <c r="B106" s="9"/>
      <c r="C106" s="9"/>
      <c r="D106" s="9"/>
      <c r="E106" s="9"/>
      <c r="F106" s="9"/>
    </row>
    <row r="107" spans="1:6">
      <c r="A107" s="9"/>
      <c r="B107" s="9"/>
      <c r="C107" s="9"/>
      <c r="D107" s="9"/>
      <c r="E107" s="9"/>
      <c r="F107" s="9"/>
    </row>
    <row r="108" spans="1:6">
      <c r="A108" s="9"/>
      <c r="B108" s="9"/>
      <c r="C108" s="9"/>
      <c r="D108" s="9"/>
      <c r="E108" s="9"/>
      <c r="F108" s="9"/>
    </row>
    <row r="109" spans="1:6">
      <c r="A109" s="9"/>
      <c r="B109" s="9"/>
      <c r="C109" s="9"/>
      <c r="D109" s="9"/>
      <c r="E109" s="9"/>
      <c r="F109" s="9"/>
    </row>
    <row r="110" spans="1:6">
      <c r="A110" s="9"/>
      <c r="B110" s="9"/>
      <c r="C110" s="9"/>
      <c r="D110" s="9"/>
      <c r="E110" s="9"/>
      <c r="F110" s="9"/>
    </row>
    <row r="111" spans="1:6">
      <c r="A111" s="9"/>
      <c r="B111" s="9"/>
      <c r="C111" s="9"/>
      <c r="D111" s="9"/>
      <c r="E111" s="9"/>
      <c r="F111" s="9"/>
    </row>
    <row r="112" spans="1:6">
      <c r="A112" s="9"/>
      <c r="B112" s="9"/>
      <c r="C112" s="9"/>
      <c r="D112" s="9"/>
      <c r="E112" s="9"/>
      <c r="F112" s="9"/>
    </row>
    <row r="113" spans="1:6">
      <c r="A113" s="9"/>
      <c r="B113" s="9"/>
      <c r="C113" s="9"/>
      <c r="D113" s="9"/>
      <c r="E113" s="9"/>
      <c r="F113" s="9"/>
    </row>
    <row r="114" spans="1:6">
      <c r="A114" s="9"/>
      <c r="B114" s="9"/>
      <c r="C114" s="9"/>
      <c r="D114" s="9"/>
      <c r="E114" s="9"/>
      <c r="F114" s="9"/>
    </row>
    <row r="115" spans="1:6">
      <c r="A115" s="9"/>
      <c r="B115" s="9"/>
      <c r="C115" s="9"/>
      <c r="D115" s="9"/>
      <c r="E115" s="9"/>
      <c r="F115" s="9"/>
    </row>
    <row r="116" spans="1:6">
      <c r="A116" s="9"/>
      <c r="B116" s="9"/>
      <c r="C116" s="9"/>
      <c r="D116" s="9"/>
      <c r="E116" s="9"/>
      <c r="F116" s="9"/>
    </row>
    <row r="117" spans="1:6">
      <c r="A117" s="9"/>
      <c r="B117" s="9"/>
      <c r="C117" s="9"/>
      <c r="D117" s="9"/>
      <c r="E117" s="9"/>
      <c r="F117" s="9"/>
    </row>
    <row r="118" spans="1:6">
      <c r="A118" s="9"/>
      <c r="B118" s="9"/>
      <c r="C118" s="9"/>
      <c r="D118" s="9"/>
      <c r="E118" s="9"/>
      <c r="F118" s="9"/>
    </row>
    <row r="119" spans="1:6">
      <c r="A119" s="9"/>
      <c r="B119" s="9"/>
      <c r="C119" s="9"/>
      <c r="D119" s="9"/>
      <c r="E119" s="9"/>
      <c r="F119" s="9"/>
    </row>
    <row r="120" spans="1:6">
      <c r="A120" s="9"/>
      <c r="B120" s="9"/>
      <c r="C120" s="9"/>
      <c r="D120" s="9"/>
      <c r="E120" s="9"/>
      <c r="F120" s="9"/>
    </row>
    <row r="121" spans="1:6">
      <c r="A121" s="9"/>
      <c r="B121" s="9"/>
      <c r="C121" s="9"/>
      <c r="D121" s="9"/>
      <c r="E121" s="9"/>
      <c r="F121" s="9"/>
    </row>
    <row r="122" spans="1:6">
      <c r="A122" s="9"/>
      <c r="B122" s="9"/>
      <c r="C122" s="9"/>
      <c r="D122" s="9"/>
      <c r="E122" s="9"/>
      <c r="F122" s="9"/>
    </row>
    <row r="123" spans="1:6">
      <c r="A123" s="9"/>
      <c r="B123" s="9"/>
      <c r="C123" s="9"/>
      <c r="D123" s="9"/>
      <c r="E123" s="9"/>
      <c r="F123" s="9"/>
    </row>
    <row r="124" spans="1:6">
      <c r="A124" s="9"/>
      <c r="B124" s="9"/>
      <c r="C124" s="9"/>
      <c r="D124" s="9"/>
      <c r="E124" s="9"/>
      <c r="F124" s="9"/>
    </row>
    <row r="125" spans="1:6">
      <c r="A125" s="9"/>
      <c r="B125" s="9"/>
      <c r="C125" s="9"/>
      <c r="D125" s="9"/>
      <c r="E125" s="9"/>
      <c r="F125" s="9"/>
    </row>
    <row r="126" spans="1:6">
      <c r="A126" s="9"/>
      <c r="B126" s="9"/>
      <c r="C126" s="9"/>
      <c r="D126" s="9"/>
      <c r="E126" s="9"/>
      <c r="F126" s="9"/>
    </row>
    <row r="127" spans="1:6">
      <c r="A127" s="9"/>
      <c r="B127" s="9"/>
      <c r="C127" s="9"/>
      <c r="D127" s="9"/>
      <c r="E127" s="9"/>
      <c r="F127" s="9"/>
    </row>
    <row r="128" spans="1:6">
      <c r="A128" s="9"/>
      <c r="B128" s="9"/>
      <c r="C128" s="9"/>
      <c r="D128" s="9"/>
      <c r="E128" s="9"/>
      <c r="F128" s="9"/>
    </row>
    <row r="129" spans="1:6">
      <c r="A129" s="9"/>
      <c r="B129" s="9"/>
      <c r="C129" s="9"/>
      <c r="D129" s="9"/>
      <c r="E129" s="9"/>
      <c r="F129" s="9"/>
    </row>
    <row r="130" spans="1:6">
      <c r="A130" s="9"/>
      <c r="B130" s="9"/>
      <c r="C130" s="9"/>
      <c r="D130" s="9"/>
      <c r="E130" s="9"/>
      <c r="F130" s="9"/>
    </row>
    <row r="131" spans="1:6">
      <c r="A131" s="9"/>
      <c r="B131" s="9"/>
      <c r="C131" s="9"/>
      <c r="D131" s="9"/>
      <c r="E131" s="9"/>
      <c r="F131" s="9"/>
    </row>
    <row r="132" spans="1:6">
      <c r="A132" s="9"/>
      <c r="B132" s="9"/>
      <c r="C132" s="9"/>
      <c r="D132" s="9"/>
      <c r="E132" s="9"/>
      <c r="F132" s="9"/>
    </row>
    <row r="133" spans="1:6">
      <c r="A133" s="9"/>
      <c r="B133" s="9"/>
      <c r="C133" s="9"/>
      <c r="D133" s="9"/>
      <c r="E133" s="9"/>
      <c r="F133" s="9"/>
    </row>
    <row r="134" spans="1:6">
      <c r="A134" s="9"/>
      <c r="B134" s="9"/>
      <c r="C134" s="9"/>
      <c r="D134" s="9"/>
      <c r="E134" s="9"/>
      <c r="F134" s="9"/>
    </row>
    <row r="135" spans="1:6">
      <c r="A135" s="9"/>
      <c r="B135" s="9"/>
      <c r="C135" s="9"/>
      <c r="D135" s="9"/>
      <c r="E135" s="9"/>
      <c r="F135" s="9"/>
    </row>
    <row r="136" spans="1:6">
      <c r="A136" s="9"/>
      <c r="B136" s="9"/>
      <c r="C136" s="9"/>
      <c r="D136" s="9"/>
      <c r="E136" s="9"/>
      <c r="F136" s="9"/>
    </row>
    <row r="137" spans="1:6">
      <c r="A137" s="9"/>
      <c r="B137" s="9"/>
      <c r="C137" s="9"/>
      <c r="D137" s="9"/>
      <c r="E137" s="9"/>
      <c r="F137" s="9"/>
    </row>
    <row r="138" spans="1:6">
      <c r="A138" s="9"/>
      <c r="B138" s="9"/>
      <c r="C138" s="9"/>
      <c r="D138" s="9"/>
      <c r="E138" s="9"/>
      <c r="F138" s="9"/>
    </row>
    <row r="139" spans="1:6">
      <c r="A139" s="9"/>
      <c r="B139" s="9"/>
      <c r="C139" s="9"/>
      <c r="D139" s="9"/>
      <c r="E139" s="9"/>
      <c r="F139" s="9"/>
    </row>
    <row r="140" spans="1:6">
      <c r="A140" s="9"/>
      <c r="B140" s="9"/>
      <c r="C140" s="9"/>
      <c r="D140" s="9"/>
      <c r="E140" s="9"/>
      <c r="F140" s="9"/>
    </row>
    <row r="141" spans="1:6">
      <c r="A141" s="9"/>
      <c r="B141" s="9"/>
      <c r="C141" s="9"/>
      <c r="D141" s="9"/>
      <c r="E141" s="9"/>
      <c r="F141" s="9"/>
    </row>
    <row r="142" spans="1:6">
      <c r="A142" s="9"/>
      <c r="B142" s="9"/>
      <c r="C142" s="9"/>
      <c r="D142" s="9"/>
      <c r="E142" s="9"/>
      <c r="F142" s="9"/>
    </row>
    <row r="143" spans="1:6">
      <c r="A143" s="9"/>
      <c r="B143" s="9"/>
      <c r="C143" s="9"/>
      <c r="D143" s="9"/>
      <c r="E143" s="9"/>
      <c r="F143" s="9"/>
    </row>
    <row r="144" spans="1:6">
      <c r="A144" s="9"/>
      <c r="B144" s="9"/>
      <c r="C144" s="9"/>
      <c r="D144" s="9"/>
      <c r="E144" s="9"/>
      <c r="F144" s="9"/>
    </row>
    <row r="145" spans="1:6">
      <c r="A145" s="9"/>
      <c r="B145" s="9"/>
      <c r="C145" s="9"/>
      <c r="D145" s="9"/>
      <c r="E145" s="9"/>
      <c r="F145" s="9"/>
    </row>
    <row r="146" spans="1:6">
      <c r="A146" s="9"/>
      <c r="B146" s="9"/>
      <c r="C146" s="9"/>
      <c r="D146" s="9"/>
      <c r="E146" s="9"/>
      <c r="F146" s="9"/>
    </row>
    <row r="147" spans="1:6">
      <c r="A147" s="9"/>
      <c r="B147" s="9"/>
      <c r="C147" s="9"/>
      <c r="D147" s="9"/>
      <c r="E147" s="9"/>
      <c r="F147" s="9"/>
    </row>
    <row r="148" spans="1:6">
      <c r="A148" s="9"/>
      <c r="B148" s="9"/>
      <c r="C148" s="9"/>
      <c r="D148" s="9"/>
      <c r="E148" s="9"/>
      <c r="F148" s="9"/>
    </row>
    <row r="149" spans="1:6">
      <c r="A149" s="9"/>
      <c r="B149" s="9"/>
      <c r="C149" s="9"/>
      <c r="D149" s="9"/>
      <c r="E149" s="9"/>
      <c r="F149" s="9"/>
    </row>
    <row r="150" spans="1:6">
      <c r="A150" s="9"/>
      <c r="B150" s="9"/>
      <c r="C150" s="9"/>
      <c r="D150" s="9"/>
      <c r="E150" s="9"/>
      <c r="F150" s="9"/>
    </row>
    <row r="151" spans="1:6">
      <c r="A151" s="9"/>
      <c r="B151" s="9"/>
      <c r="C151" s="9"/>
      <c r="D151" s="9"/>
      <c r="E151" s="9"/>
      <c r="F151" s="9"/>
    </row>
    <row r="152" spans="1:6">
      <c r="A152" s="9"/>
      <c r="B152" s="9"/>
      <c r="C152" s="9"/>
      <c r="D152" s="9"/>
      <c r="E152" s="9"/>
      <c r="F152" s="9"/>
    </row>
    <row r="153" spans="1:6">
      <c r="A153" s="9"/>
      <c r="B153" s="9"/>
      <c r="C153" s="9"/>
      <c r="D153" s="9"/>
      <c r="E153" s="9"/>
      <c r="F153" s="9"/>
    </row>
    <row r="154" spans="1:6">
      <c r="A154" s="9"/>
      <c r="B154" s="9"/>
      <c r="C154" s="9"/>
      <c r="D154" s="9"/>
      <c r="E154" s="9"/>
      <c r="F154" s="9"/>
    </row>
    <row r="155" spans="1:6">
      <c r="A155" s="9"/>
      <c r="B155" s="9"/>
      <c r="C155" s="9"/>
      <c r="D155" s="9"/>
      <c r="E155" s="9"/>
      <c r="F155" s="9"/>
    </row>
    <row r="156" spans="1:6">
      <c r="A156" s="9"/>
      <c r="B156" s="9"/>
      <c r="C156" s="9"/>
      <c r="D156" s="9"/>
      <c r="E156" s="9"/>
      <c r="F156" s="9"/>
    </row>
    <row r="157" spans="1:6">
      <c r="A157" s="9"/>
      <c r="B157" s="9"/>
      <c r="C157" s="9"/>
      <c r="D157" s="9"/>
      <c r="E157" s="9"/>
      <c r="F157" s="9"/>
    </row>
    <row r="158" spans="1:6">
      <c r="A158" s="9"/>
      <c r="B158" s="9"/>
      <c r="C158" s="9"/>
      <c r="D158" s="9"/>
      <c r="E158" s="9"/>
      <c r="F158" s="9"/>
    </row>
    <row r="159" spans="1:6">
      <c r="A159" s="9"/>
      <c r="B159" s="9"/>
      <c r="C159" s="9"/>
      <c r="D159" s="9"/>
      <c r="E159" s="9"/>
      <c r="F159" s="9"/>
    </row>
    <row r="160" spans="1:6">
      <c r="A160" s="9"/>
      <c r="B160" s="9"/>
      <c r="C160" s="9"/>
      <c r="D160" s="9"/>
      <c r="E160" s="9"/>
      <c r="F160" s="9"/>
    </row>
    <row r="161" spans="1:6">
      <c r="A161" s="9"/>
      <c r="B161" s="9"/>
      <c r="C161" s="9"/>
      <c r="D161" s="9"/>
      <c r="E161" s="9"/>
      <c r="F161" s="9"/>
    </row>
    <row r="162" spans="1:6">
      <c r="A162" s="9"/>
      <c r="B162" s="9"/>
      <c r="C162" s="9"/>
      <c r="D162" s="9"/>
      <c r="E162" s="9"/>
      <c r="F162" s="9"/>
    </row>
    <row r="163" spans="1:6">
      <c r="A163" s="9"/>
      <c r="B163" s="9"/>
      <c r="C163" s="9"/>
      <c r="D163" s="9"/>
      <c r="E163" s="9"/>
      <c r="F163" s="9"/>
    </row>
    <row r="164" spans="1:6">
      <c r="A164" s="9"/>
      <c r="B164" s="9"/>
      <c r="C164" s="9"/>
      <c r="D164" s="9"/>
      <c r="E164" s="9"/>
      <c r="F164" s="9"/>
    </row>
    <row r="165" spans="1:6">
      <c r="A165" s="9"/>
      <c r="B165" s="9"/>
      <c r="C165" s="9"/>
      <c r="D165" s="9"/>
      <c r="E165" s="9"/>
      <c r="F165" s="9"/>
    </row>
    <row r="166" spans="1:6">
      <c r="A166" s="9"/>
      <c r="B166" s="9"/>
      <c r="C166" s="9"/>
      <c r="D166" s="9"/>
      <c r="E166" s="9"/>
      <c r="F166" s="9"/>
    </row>
    <row r="167" spans="1:6">
      <c r="A167" s="9"/>
      <c r="B167" s="9"/>
      <c r="C167" s="9"/>
      <c r="D167" s="9"/>
      <c r="E167" s="9"/>
      <c r="F167" s="9"/>
    </row>
    <row r="168" spans="1:6">
      <c r="A168" s="9"/>
      <c r="B168" s="9"/>
      <c r="C168" s="9"/>
      <c r="D168" s="9"/>
      <c r="E168" s="9"/>
      <c r="F168" s="9"/>
    </row>
    <row r="169" spans="1:6">
      <c r="A169" s="9"/>
      <c r="B169" s="9"/>
      <c r="C169" s="9"/>
      <c r="D169" s="9"/>
      <c r="E169" s="9"/>
      <c r="F169" s="9"/>
    </row>
    <row r="170" spans="1:6">
      <c r="A170" s="9"/>
      <c r="B170" s="9"/>
      <c r="C170" s="9"/>
      <c r="D170" s="9"/>
      <c r="E170" s="9"/>
      <c r="F170" s="9"/>
    </row>
    <row r="171" spans="1:6">
      <c r="A171" s="9"/>
      <c r="B171" s="9"/>
      <c r="C171" s="9"/>
      <c r="D171" s="9"/>
      <c r="E171" s="9"/>
      <c r="F171" s="9"/>
    </row>
    <row r="172" spans="1:6">
      <c r="A172" s="9"/>
      <c r="B172" s="9"/>
      <c r="C172" s="9"/>
      <c r="D172" s="9"/>
      <c r="E172" s="9"/>
      <c r="F172" s="9"/>
    </row>
    <row r="173" spans="1:6">
      <c r="A173" s="9"/>
      <c r="B173" s="9"/>
      <c r="C173" s="9"/>
      <c r="D173" s="9"/>
      <c r="E173" s="9"/>
      <c r="F173" s="9"/>
    </row>
    <row r="174" spans="1:6">
      <c r="A174" s="9"/>
      <c r="B174" s="9"/>
      <c r="C174" s="9"/>
      <c r="D174" s="9"/>
      <c r="E174" s="9"/>
      <c r="F174" s="9"/>
    </row>
    <row r="175" spans="1:6">
      <c r="A175" s="9"/>
      <c r="B175" s="9"/>
      <c r="C175" s="9"/>
      <c r="D175" s="9"/>
      <c r="E175" s="9"/>
      <c r="F175" s="9"/>
    </row>
    <row r="176" spans="1:6">
      <c r="A176" s="9"/>
      <c r="B176" s="9"/>
      <c r="C176" s="9"/>
      <c r="D176" s="9"/>
      <c r="E176" s="9"/>
      <c r="F176" s="9"/>
    </row>
    <row r="177" spans="1:6">
      <c r="A177" s="9"/>
      <c r="B177" s="9"/>
      <c r="C177" s="9"/>
      <c r="D177" s="9"/>
      <c r="E177" s="9"/>
      <c r="F177" s="9"/>
    </row>
    <row r="178" spans="1:6">
      <c r="A178" s="9"/>
      <c r="B178" s="9"/>
      <c r="C178" s="9"/>
      <c r="D178" s="9"/>
      <c r="E178" s="9"/>
      <c r="F178" s="9"/>
    </row>
    <row r="179" spans="1:6">
      <c r="A179" s="9"/>
      <c r="B179" s="9"/>
      <c r="C179" s="9"/>
      <c r="D179" s="9"/>
      <c r="E179" s="9"/>
      <c r="F179" s="9"/>
    </row>
    <row r="180" spans="1:6">
      <c r="A180" s="9"/>
      <c r="B180" s="9"/>
      <c r="C180" s="9"/>
      <c r="D180" s="9"/>
      <c r="E180" s="9"/>
      <c r="F180" s="9"/>
    </row>
    <row r="181" spans="1:6">
      <c r="A181" s="9"/>
      <c r="B181" s="9"/>
      <c r="C181" s="9"/>
      <c r="D181" s="9"/>
      <c r="E181" s="9"/>
      <c r="F181" s="9"/>
    </row>
    <row r="182" spans="1:6">
      <c r="A182" s="9"/>
      <c r="B182" s="9"/>
      <c r="C182" s="9"/>
      <c r="D182" s="9"/>
      <c r="E182" s="9"/>
      <c r="F182" s="9"/>
    </row>
    <row r="183" spans="1:6">
      <c r="A183" s="9"/>
      <c r="B183" s="9"/>
      <c r="C183" s="9"/>
      <c r="D183" s="9"/>
      <c r="E183" s="9"/>
      <c r="F183" s="9"/>
    </row>
    <row r="184" spans="1:6">
      <c r="A184" s="9"/>
      <c r="B184" s="9"/>
      <c r="C184" s="9"/>
      <c r="D184" s="9"/>
      <c r="E184" s="9"/>
      <c r="F184" s="9"/>
    </row>
    <row r="185" spans="1:6">
      <c r="A185" s="9"/>
      <c r="B185" s="9"/>
      <c r="C185" s="9"/>
      <c r="D185" s="9"/>
      <c r="E185" s="9"/>
      <c r="F185" s="9"/>
    </row>
    <row r="186" spans="1:6">
      <c r="A186" s="9"/>
      <c r="B186" s="9"/>
      <c r="C186" s="9"/>
      <c r="D186" s="9"/>
      <c r="E186" s="9"/>
      <c r="F186" s="9"/>
    </row>
    <row r="187" spans="1:6">
      <c r="A187" s="9"/>
      <c r="B187" s="9"/>
      <c r="C187" s="9"/>
      <c r="D187" s="9"/>
      <c r="E187" s="9"/>
      <c r="F187" s="9"/>
    </row>
    <row r="188" spans="1:6">
      <c r="A188" s="9"/>
      <c r="B188" s="9"/>
      <c r="C188" s="9"/>
      <c r="D188" s="9"/>
      <c r="E188" s="9"/>
      <c r="F188" s="9"/>
    </row>
    <row r="189" spans="1:6">
      <c r="A189" s="9"/>
      <c r="B189" s="9"/>
      <c r="C189" s="9"/>
      <c r="D189" s="9"/>
      <c r="E189" s="9"/>
      <c r="F189" s="9"/>
    </row>
    <row r="190" spans="1:6">
      <c r="A190" s="9"/>
      <c r="B190" s="9"/>
      <c r="C190" s="9"/>
      <c r="D190" s="9"/>
      <c r="E190" s="9"/>
      <c r="F190" s="9"/>
    </row>
    <row r="191" spans="1:6">
      <c r="A191" s="9"/>
      <c r="B191" s="9"/>
      <c r="C191" s="9"/>
      <c r="D191" s="9"/>
      <c r="E191" s="9"/>
      <c r="F191" s="9"/>
    </row>
    <row r="192" spans="1:6">
      <c r="A192" s="9"/>
      <c r="B192" s="9"/>
      <c r="C192" s="9"/>
      <c r="D192" s="9"/>
      <c r="E192" s="9"/>
      <c r="F192" s="9"/>
    </row>
    <row r="193" spans="1:6">
      <c r="A193" s="9"/>
      <c r="B193" s="9"/>
      <c r="C193" s="9"/>
      <c r="D193" s="9"/>
      <c r="E193" s="9"/>
      <c r="F193" s="9"/>
    </row>
    <row r="194" spans="1:6">
      <c r="A194" s="9"/>
      <c r="B194" s="9"/>
      <c r="C194" s="9"/>
      <c r="D194" s="9"/>
      <c r="E194" s="9"/>
      <c r="F194" s="9"/>
    </row>
    <row r="195" spans="1:6">
      <c r="A195" s="9"/>
      <c r="B195" s="9"/>
      <c r="C195" s="9"/>
      <c r="D195" s="9"/>
      <c r="E195" s="9"/>
      <c r="F195" s="9"/>
    </row>
    <row r="196" spans="1:6">
      <c r="A196" s="9"/>
      <c r="B196" s="9"/>
      <c r="C196" s="9"/>
      <c r="D196" s="9"/>
      <c r="E196" s="9"/>
      <c r="F196" s="9"/>
    </row>
    <row r="197" spans="1:6">
      <c r="A197" s="9"/>
      <c r="B197" s="9"/>
      <c r="C197" s="9"/>
      <c r="D197" s="9"/>
      <c r="E197" s="9"/>
      <c r="F197" s="9"/>
    </row>
    <row r="198" spans="1:6">
      <c r="A198" s="9"/>
      <c r="B198" s="9"/>
      <c r="C198" s="9"/>
      <c r="D198" s="9"/>
      <c r="E198" s="9"/>
      <c r="F198" s="9"/>
    </row>
    <row r="199" spans="1:6">
      <c r="A199" s="9"/>
      <c r="B199" s="9"/>
      <c r="C199" s="9"/>
      <c r="D199" s="9"/>
      <c r="E199" s="9"/>
      <c r="F199" s="9"/>
    </row>
    <row r="200" spans="1:6">
      <c r="A200" s="9"/>
      <c r="B200" s="9"/>
      <c r="C200" s="9"/>
      <c r="D200" s="9"/>
      <c r="E200" s="9"/>
      <c r="F200" s="9"/>
    </row>
    <row r="201" spans="1:6">
      <c r="A201" s="9"/>
      <c r="B201" s="9"/>
      <c r="C201" s="9"/>
      <c r="D201" s="9"/>
      <c r="E201" s="9"/>
      <c r="F201" s="9"/>
    </row>
    <row r="202" spans="1:6">
      <c r="A202" s="9"/>
      <c r="B202" s="9"/>
      <c r="C202" s="9"/>
      <c r="D202" s="9"/>
      <c r="E202" s="9"/>
      <c r="F202" s="9"/>
    </row>
    <row r="203" spans="1:6">
      <c r="A203" s="9"/>
      <c r="B203" s="9"/>
      <c r="C203" s="9"/>
      <c r="D203" s="9"/>
      <c r="E203" s="9"/>
      <c r="F203" s="9"/>
    </row>
    <row r="204" spans="1:6">
      <c r="A204" s="9"/>
      <c r="B204" s="9"/>
      <c r="C204" s="9"/>
      <c r="D204" s="9"/>
      <c r="E204" s="9"/>
      <c r="F204" s="9"/>
    </row>
    <row r="205" spans="1:6">
      <c r="A205" s="9"/>
      <c r="B205" s="9"/>
      <c r="C205" s="9"/>
      <c r="D205" s="9"/>
      <c r="E205" s="9"/>
      <c r="F205" s="9"/>
    </row>
    <row r="206" spans="1:6">
      <c r="A206" s="9"/>
      <c r="B206" s="9"/>
      <c r="C206" s="9"/>
      <c r="D206" s="9"/>
      <c r="E206" s="9"/>
      <c r="F206" s="9"/>
    </row>
    <row r="207" spans="1:6">
      <c r="A207" s="9"/>
      <c r="B207" s="9"/>
      <c r="C207" s="9"/>
      <c r="D207" s="9"/>
      <c r="E207" s="9"/>
      <c r="F207" s="9"/>
    </row>
    <row r="208" spans="1:6">
      <c r="A208" s="9"/>
      <c r="B208" s="9"/>
      <c r="C208" s="9"/>
      <c r="D208" s="9"/>
      <c r="E208" s="9"/>
      <c r="F208" s="9"/>
    </row>
    <row r="209" spans="1:6">
      <c r="A209" s="9"/>
      <c r="B209" s="9"/>
      <c r="C209" s="9"/>
      <c r="D209" s="9"/>
      <c r="E209" s="9"/>
      <c r="F209" s="9"/>
    </row>
    <row r="210" spans="1:6">
      <c r="A210" s="9"/>
      <c r="B210" s="9"/>
      <c r="C210" s="9"/>
      <c r="D210" s="9"/>
      <c r="E210" s="9"/>
      <c r="F210" s="9"/>
    </row>
    <row r="211" spans="1:6">
      <c r="A211" s="9"/>
      <c r="B211" s="9"/>
      <c r="C211" s="9"/>
      <c r="D211" s="9"/>
      <c r="E211" s="9"/>
      <c r="F211" s="9"/>
    </row>
    <row r="212" spans="1:6">
      <c r="A212" s="9"/>
      <c r="B212" s="9"/>
      <c r="C212" s="9"/>
      <c r="D212" s="9"/>
      <c r="E212" s="9"/>
      <c r="F212" s="9"/>
    </row>
    <row r="213" spans="1:6">
      <c r="A213" s="9"/>
      <c r="B213" s="9"/>
      <c r="C213" s="9"/>
      <c r="D213" s="9"/>
      <c r="E213" s="9"/>
      <c r="F213" s="9"/>
    </row>
    <row r="214" spans="1:6">
      <c r="A214" s="9"/>
      <c r="B214" s="9"/>
      <c r="C214" s="9"/>
      <c r="D214" s="9"/>
      <c r="E214" s="9"/>
      <c r="F214" s="9"/>
    </row>
    <row r="215" spans="1:6">
      <c r="A215" s="9"/>
      <c r="B215" s="9"/>
      <c r="C215" s="9"/>
      <c r="D215" s="9"/>
      <c r="E215" s="9"/>
      <c r="F215" s="9"/>
    </row>
    <row r="216" spans="1:6">
      <c r="A216" s="9"/>
      <c r="B216" s="9"/>
      <c r="C216" s="9"/>
      <c r="D216" s="9"/>
      <c r="E216" s="9"/>
      <c r="F216" s="9"/>
    </row>
    <row r="217" spans="1:6">
      <c r="A217" s="9"/>
      <c r="B217" s="9"/>
      <c r="C217" s="9"/>
      <c r="D217" s="9"/>
      <c r="E217" s="9"/>
      <c r="F217" s="9"/>
    </row>
    <row r="218" spans="1:6">
      <c r="A218" s="9"/>
      <c r="B218" s="9"/>
      <c r="C218" s="9"/>
      <c r="D218" s="9"/>
      <c r="E218" s="9"/>
      <c r="F218" s="9"/>
    </row>
    <row r="219" spans="1:6">
      <c r="A219" s="9"/>
      <c r="B219" s="9"/>
      <c r="C219" s="9"/>
      <c r="D219" s="9"/>
      <c r="E219" s="9"/>
      <c r="F219" s="9"/>
    </row>
    <row r="220" spans="1:6">
      <c r="A220" s="9"/>
      <c r="B220" s="9"/>
      <c r="C220" s="9"/>
      <c r="D220" s="9"/>
      <c r="E220" s="9"/>
      <c r="F220" s="9"/>
    </row>
    <row r="221" spans="1:6">
      <c r="A221" s="9"/>
      <c r="B221" s="9"/>
      <c r="C221" s="9"/>
      <c r="D221" s="9"/>
      <c r="E221" s="9"/>
      <c r="F221" s="9"/>
    </row>
    <row r="222" spans="1:6">
      <c r="A222" s="9"/>
      <c r="B222" s="9"/>
      <c r="C222" s="9"/>
      <c r="D222" s="9"/>
      <c r="E222" s="9"/>
      <c r="F222" s="9"/>
    </row>
    <row r="223" spans="1:6">
      <c r="A223" s="9"/>
      <c r="B223" s="9"/>
      <c r="C223" s="9"/>
      <c r="D223" s="9"/>
      <c r="E223" s="9"/>
      <c r="F223" s="9"/>
    </row>
    <row r="224" spans="1:6">
      <c r="A224" s="9"/>
      <c r="B224" s="9"/>
      <c r="C224" s="9"/>
      <c r="D224" s="9"/>
      <c r="E224" s="9"/>
      <c r="F224" s="9"/>
    </row>
    <row r="225" spans="1:6">
      <c r="A225" s="9"/>
      <c r="B225" s="9"/>
      <c r="C225" s="9"/>
      <c r="D225" s="9"/>
      <c r="E225" s="9"/>
      <c r="F225" s="9"/>
    </row>
    <row r="226" spans="1:6">
      <c r="A226" s="9"/>
      <c r="B226" s="9"/>
      <c r="C226" s="9"/>
      <c r="D226" s="9"/>
      <c r="E226" s="9"/>
      <c r="F226" s="9"/>
    </row>
    <row r="227" spans="1:6">
      <c r="A227" s="9"/>
      <c r="B227" s="9"/>
      <c r="C227" s="9"/>
      <c r="D227" s="9"/>
      <c r="E227" s="9"/>
      <c r="F227" s="9"/>
    </row>
    <row r="228" spans="1:6">
      <c r="A228" s="9"/>
      <c r="B228" s="9"/>
      <c r="C228" s="9"/>
      <c r="D228" s="9"/>
      <c r="E228" s="9"/>
      <c r="F228" s="9"/>
    </row>
    <row r="229" spans="1:6">
      <c r="A229" s="9"/>
      <c r="B229" s="9"/>
      <c r="C229" s="9"/>
      <c r="D229" s="9"/>
      <c r="E229" s="9"/>
      <c r="F229" s="9"/>
    </row>
    <row r="230" spans="1:6">
      <c r="A230" s="9"/>
      <c r="B230" s="9"/>
      <c r="C230" s="9"/>
      <c r="D230" s="9"/>
      <c r="E230" s="9"/>
      <c r="F230" s="9"/>
    </row>
    <row r="231" spans="1:6">
      <c r="A231" s="9"/>
      <c r="B231" s="9"/>
      <c r="C231" s="9"/>
      <c r="D231" s="9"/>
      <c r="E231" s="9"/>
      <c r="F231" s="9"/>
    </row>
    <row r="232" spans="1:6">
      <c r="A232" s="9"/>
      <c r="B232" s="9"/>
      <c r="C232" s="9"/>
      <c r="D232" s="9"/>
      <c r="E232" s="9"/>
      <c r="F232" s="9"/>
    </row>
    <row r="233" spans="1:6">
      <c r="A233" s="9"/>
      <c r="B233" s="9"/>
      <c r="C233" s="9"/>
      <c r="D233" s="9"/>
      <c r="E233" s="9"/>
      <c r="F233" s="9"/>
    </row>
    <row r="234" spans="1:6">
      <c r="A234" s="9"/>
      <c r="B234" s="9"/>
      <c r="C234" s="9"/>
      <c r="D234" s="9"/>
      <c r="E234" s="9"/>
      <c r="F234" s="9"/>
    </row>
    <row r="235" spans="1:6">
      <c r="A235" s="9"/>
      <c r="B235" s="9"/>
      <c r="C235" s="9"/>
      <c r="D235" s="9"/>
      <c r="E235" s="9"/>
      <c r="F235" s="9"/>
    </row>
    <row r="236" spans="1:6">
      <c r="A236" s="9"/>
      <c r="B236" s="9"/>
      <c r="C236" s="9"/>
      <c r="D236" s="9"/>
      <c r="E236" s="9"/>
      <c r="F236" s="9"/>
    </row>
    <row r="237" spans="1:6">
      <c r="A237" s="9"/>
      <c r="B237" s="9"/>
      <c r="C237" s="9"/>
      <c r="D237" s="9"/>
      <c r="E237" s="9"/>
      <c r="F237" s="9"/>
    </row>
    <row r="238" spans="1:6">
      <c r="A238" s="9"/>
      <c r="B238" s="9"/>
      <c r="C238" s="9"/>
      <c r="D238" s="9"/>
      <c r="E238" s="9"/>
      <c r="F238" s="9"/>
    </row>
    <row r="239" spans="1:6">
      <c r="A239" s="9"/>
      <c r="B239" s="9"/>
      <c r="C239" s="9"/>
      <c r="D239" s="9"/>
      <c r="E239" s="9"/>
      <c r="F239" s="9"/>
    </row>
    <row r="240" spans="1:6">
      <c r="A240" s="9"/>
      <c r="B240" s="9"/>
      <c r="C240" s="9"/>
      <c r="D240" s="9"/>
      <c r="E240" s="9"/>
      <c r="F240" s="9"/>
    </row>
    <row r="241" spans="1:6">
      <c r="A241" s="9"/>
      <c r="B241" s="9"/>
      <c r="C241" s="9"/>
      <c r="D241" s="9"/>
      <c r="E241" s="9"/>
      <c r="F241" s="9"/>
    </row>
    <row r="242" spans="1:6">
      <c r="A242" s="9"/>
      <c r="B242" s="9"/>
      <c r="C242" s="9"/>
      <c r="D242" s="9"/>
      <c r="E242" s="9"/>
      <c r="F242" s="9"/>
    </row>
    <row r="243" spans="1:6">
      <c r="A243" s="9"/>
      <c r="B243" s="9"/>
      <c r="C243" s="9"/>
      <c r="D243" s="9"/>
      <c r="E243" s="9"/>
      <c r="F243" s="9"/>
    </row>
    <row r="244" spans="1:6">
      <c r="A244" s="9"/>
      <c r="B244" s="9"/>
      <c r="C244" s="9"/>
      <c r="D244" s="9"/>
      <c r="E244" s="9"/>
      <c r="F244" s="9"/>
    </row>
    <row r="245" spans="1:6">
      <c r="A245" s="9"/>
      <c r="B245" s="9"/>
      <c r="C245" s="9"/>
      <c r="D245" s="9"/>
      <c r="E245" s="9"/>
      <c r="F245" s="9"/>
    </row>
    <row r="246" spans="1:6">
      <c r="A246" s="9"/>
      <c r="B246" s="9"/>
      <c r="C246" s="9"/>
      <c r="D246" s="9"/>
      <c r="E246" s="9"/>
      <c r="F246" s="9"/>
    </row>
    <row r="247" spans="1:6">
      <c r="A247" s="9"/>
      <c r="B247" s="9"/>
      <c r="C247" s="9"/>
      <c r="D247" s="9"/>
      <c r="E247" s="9"/>
      <c r="F247" s="9"/>
    </row>
    <row r="248" spans="1:6">
      <c r="A248" s="9"/>
      <c r="B248" s="9"/>
      <c r="C248" s="9"/>
      <c r="D248" s="9"/>
      <c r="E248" s="9"/>
      <c r="F248" s="9"/>
    </row>
    <row r="249" spans="1:6">
      <c r="A249" s="9"/>
      <c r="B249" s="9"/>
      <c r="C249" s="9"/>
      <c r="D249" s="9"/>
      <c r="E249" s="9"/>
      <c r="F249" s="9"/>
    </row>
    <row r="250" spans="1:6">
      <c r="A250" s="9"/>
      <c r="B250" s="9"/>
      <c r="C250" s="9"/>
      <c r="D250" s="9"/>
      <c r="E250" s="9"/>
      <c r="F250" s="9"/>
    </row>
    <row r="251" spans="1:6">
      <c r="A251" s="9"/>
      <c r="B251" s="9"/>
      <c r="C251" s="9"/>
      <c r="D251" s="9"/>
      <c r="E251" s="9"/>
      <c r="F251" s="9"/>
    </row>
    <row r="252" spans="1:6">
      <c r="A252" s="9"/>
      <c r="B252" s="9"/>
      <c r="C252" s="9"/>
      <c r="D252" s="9"/>
      <c r="E252" s="9"/>
      <c r="F252" s="9"/>
    </row>
    <row r="253" spans="1:6">
      <c r="A253" s="9"/>
      <c r="B253" s="9"/>
      <c r="C253" s="9"/>
      <c r="D253" s="9"/>
      <c r="E253" s="9"/>
      <c r="F253" s="9"/>
    </row>
    <row r="254" spans="1:6">
      <c r="A254" s="9"/>
      <c r="B254" s="9"/>
      <c r="C254" s="9"/>
      <c r="D254" s="9"/>
      <c r="E254" s="9"/>
      <c r="F254" s="9"/>
    </row>
    <row r="255" spans="1:6">
      <c r="A255" s="9"/>
      <c r="B255" s="9"/>
      <c r="C255" s="9"/>
      <c r="D255" s="9"/>
      <c r="E255" s="9"/>
      <c r="F255" s="9"/>
    </row>
    <row r="256" spans="1:6">
      <c r="A256" s="9"/>
      <c r="B256" s="9"/>
      <c r="C256" s="9"/>
      <c r="D256" s="9"/>
      <c r="E256" s="9"/>
      <c r="F256" s="9"/>
    </row>
    <row r="257" spans="1:6">
      <c r="A257" s="9"/>
      <c r="B257" s="9"/>
      <c r="C257" s="9"/>
      <c r="D257" s="9"/>
      <c r="E257" s="9"/>
      <c r="F257" s="9"/>
    </row>
    <row r="258" spans="1:6">
      <c r="A258" s="9"/>
      <c r="B258" s="9"/>
      <c r="C258" s="9"/>
      <c r="D258" s="9"/>
      <c r="E258" s="9"/>
      <c r="F258" s="9"/>
    </row>
    <row r="259" spans="1:6">
      <c r="A259" s="9"/>
      <c r="B259" s="9"/>
      <c r="C259" s="9"/>
      <c r="D259" s="9"/>
      <c r="E259" s="9"/>
      <c r="F259" s="9"/>
    </row>
    <row r="260" spans="1:6">
      <c r="A260" s="9"/>
      <c r="B260" s="9"/>
      <c r="C260" s="9"/>
      <c r="D260" s="9"/>
      <c r="E260" s="9"/>
      <c r="F260" s="9"/>
    </row>
    <row r="261" spans="1:6">
      <c r="A261" s="9"/>
      <c r="B261" s="9"/>
      <c r="C261" s="9"/>
      <c r="D261" s="9"/>
      <c r="E261" s="9"/>
      <c r="F261" s="9"/>
    </row>
    <row r="262" spans="1:6">
      <c r="A262" s="9"/>
      <c r="B262" s="9"/>
      <c r="C262" s="9"/>
      <c r="D262" s="9"/>
      <c r="E262" s="9"/>
      <c r="F262" s="9"/>
    </row>
    <row r="263" spans="1:6">
      <c r="A263" s="9"/>
      <c r="B263" s="9"/>
      <c r="C263" s="9"/>
      <c r="D263" s="9"/>
      <c r="E263" s="9"/>
      <c r="F263" s="9"/>
    </row>
    <row r="264" spans="1:6">
      <c r="A264" s="9"/>
      <c r="B264" s="9"/>
      <c r="C264" s="9"/>
      <c r="D264" s="9"/>
      <c r="E264" s="9"/>
      <c r="F264" s="9"/>
    </row>
    <row r="265" spans="1:6">
      <c r="A265" s="9"/>
      <c r="B265" s="9"/>
      <c r="C265" s="9"/>
      <c r="D265" s="9"/>
      <c r="E265" s="9"/>
      <c r="F265" s="9"/>
    </row>
    <row r="266" spans="1:6">
      <c r="A266" s="9"/>
      <c r="B266" s="9"/>
      <c r="C266" s="9"/>
      <c r="D266" s="9"/>
      <c r="E266" s="9"/>
      <c r="F266" s="9"/>
    </row>
    <row r="267" spans="1:6">
      <c r="A267" s="9"/>
      <c r="B267" s="9"/>
      <c r="C267" s="9"/>
      <c r="D267" s="9"/>
      <c r="E267" s="9"/>
      <c r="F267" s="9"/>
    </row>
    <row r="268" spans="1:6">
      <c r="A268" s="9"/>
      <c r="B268" s="9"/>
      <c r="C268" s="9"/>
      <c r="D268" s="9"/>
      <c r="E268" s="9"/>
      <c r="F268" s="9"/>
    </row>
    <row r="269" spans="1:6">
      <c r="A269" s="9"/>
      <c r="B269" s="9"/>
      <c r="C269" s="9"/>
      <c r="D269" s="9"/>
      <c r="E269" s="9"/>
      <c r="F269" s="9"/>
    </row>
    <row r="270" spans="1:6">
      <c r="A270" s="9"/>
      <c r="B270" s="9"/>
      <c r="C270" s="9"/>
      <c r="D270" s="9"/>
      <c r="E270" s="9"/>
      <c r="F270" s="9"/>
    </row>
    <row r="271" spans="1:6">
      <c r="A271" s="9"/>
      <c r="B271" s="9"/>
      <c r="C271" s="9"/>
      <c r="D271" s="9"/>
      <c r="E271" s="9"/>
      <c r="F271" s="9"/>
    </row>
    <row r="272" spans="1:6">
      <c r="A272" s="9"/>
      <c r="B272" s="9"/>
      <c r="C272" s="9"/>
      <c r="D272" s="9"/>
      <c r="E272" s="9"/>
      <c r="F272" s="9"/>
    </row>
    <row r="273" spans="1:6">
      <c r="A273" s="9"/>
      <c r="B273" s="9"/>
      <c r="C273" s="9"/>
      <c r="D273" s="9"/>
      <c r="E273" s="9"/>
      <c r="F273" s="9"/>
    </row>
    <row r="274" spans="1:6">
      <c r="A274" s="9"/>
      <c r="B274" s="9"/>
      <c r="C274" s="9"/>
      <c r="D274" s="9"/>
      <c r="E274" s="9"/>
      <c r="F274" s="9"/>
    </row>
    <row r="275" spans="1:6">
      <c r="A275" s="9"/>
      <c r="B275" s="9"/>
      <c r="C275" s="9"/>
      <c r="D275" s="9"/>
      <c r="E275" s="9"/>
      <c r="F275" s="9"/>
    </row>
    <row r="276" spans="1:6">
      <c r="A276" s="9"/>
      <c r="B276" s="9"/>
      <c r="C276" s="9"/>
      <c r="D276" s="9"/>
      <c r="E276" s="9"/>
      <c r="F276" s="9"/>
    </row>
    <row r="277" spans="1:6">
      <c r="A277" s="9"/>
      <c r="B277" s="9"/>
      <c r="C277" s="9"/>
      <c r="D277" s="9"/>
      <c r="E277" s="9"/>
      <c r="F277" s="9"/>
    </row>
    <row r="278" spans="1:6">
      <c r="A278" s="9"/>
      <c r="B278" s="9"/>
      <c r="C278" s="9"/>
      <c r="D278" s="9"/>
      <c r="E278" s="9"/>
      <c r="F278" s="9"/>
    </row>
    <row r="279" spans="1:6">
      <c r="A279" s="9"/>
      <c r="B279" s="9"/>
      <c r="C279" s="9"/>
      <c r="D279" s="9"/>
      <c r="E279" s="9"/>
      <c r="F279" s="9"/>
    </row>
    <row r="280" spans="1:6">
      <c r="A280" s="9"/>
      <c r="B280" s="9"/>
      <c r="C280" s="9"/>
      <c r="D280" s="9"/>
      <c r="E280" s="9"/>
      <c r="F280" s="9"/>
    </row>
    <row r="281" spans="1:6">
      <c r="A281" s="9"/>
      <c r="B281" s="9"/>
      <c r="C281" s="9"/>
      <c r="D281" s="9"/>
      <c r="E281" s="9"/>
      <c r="F281" s="9"/>
    </row>
    <row r="282" spans="1:6">
      <c r="A282" s="9"/>
      <c r="B282" s="9"/>
      <c r="C282" s="9"/>
      <c r="D282" s="9"/>
      <c r="E282" s="9"/>
      <c r="F282" s="9"/>
    </row>
    <row r="283" spans="1:6">
      <c r="A283" s="9"/>
      <c r="B283" s="9"/>
      <c r="C283" s="9"/>
      <c r="D283" s="9"/>
      <c r="E283" s="9"/>
      <c r="F283" s="9"/>
    </row>
    <row r="284" spans="1:6">
      <c r="A284" s="9"/>
      <c r="B284" s="9"/>
      <c r="C284" s="9"/>
      <c r="D284" s="9"/>
      <c r="E284" s="9"/>
      <c r="F284" s="9"/>
    </row>
    <row r="285" spans="1:6">
      <c r="A285" s="9"/>
      <c r="B285" s="9"/>
      <c r="C285" s="9"/>
      <c r="D285" s="9"/>
      <c r="E285" s="9"/>
      <c r="F285" s="9"/>
    </row>
    <row r="286" spans="1:6">
      <c r="A286" s="9"/>
      <c r="B286" s="9"/>
      <c r="C286" s="9"/>
      <c r="D286" s="9"/>
      <c r="E286" s="9"/>
      <c r="F286" s="9"/>
    </row>
    <row r="287" spans="1:6">
      <c r="A287" s="9"/>
      <c r="B287" s="9"/>
      <c r="C287" s="9"/>
      <c r="D287" s="9"/>
      <c r="E287" s="9"/>
      <c r="F287" s="9"/>
    </row>
    <row r="288" spans="1:6">
      <c r="A288" s="9"/>
      <c r="B288" s="9"/>
      <c r="C288" s="9"/>
      <c r="D288" s="9"/>
      <c r="E288" s="9"/>
      <c r="F288" s="9"/>
    </row>
    <row r="289" spans="1:6">
      <c r="A289" s="9"/>
      <c r="B289" s="9"/>
      <c r="C289" s="9"/>
      <c r="D289" s="9"/>
      <c r="E289" s="9"/>
      <c r="F289" s="9"/>
    </row>
    <row r="290" spans="1:6">
      <c r="A290" s="9"/>
      <c r="B290" s="9"/>
      <c r="C290" s="9"/>
      <c r="D290" s="9"/>
      <c r="E290" s="9"/>
      <c r="F290" s="9"/>
    </row>
    <row r="291" spans="1:6">
      <c r="A291" s="9"/>
      <c r="B291" s="9"/>
      <c r="C291" s="9"/>
      <c r="D291" s="9"/>
      <c r="E291" s="9"/>
      <c r="F291" s="9"/>
    </row>
    <row r="292" spans="1:6">
      <c r="A292" s="9"/>
      <c r="B292" s="9"/>
      <c r="C292" s="9"/>
      <c r="D292" s="9"/>
      <c r="E292" s="9"/>
      <c r="F292" s="9"/>
    </row>
    <row r="293" spans="1:6">
      <c r="A293" s="9"/>
      <c r="B293" s="9"/>
      <c r="C293" s="9"/>
      <c r="D293" s="9"/>
      <c r="E293" s="9"/>
      <c r="F293" s="9"/>
    </row>
    <row r="294" spans="1:6">
      <c r="A294" s="9"/>
      <c r="B294" s="9"/>
      <c r="C294" s="9"/>
      <c r="D294" s="9"/>
      <c r="E294" s="9"/>
      <c r="F294" s="9"/>
    </row>
    <row r="295" spans="1:6">
      <c r="A295" s="9"/>
      <c r="B295" s="9"/>
      <c r="C295" s="9"/>
      <c r="D295" s="9"/>
      <c r="E295" s="9"/>
      <c r="F295" s="9"/>
    </row>
    <row r="296" spans="1:6">
      <c r="A296" s="9"/>
      <c r="B296" s="9"/>
      <c r="C296" s="9"/>
      <c r="D296" s="9"/>
      <c r="E296" s="9"/>
      <c r="F296" s="9"/>
    </row>
    <row r="297" spans="1:6">
      <c r="A297" s="9"/>
      <c r="B297" s="9"/>
      <c r="C297" s="9"/>
      <c r="D297" s="9"/>
      <c r="E297" s="9"/>
      <c r="F297" s="9"/>
    </row>
    <row r="298" spans="1:6">
      <c r="A298" s="9"/>
      <c r="B298" s="9"/>
      <c r="C298" s="9"/>
      <c r="D298" s="9"/>
      <c r="E298" s="9"/>
      <c r="F298" s="9"/>
    </row>
    <row r="299" spans="1:6">
      <c r="A299" s="9"/>
      <c r="B299" s="9"/>
      <c r="C299" s="9"/>
      <c r="D299" s="9"/>
      <c r="E299" s="9"/>
      <c r="F299" s="9"/>
    </row>
    <row r="300" spans="1:6">
      <c r="A300" s="9"/>
      <c r="B300" s="9"/>
      <c r="C300" s="9"/>
      <c r="D300" s="9"/>
      <c r="E300" s="9"/>
      <c r="F300" s="9"/>
    </row>
    <row r="301" spans="1:6">
      <c r="A301" s="9"/>
      <c r="B301" s="9"/>
      <c r="C301" s="9"/>
      <c r="D301" s="9"/>
      <c r="E301" s="9"/>
      <c r="F301" s="9"/>
    </row>
    <row r="302" spans="1:6">
      <c r="A302" s="9"/>
      <c r="B302" s="9"/>
      <c r="C302" s="9"/>
      <c r="D302" s="9"/>
      <c r="E302" s="9"/>
      <c r="F302" s="9"/>
    </row>
    <row r="303" spans="1:6">
      <c r="A303" s="9"/>
      <c r="B303" s="9"/>
      <c r="C303" s="9"/>
      <c r="D303" s="9"/>
      <c r="E303" s="9"/>
      <c r="F303" s="9"/>
    </row>
    <row r="304" spans="1:6">
      <c r="A304" s="9"/>
      <c r="B304" s="9"/>
      <c r="C304" s="9"/>
      <c r="D304" s="9"/>
      <c r="E304" s="9"/>
      <c r="F304" s="9"/>
    </row>
    <row r="305" spans="1:6">
      <c r="A305" s="9"/>
      <c r="B305" s="9"/>
      <c r="C305" s="9"/>
      <c r="D305" s="9"/>
      <c r="E305" s="9"/>
      <c r="F305" s="9"/>
    </row>
    <row r="306" spans="1:6">
      <c r="A306" s="9"/>
      <c r="B306" s="9"/>
      <c r="C306" s="9"/>
      <c r="D306" s="9"/>
      <c r="E306" s="9"/>
      <c r="F306" s="9"/>
    </row>
    <row r="307" spans="1:6">
      <c r="A307" s="9"/>
      <c r="B307" s="9"/>
      <c r="C307" s="9"/>
      <c r="D307" s="9"/>
      <c r="E307" s="9"/>
      <c r="F307" s="9"/>
    </row>
    <row r="308" spans="1:6">
      <c r="A308" s="9"/>
      <c r="B308" s="9"/>
      <c r="C308" s="9"/>
      <c r="D308" s="9"/>
      <c r="E308" s="9"/>
      <c r="F308" s="9"/>
    </row>
    <row r="309" spans="1:6">
      <c r="A309" s="9"/>
      <c r="B309" s="9"/>
      <c r="C309" s="9"/>
      <c r="D309" s="9"/>
      <c r="E309" s="9"/>
      <c r="F309" s="9"/>
    </row>
    <row r="310" spans="1:6">
      <c r="A310" s="9"/>
      <c r="B310" s="9"/>
      <c r="C310" s="9"/>
      <c r="D310" s="9"/>
      <c r="E310" s="9"/>
      <c r="F310" s="9"/>
    </row>
    <row r="311" spans="1:6">
      <c r="A311" s="9"/>
      <c r="B311" s="9"/>
      <c r="C311" s="9"/>
      <c r="D311" s="9"/>
      <c r="E311" s="9"/>
      <c r="F311" s="9"/>
    </row>
    <row r="312" spans="1:6">
      <c r="A312" s="9"/>
      <c r="B312" s="9"/>
      <c r="C312" s="9"/>
      <c r="D312" s="9"/>
      <c r="E312" s="9"/>
      <c r="F312" s="9"/>
    </row>
    <row r="313" spans="1:6">
      <c r="A313" s="9"/>
      <c r="B313" s="9"/>
      <c r="C313" s="9"/>
      <c r="D313" s="9"/>
      <c r="E313" s="9"/>
      <c r="F313" s="9"/>
    </row>
    <row r="314" spans="1:6">
      <c r="A314" s="9"/>
      <c r="B314" s="9"/>
      <c r="C314" s="9"/>
      <c r="D314" s="9"/>
      <c r="E314" s="9"/>
      <c r="F314" s="9"/>
    </row>
    <row r="315" spans="1:6">
      <c r="A315" s="9"/>
      <c r="B315" s="9"/>
      <c r="C315" s="9"/>
      <c r="D315" s="9"/>
      <c r="E315" s="9"/>
      <c r="F315" s="9"/>
    </row>
    <row r="316" spans="1:6">
      <c r="A316" s="9"/>
      <c r="B316" s="9"/>
      <c r="C316" s="9"/>
      <c r="D316" s="9"/>
      <c r="E316" s="9"/>
      <c r="F316" s="9"/>
    </row>
    <row r="317" spans="1:6">
      <c r="A317" s="9"/>
      <c r="B317" s="9"/>
      <c r="C317" s="9"/>
      <c r="D317" s="9"/>
      <c r="E317" s="9"/>
      <c r="F317" s="9"/>
    </row>
    <row r="318" spans="1:6">
      <c r="A318" s="9"/>
      <c r="B318" s="9"/>
      <c r="C318" s="9"/>
      <c r="D318" s="9"/>
      <c r="E318" s="9"/>
      <c r="F318" s="9"/>
    </row>
    <row r="319" spans="1:6">
      <c r="A319" s="9"/>
      <c r="B319" s="9"/>
      <c r="C319" s="9"/>
      <c r="D319" s="9"/>
      <c r="E319" s="9"/>
      <c r="F319" s="9"/>
    </row>
    <row r="320" spans="1:6">
      <c r="A320" s="9"/>
      <c r="B320" s="9"/>
      <c r="C320" s="9"/>
      <c r="D320" s="9"/>
      <c r="E320" s="9"/>
      <c r="F320" s="9"/>
    </row>
    <row r="321" spans="1:6">
      <c r="A321" s="9"/>
      <c r="B321" s="9"/>
      <c r="C321" s="9"/>
      <c r="D321" s="9"/>
      <c r="E321" s="9"/>
      <c r="F321" s="9"/>
    </row>
    <row r="322" spans="1:6">
      <c r="A322" s="9"/>
      <c r="B322" s="9"/>
      <c r="C322" s="9"/>
      <c r="D322" s="9"/>
      <c r="E322" s="9"/>
      <c r="F322" s="9"/>
    </row>
    <row r="323" spans="1:6">
      <c r="A323" s="9"/>
      <c r="B323" s="9"/>
      <c r="C323" s="9"/>
      <c r="D323" s="9"/>
      <c r="E323" s="9"/>
      <c r="F323" s="9"/>
    </row>
    <row r="324" spans="1:6">
      <c r="A324" s="9"/>
      <c r="B324" s="9"/>
      <c r="C324" s="9"/>
      <c r="D324" s="9"/>
      <c r="E324" s="9"/>
      <c r="F324" s="9"/>
    </row>
    <row r="325" spans="1:6">
      <c r="A325" s="9"/>
      <c r="B325" s="9"/>
      <c r="C325" s="9"/>
      <c r="D325" s="9"/>
      <c r="E325" s="9"/>
      <c r="F325" s="9"/>
    </row>
    <row r="326" spans="1:6">
      <c r="A326" s="9"/>
      <c r="B326" s="9"/>
      <c r="C326" s="9"/>
      <c r="D326" s="9"/>
      <c r="E326" s="9"/>
      <c r="F326" s="9"/>
    </row>
    <row r="327" spans="1:6">
      <c r="A327" s="9"/>
      <c r="B327" s="9"/>
      <c r="C327" s="9"/>
      <c r="D327" s="9"/>
      <c r="E327" s="9"/>
      <c r="F327" s="9"/>
    </row>
    <row r="328" spans="1:6">
      <c r="A328" s="9"/>
      <c r="B328" s="9"/>
      <c r="C328" s="9"/>
      <c r="D328" s="9"/>
      <c r="E328" s="9"/>
      <c r="F328" s="9"/>
    </row>
    <row r="329" spans="1:6">
      <c r="A329" s="9"/>
      <c r="B329" s="9"/>
      <c r="C329" s="9"/>
      <c r="D329" s="9"/>
      <c r="E329" s="9"/>
      <c r="F329" s="9"/>
    </row>
    <row r="330" spans="1:6">
      <c r="A330" s="9"/>
      <c r="B330" s="9"/>
      <c r="C330" s="9"/>
      <c r="D330" s="9"/>
      <c r="E330" s="9"/>
      <c r="F330" s="9"/>
    </row>
    <row r="331" spans="1:6">
      <c r="A331" s="9"/>
      <c r="B331" s="9"/>
      <c r="C331" s="9"/>
      <c r="D331" s="9"/>
      <c r="E331" s="9"/>
      <c r="F331" s="9"/>
    </row>
    <row r="332" spans="1:6">
      <c r="A332" s="9"/>
      <c r="B332" s="9"/>
      <c r="C332" s="9"/>
      <c r="D332" s="9"/>
      <c r="E332" s="9"/>
      <c r="F332" s="9"/>
    </row>
    <row r="333" spans="1:6">
      <c r="A333" s="9"/>
      <c r="B333" s="9"/>
      <c r="C333" s="9"/>
      <c r="D333" s="9"/>
      <c r="E333" s="9"/>
      <c r="F333" s="9"/>
    </row>
    <row r="334" spans="1:6">
      <c r="A334" s="9"/>
      <c r="B334" s="9"/>
      <c r="C334" s="9"/>
      <c r="D334" s="9"/>
      <c r="E334" s="9"/>
      <c r="F334" s="9"/>
    </row>
    <row r="335" spans="1:6">
      <c r="A335" s="9"/>
      <c r="B335" s="9"/>
      <c r="C335" s="9"/>
      <c r="D335" s="9"/>
      <c r="E335" s="9"/>
      <c r="F335" s="9"/>
    </row>
    <row r="336" spans="1:6">
      <c r="A336" s="9"/>
      <c r="B336" s="9"/>
      <c r="C336" s="9"/>
      <c r="D336" s="9"/>
      <c r="E336" s="9"/>
      <c r="F336" s="9"/>
    </row>
    <row r="337" spans="1:6">
      <c r="A337" s="9"/>
      <c r="B337" s="9"/>
      <c r="C337" s="9"/>
      <c r="D337" s="9"/>
      <c r="E337" s="9"/>
      <c r="F337" s="9"/>
    </row>
    <row r="338" spans="1:6">
      <c r="A338" s="9"/>
      <c r="B338" s="9"/>
      <c r="C338" s="9"/>
      <c r="D338" s="9"/>
      <c r="E338" s="9"/>
      <c r="F338" s="9"/>
    </row>
    <row r="339" spans="1:6">
      <c r="A339" s="9"/>
      <c r="B339" s="9"/>
      <c r="C339" s="9"/>
      <c r="D339" s="9"/>
      <c r="E339" s="9"/>
      <c r="F339" s="9"/>
    </row>
    <row r="340" spans="1:6">
      <c r="A340" s="9"/>
      <c r="B340" s="9"/>
      <c r="C340" s="9"/>
      <c r="D340" s="9"/>
      <c r="E340" s="9"/>
      <c r="F340" s="9"/>
    </row>
    <row r="341" spans="1:6">
      <c r="A341" s="9"/>
      <c r="B341" s="9"/>
      <c r="C341" s="9"/>
      <c r="D341" s="9"/>
      <c r="E341" s="9"/>
      <c r="F341" s="9"/>
    </row>
    <row r="342" spans="1:6">
      <c r="A342" s="9"/>
      <c r="B342" s="9"/>
      <c r="C342" s="9"/>
      <c r="D342" s="9"/>
      <c r="E342" s="9"/>
      <c r="F342" s="9"/>
    </row>
    <row r="343" spans="1:6">
      <c r="A343" s="9"/>
      <c r="B343" s="9"/>
      <c r="C343" s="9"/>
      <c r="D343" s="9"/>
      <c r="E343" s="9"/>
      <c r="F343" s="9"/>
    </row>
    <row r="344" spans="1:6">
      <c r="A344" s="9"/>
      <c r="B344" s="9"/>
      <c r="C344" s="9"/>
      <c r="D344" s="9"/>
      <c r="E344" s="9"/>
      <c r="F344" s="9"/>
    </row>
    <row r="345" spans="1:6">
      <c r="A345" s="9"/>
      <c r="B345" s="9"/>
      <c r="C345" s="9"/>
      <c r="D345" s="9"/>
      <c r="E345" s="9"/>
      <c r="F345" s="9"/>
    </row>
    <row r="346" spans="1:6">
      <c r="A346" s="9"/>
      <c r="B346" s="9"/>
      <c r="C346" s="9"/>
      <c r="D346" s="9"/>
      <c r="E346" s="9"/>
      <c r="F346" s="9"/>
    </row>
    <row r="347" spans="1:6">
      <c r="A347" s="9"/>
      <c r="B347" s="9"/>
      <c r="C347" s="9"/>
      <c r="D347" s="9"/>
      <c r="E347" s="9"/>
      <c r="F347" s="9"/>
    </row>
    <row r="348" spans="1:6">
      <c r="A348" s="9"/>
      <c r="B348" s="9"/>
      <c r="C348" s="9"/>
      <c r="D348" s="9"/>
      <c r="E348" s="9"/>
      <c r="F348" s="9"/>
    </row>
    <row r="349" spans="1:6">
      <c r="A349" s="9"/>
      <c r="B349" s="9"/>
      <c r="C349" s="9"/>
      <c r="D349" s="9"/>
      <c r="E349" s="9"/>
      <c r="F349" s="9"/>
    </row>
    <row r="350" spans="1:6">
      <c r="A350" s="9"/>
      <c r="B350" s="9"/>
      <c r="C350" s="9"/>
      <c r="D350" s="9"/>
      <c r="E350" s="9"/>
      <c r="F350" s="9"/>
    </row>
    <row r="351" spans="1:6">
      <c r="A351" s="9"/>
      <c r="B351" s="9"/>
      <c r="C351" s="9"/>
      <c r="D351" s="9"/>
      <c r="E351" s="9"/>
      <c r="F351" s="9"/>
    </row>
    <row r="352" spans="1:6">
      <c r="A352" s="9"/>
      <c r="B352" s="9"/>
      <c r="C352" s="9"/>
      <c r="D352" s="9"/>
      <c r="E352" s="9"/>
      <c r="F352" s="9"/>
    </row>
    <row r="353" spans="1:6">
      <c r="A353" s="9"/>
      <c r="B353" s="9"/>
      <c r="C353" s="9"/>
      <c r="D353" s="9"/>
      <c r="E353" s="9"/>
      <c r="F353" s="9"/>
    </row>
    <row r="354" spans="1:6">
      <c r="A354" s="9"/>
      <c r="B354" s="9"/>
      <c r="C354" s="9"/>
      <c r="D354" s="9"/>
      <c r="E354" s="9"/>
      <c r="F354" s="9"/>
    </row>
    <row r="355" spans="1:6">
      <c r="A355" s="9"/>
      <c r="B355" s="9"/>
      <c r="C355" s="9"/>
      <c r="D355" s="9"/>
      <c r="E355" s="9"/>
      <c r="F355" s="9"/>
    </row>
    <row r="356" spans="1:6">
      <c r="A356" s="9"/>
      <c r="B356" s="9"/>
      <c r="C356" s="9"/>
      <c r="D356" s="9"/>
      <c r="E356" s="9"/>
      <c r="F356" s="9"/>
    </row>
    <row r="357" spans="1:6">
      <c r="A357" s="9"/>
      <c r="B357" s="9"/>
      <c r="C357" s="9"/>
      <c r="D357" s="9"/>
      <c r="E357" s="9"/>
      <c r="F357" s="9"/>
    </row>
    <row r="358" spans="1:6">
      <c r="A358" s="9"/>
      <c r="B358" s="9"/>
      <c r="C358" s="9"/>
      <c r="D358" s="9"/>
      <c r="E358" s="9"/>
      <c r="F358" s="9"/>
    </row>
    <row r="359" spans="1:6">
      <c r="A359" s="9"/>
      <c r="B359" s="9"/>
      <c r="C359" s="9"/>
      <c r="D359" s="9"/>
      <c r="E359" s="9"/>
      <c r="F359" s="9"/>
    </row>
    <row r="360" spans="1:6">
      <c r="A360" s="9"/>
      <c r="B360" s="9"/>
      <c r="C360" s="9"/>
      <c r="D360" s="9"/>
      <c r="E360" s="9"/>
      <c r="F360" s="9"/>
    </row>
    <row r="361" spans="1:6">
      <c r="A361" s="9"/>
      <c r="B361" s="9"/>
      <c r="C361" s="9"/>
      <c r="D361" s="9"/>
      <c r="E361" s="9"/>
      <c r="F361" s="9"/>
    </row>
    <row r="362" spans="1:6">
      <c r="A362" s="9"/>
      <c r="B362" s="9"/>
      <c r="C362" s="9"/>
      <c r="D362" s="9"/>
      <c r="E362" s="9"/>
      <c r="F362" s="9"/>
    </row>
    <row r="363" spans="1:6">
      <c r="A363" s="9"/>
      <c r="B363" s="9"/>
      <c r="C363" s="9"/>
      <c r="D363" s="9"/>
      <c r="E363" s="9"/>
      <c r="F363" s="9"/>
    </row>
    <row r="364" spans="1:6">
      <c r="A364" s="9"/>
      <c r="B364" s="9"/>
      <c r="C364" s="9"/>
      <c r="D364" s="9"/>
      <c r="E364" s="9"/>
      <c r="F364" s="9"/>
    </row>
    <row r="365" spans="1:6">
      <c r="A365" s="9"/>
      <c r="B365" s="9"/>
      <c r="C365" s="9"/>
      <c r="D365" s="9"/>
      <c r="E365" s="9"/>
      <c r="F365" s="9"/>
    </row>
    <row r="366" spans="1:6">
      <c r="A366" s="9"/>
      <c r="B366" s="9"/>
      <c r="C366" s="9"/>
      <c r="D366" s="9"/>
      <c r="E366" s="9"/>
      <c r="F366" s="9"/>
    </row>
    <row r="367" spans="1:6">
      <c r="A367" s="9"/>
      <c r="B367" s="9"/>
      <c r="C367" s="9"/>
      <c r="D367" s="9"/>
      <c r="E367" s="9"/>
      <c r="F367" s="9"/>
    </row>
    <row r="368" spans="1:6">
      <c r="A368" s="9"/>
      <c r="B368" s="9"/>
      <c r="C368" s="9"/>
      <c r="D368" s="9"/>
      <c r="E368" s="9"/>
      <c r="F368" s="9"/>
    </row>
    <row r="369" spans="1:6">
      <c r="A369" s="9"/>
      <c r="B369" s="9"/>
      <c r="C369" s="9"/>
      <c r="D369" s="9"/>
      <c r="E369" s="9"/>
      <c r="F369" s="9"/>
    </row>
    <row r="370" spans="1:6">
      <c r="A370" s="9"/>
      <c r="B370" s="9"/>
      <c r="C370" s="9"/>
      <c r="D370" s="9"/>
      <c r="E370" s="9"/>
      <c r="F370" s="9"/>
    </row>
    <row r="371" spans="1:6">
      <c r="A371" s="9"/>
      <c r="B371" s="9"/>
      <c r="C371" s="9"/>
      <c r="D371" s="9"/>
      <c r="E371" s="9"/>
      <c r="F371" s="9"/>
    </row>
    <row r="372" spans="1:6">
      <c r="A372" s="9"/>
      <c r="B372" s="9"/>
      <c r="C372" s="9"/>
      <c r="D372" s="9"/>
      <c r="E372" s="9"/>
      <c r="F372" s="9"/>
    </row>
    <row r="373" spans="1:6">
      <c r="A373" s="9"/>
      <c r="B373" s="9"/>
      <c r="C373" s="9"/>
      <c r="D373" s="9"/>
      <c r="E373" s="9"/>
      <c r="F373" s="9"/>
    </row>
    <row r="374" spans="1:6">
      <c r="A374" s="9"/>
      <c r="B374" s="9"/>
      <c r="C374" s="9"/>
      <c r="D374" s="9"/>
      <c r="E374" s="9"/>
      <c r="F374" s="9"/>
    </row>
    <row r="375" spans="1:6">
      <c r="A375" s="9"/>
      <c r="B375" s="9"/>
      <c r="C375" s="9"/>
      <c r="D375" s="9"/>
      <c r="E375" s="9"/>
      <c r="F375" s="9"/>
    </row>
    <row r="376" spans="1:6">
      <c r="A376" s="9"/>
      <c r="B376" s="9"/>
      <c r="C376" s="9"/>
      <c r="D376" s="9"/>
      <c r="E376" s="9"/>
      <c r="F376" s="9"/>
    </row>
    <row r="377" spans="1:6">
      <c r="A377" s="9"/>
      <c r="B377" s="9"/>
      <c r="C377" s="9"/>
      <c r="D377" s="9"/>
      <c r="E377" s="9"/>
      <c r="F377" s="9"/>
    </row>
    <row r="378" spans="1:6">
      <c r="A378" s="9"/>
      <c r="B378" s="9"/>
      <c r="C378" s="9"/>
      <c r="D378" s="9"/>
      <c r="E378" s="9"/>
      <c r="F378" s="9"/>
    </row>
    <row r="379" spans="1:6">
      <c r="A379" s="9"/>
      <c r="B379" s="9"/>
      <c r="C379" s="9"/>
      <c r="D379" s="9"/>
      <c r="E379" s="9"/>
      <c r="F379" s="9"/>
    </row>
    <row r="380" spans="1:6">
      <c r="A380" s="9"/>
      <c r="B380" s="9"/>
      <c r="C380" s="9"/>
      <c r="D380" s="9"/>
      <c r="E380" s="9"/>
      <c r="F380" s="9"/>
    </row>
    <row r="381" spans="1:6">
      <c r="A381" s="9"/>
      <c r="B381" s="9"/>
      <c r="C381" s="9"/>
      <c r="D381" s="9"/>
      <c r="E381" s="9"/>
      <c r="F381" s="9"/>
    </row>
    <row r="382" spans="1:6">
      <c r="A382" s="9"/>
      <c r="B382" s="9"/>
      <c r="C382" s="9"/>
      <c r="D382" s="9"/>
      <c r="E382" s="9"/>
      <c r="F382" s="9"/>
    </row>
    <row r="383" spans="1:6">
      <c r="A383" s="9"/>
      <c r="B383" s="9"/>
      <c r="C383" s="9"/>
      <c r="D383" s="9"/>
      <c r="E383" s="9"/>
      <c r="F383" s="9"/>
    </row>
    <row r="384" spans="1:6">
      <c r="A384" s="9"/>
      <c r="B384" s="9"/>
      <c r="C384" s="9"/>
      <c r="D384" s="9"/>
      <c r="E384" s="9"/>
      <c r="F384" s="9"/>
    </row>
    <row r="385" spans="1:6">
      <c r="A385" s="9"/>
      <c r="B385" s="9"/>
      <c r="C385" s="9"/>
      <c r="D385" s="9"/>
      <c r="E385" s="9"/>
      <c r="F385" s="9"/>
    </row>
    <row r="386" spans="1:6">
      <c r="A386" s="9"/>
      <c r="B386" s="9"/>
      <c r="C386" s="9"/>
      <c r="D386" s="9"/>
      <c r="E386" s="9"/>
      <c r="F386" s="9"/>
    </row>
    <row r="387" spans="1:6">
      <c r="A387" s="9"/>
      <c r="B387" s="9"/>
      <c r="C387" s="9"/>
      <c r="D387" s="9"/>
      <c r="E387" s="9"/>
      <c r="F387" s="9"/>
    </row>
    <row r="388" spans="1:6">
      <c r="A388" s="9"/>
      <c r="B388" s="9"/>
      <c r="C388" s="9"/>
      <c r="D388" s="9"/>
      <c r="E388" s="9"/>
      <c r="F388" s="9"/>
    </row>
    <row r="389" spans="1:6">
      <c r="A389" s="9"/>
      <c r="B389" s="9"/>
      <c r="C389" s="9"/>
      <c r="D389" s="9"/>
      <c r="E389" s="9"/>
      <c r="F389" s="9"/>
    </row>
    <row r="390" spans="1:6">
      <c r="A390" s="9"/>
      <c r="B390" s="9"/>
      <c r="C390" s="9"/>
      <c r="D390" s="9"/>
      <c r="E390" s="9"/>
      <c r="F390" s="9"/>
    </row>
    <row r="391" spans="1:6">
      <c r="A391" s="9"/>
      <c r="B391" s="9"/>
      <c r="C391" s="9"/>
      <c r="D391" s="9"/>
      <c r="E391" s="9"/>
      <c r="F391" s="9"/>
    </row>
    <row r="392" spans="1:6">
      <c r="A392" s="9"/>
      <c r="B392" s="9"/>
      <c r="C392" s="9"/>
      <c r="D392" s="9"/>
      <c r="E392" s="9"/>
      <c r="F392" s="9"/>
    </row>
    <row r="393" spans="1:6">
      <c r="A393" s="9"/>
      <c r="B393" s="9"/>
      <c r="C393" s="9"/>
      <c r="D393" s="9"/>
      <c r="E393" s="9"/>
      <c r="F393" s="9"/>
    </row>
    <row r="394" spans="1:6">
      <c r="A394" s="9"/>
      <c r="B394" s="9"/>
      <c r="C394" s="9"/>
      <c r="D394" s="9"/>
      <c r="E394" s="9"/>
      <c r="F394" s="9"/>
    </row>
    <row r="395" spans="1:6">
      <c r="A395" s="9"/>
      <c r="B395" s="9"/>
      <c r="C395" s="9"/>
      <c r="D395" s="9"/>
      <c r="E395" s="9"/>
      <c r="F395" s="9"/>
    </row>
    <row r="396" spans="1:6">
      <c r="A396" s="9"/>
      <c r="B396" s="9"/>
      <c r="C396" s="9"/>
      <c r="D396" s="9"/>
      <c r="E396" s="9"/>
      <c r="F396" s="9"/>
    </row>
    <row r="397" spans="1:6">
      <c r="A397" s="9"/>
      <c r="B397" s="9"/>
      <c r="C397" s="9"/>
      <c r="D397" s="9"/>
      <c r="E397" s="9"/>
      <c r="F397" s="9"/>
    </row>
    <row r="398" spans="1:6">
      <c r="A398" s="9"/>
      <c r="B398" s="9"/>
      <c r="C398" s="9"/>
      <c r="D398" s="9"/>
      <c r="E398" s="9"/>
      <c r="F398" s="9"/>
    </row>
    <row r="399" spans="1:6">
      <c r="A399" s="9"/>
      <c r="B399" s="9"/>
      <c r="C399" s="9"/>
      <c r="D399" s="9"/>
      <c r="E399" s="9"/>
      <c r="F399" s="9"/>
    </row>
    <row r="400" spans="1:6">
      <c r="A400" s="9"/>
      <c r="B400" s="9"/>
      <c r="C400" s="9"/>
      <c r="D400" s="9"/>
      <c r="E400" s="9"/>
      <c r="F400" s="9"/>
    </row>
    <row r="401" spans="1:6">
      <c r="A401" s="9"/>
      <c r="B401" s="9"/>
      <c r="C401" s="9"/>
      <c r="D401" s="9"/>
      <c r="E401" s="9"/>
      <c r="F401" s="9"/>
    </row>
    <row r="402" spans="1:6">
      <c r="A402" s="9"/>
      <c r="B402" s="9"/>
      <c r="C402" s="9"/>
      <c r="D402" s="9"/>
      <c r="E402" s="9"/>
      <c r="F402" s="9"/>
    </row>
    <row r="403" spans="1:6">
      <c r="A403" s="9"/>
      <c r="B403" s="9"/>
      <c r="C403" s="9"/>
      <c r="D403" s="9"/>
      <c r="E403" s="9"/>
      <c r="F403" s="9"/>
    </row>
    <row r="404" spans="1:6">
      <c r="A404" s="9"/>
      <c r="B404" s="9"/>
      <c r="C404" s="9"/>
      <c r="D404" s="9"/>
      <c r="E404" s="9"/>
      <c r="F404" s="9"/>
    </row>
    <row r="405" spans="1:6">
      <c r="A405" s="9"/>
      <c r="B405" s="9"/>
      <c r="C405" s="9"/>
      <c r="D405" s="9"/>
      <c r="E405" s="9"/>
      <c r="F405" s="9"/>
    </row>
    <row r="406" spans="1:6">
      <c r="A406" s="9"/>
      <c r="B406" s="9"/>
      <c r="C406" s="9"/>
      <c r="D406" s="9"/>
      <c r="E406" s="9"/>
      <c r="F406" s="9"/>
    </row>
    <row r="407" spans="1:6">
      <c r="A407" s="9"/>
      <c r="B407" s="9"/>
      <c r="C407" s="9"/>
      <c r="D407" s="9"/>
      <c r="E407" s="9"/>
      <c r="F407" s="9"/>
    </row>
    <row r="408" spans="1:6">
      <c r="A408" s="9"/>
      <c r="B408" s="9"/>
      <c r="C408" s="9"/>
      <c r="D408" s="9"/>
      <c r="E408" s="9"/>
      <c r="F408" s="9"/>
    </row>
    <row r="409" spans="1:6">
      <c r="A409" s="9"/>
      <c r="B409" s="9"/>
      <c r="C409" s="9"/>
      <c r="D409" s="9"/>
      <c r="E409" s="9"/>
      <c r="F409" s="9"/>
    </row>
    <row r="410" spans="1:6">
      <c r="A410" s="9"/>
      <c r="B410" s="9"/>
      <c r="C410" s="9"/>
      <c r="D410" s="9"/>
      <c r="E410" s="9"/>
      <c r="F410" s="9"/>
    </row>
    <row r="411" spans="1:6">
      <c r="A411" s="9"/>
      <c r="B411" s="9"/>
      <c r="C411" s="9"/>
      <c r="D411" s="9"/>
      <c r="E411" s="9"/>
      <c r="F411" s="9"/>
    </row>
    <row r="412" spans="1:6">
      <c r="A412" s="9"/>
      <c r="B412" s="9"/>
      <c r="C412" s="9"/>
      <c r="D412" s="9"/>
      <c r="E412" s="9"/>
      <c r="F412" s="9"/>
    </row>
    <row r="413" spans="1:6">
      <c r="A413" s="9"/>
      <c r="B413" s="9"/>
      <c r="C413" s="9"/>
      <c r="D413" s="9"/>
      <c r="E413" s="9"/>
      <c r="F413" s="9"/>
    </row>
    <row r="414" spans="1:6">
      <c r="A414" s="9"/>
      <c r="B414" s="9"/>
      <c r="C414" s="9"/>
      <c r="D414" s="9"/>
      <c r="E414" s="9"/>
      <c r="F414" s="9"/>
    </row>
    <row r="415" spans="1:6">
      <c r="A415" s="9"/>
      <c r="B415" s="9"/>
      <c r="C415" s="9"/>
      <c r="D415" s="9"/>
      <c r="E415" s="9"/>
      <c r="F415" s="9"/>
    </row>
    <row r="416" spans="1:6">
      <c r="A416" s="9"/>
      <c r="B416" s="9"/>
      <c r="C416" s="9"/>
      <c r="D416" s="9"/>
      <c r="E416" s="9"/>
      <c r="F416" s="9"/>
    </row>
    <row r="417" spans="1:6">
      <c r="A417" s="9"/>
      <c r="B417" s="9"/>
      <c r="C417" s="9"/>
      <c r="D417" s="9"/>
      <c r="E417" s="9"/>
      <c r="F417" s="9"/>
    </row>
    <row r="418" spans="1:6">
      <c r="A418" s="9"/>
      <c r="B418" s="9"/>
      <c r="C418" s="9"/>
      <c r="D418" s="9"/>
      <c r="E418" s="9"/>
      <c r="F418" s="9"/>
    </row>
    <row r="419" spans="1:6">
      <c r="A419" s="9"/>
      <c r="B419" s="9"/>
      <c r="C419" s="9"/>
      <c r="D419" s="9"/>
      <c r="E419" s="9"/>
      <c r="F419" s="9"/>
    </row>
    <row r="420" spans="1:6">
      <c r="A420" s="9"/>
      <c r="B420" s="9"/>
      <c r="C420" s="9"/>
      <c r="D420" s="9"/>
      <c r="E420" s="9"/>
      <c r="F420" s="9"/>
    </row>
    <row r="421" spans="1:6">
      <c r="A421" s="9"/>
      <c r="B421" s="9"/>
      <c r="C421" s="9"/>
      <c r="D421" s="9"/>
      <c r="E421" s="9"/>
      <c r="F421" s="9"/>
    </row>
    <row r="422" spans="1:6">
      <c r="A422" s="9"/>
      <c r="B422" s="9"/>
      <c r="C422" s="9"/>
      <c r="D422" s="9"/>
      <c r="E422" s="9"/>
      <c r="F422" s="9"/>
    </row>
    <row r="423" spans="1:6">
      <c r="A423" s="9"/>
      <c r="B423" s="9"/>
      <c r="C423" s="9"/>
      <c r="D423" s="9"/>
      <c r="E423" s="9"/>
      <c r="F423" s="9"/>
    </row>
    <row r="424" spans="1:6">
      <c r="A424" s="9"/>
      <c r="B424" s="9"/>
      <c r="C424" s="9"/>
      <c r="D424" s="9"/>
      <c r="E424" s="9"/>
      <c r="F424" s="9"/>
    </row>
    <row r="425" spans="1:6">
      <c r="A425" s="9"/>
      <c r="B425" s="9"/>
      <c r="C425" s="9"/>
      <c r="D425" s="9"/>
      <c r="E425" s="9"/>
      <c r="F425" s="9"/>
    </row>
    <row r="426" spans="1:6">
      <c r="A426" s="9"/>
      <c r="B426" s="9"/>
      <c r="C426" s="9"/>
      <c r="D426" s="9"/>
      <c r="E426" s="9"/>
      <c r="F426" s="9"/>
    </row>
    <row r="427" spans="1:6">
      <c r="A427" s="9"/>
      <c r="B427" s="9"/>
      <c r="C427" s="9"/>
      <c r="D427" s="9"/>
      <c r="E427" s="9"/>
      <c r="F427" s="9"/>
    </row>
    <row r="428" spans="1:6">
      <c r="A428" s="9"/>
      <c r="B428" s="9"/>
      <c r="C428" s="9"/>
      <c r="D428" s="9"/>
      <c r="E428" s="9"/>
      <c r="F428" s="9"/>
    </row>
    <row r="429" spans="1:6">
      <c r="A429" s="9"/>
      <c r="B429" s="9"/>
      <c r="C429" s="9"/>
      <c r="D429" s="9"/>
      <c r="E429" s="9"/>
      <c r="F429" s="9"/>
    </row>
    <row r="430" spans="1:6">
      <c r="A430" s="9"/>
      <c r="B430" s="9"/>
      <c r="C430" s="9"/>
      <c r="D430" s="9"/>
      <c r="E430" s="9"/>
      <c r="F430" s="9"/>
    </row>
    <row r="431" spans="1:6">
      <c r="A431" s="9"/>
      <c r="B431" s="9"/>
      <c r="C431" s="9"/>
      <c r="D431" s="9"/>
      <c r="E431" s="9"/>
      <c r="F431" s="9"/>
    </row>
    <row r="432" spans="1:6">
      <c r="A432" s="9"/>
      <c r="B432" s="9"/>
      <c r="C432" s="9"/>
      <c r="D432" s="9"/>
      <c r="E432" s="9"/>
      <c r="F432" s="9"/>
    </row>
    <row r="433" spans="1:6">
      <c r="A433" s="9"/>
      <c r="B433" s="9"/>
      <c r="C433" s="9"/>
      <c r="D433" s="9"/>
      <c r="E433" s="9"/>
      <c r="F433" s="9"/>
    </row>
    <row r="434" spans="1:6">
      <c r="A434" s="9"/>
      <c r="B434" s="9"/>
      <c r="C434" s="9"/>
      <c r="D434" s="9"/>
      <c r="E434" s="9"/>
      <c r="F434" s="9"/>
    </row>
    <row r="435" spans="1:6">
      <c r="A435" s="9"/>
      <c r="B435" s="9"/>
      <c r="C435" s="9"/>
      <c r="D435" s="9"/>
      <c r="E435" s="9"/>
      <c r="F435" s="9"/>
    </row>
    <row r="436" spans="1:6">
      <c r="A436" s="9"/>
      <c r="B436" s="9"/>
      <c r="C436" s="9"/>
      <c r="D436" s="9"/>
      <c r="E436" s="9"/>
      <c r="F436" s="9"/>
    </row>
    <row r="437" spans="1:6">
      <c r="A437" s="9"/>
      <c r="B437" s="9"/>
      <c r="C437" s="9"/>
      <c r="D437" s="9"/>
      <c r="E437" s="9"/>
      <c r="F437" s="9"/>
    </row>
    <row r="438" spans="1:6">
      <c r="A438" s="9"/>
      <c r="B438" s="9"/>
      <c r="C438" s="9"/>
      <c r="D438" s="9"/>
      <c r="E438" s="9"/>
      <c r="F438" s="9"/>
    </row>
    <row r="439" spans="1:6">
      <c r="A439" s="9"/>
      <c r="B439" s="9"/>
      <c r="C439" s="9"/>
      <c r="D439" s="9"/>
      <c r="E439" s="9"/>
      <c r="F439" s="9"/>
    </row>
    <row r="440" spans="1:6">
      <c r="A440" s="9"/>
      <c r="B440" s="9"/>
      <c r="C440" s="9"/>
      <c r="D440" s="9"/>
      <c r="E440" s="9"/>
      <c r="F440" s="9"/>
    </row>
    <row r="441" spans="1:6">
      <c r="A441" s="9"/>
      <c r="B441" s="9"/>
      <c r="C441" s="9"/>
      <c r="D441" s="9"/>
      <c r="E441" s="9"/>
      <c r="F441" s="9"/>
    </row>
    <row r="442" spans="1:6">
      <c r="A442" s="9"/>
      <c r="B442" s="9"/>
      <c r="C442" s="9"/>
      <c r="D442" s="9"/>
      <c r="E442" s="9"/>
      <c r="F442" s="9"/>
    </row>
    <row r="443" spans="1:6">
      <c r="A443" s="9"/>
      <c r="B443" s="9"/>
      <c r="C443" s="9"/>
      <c r="D443" s="9"/>
      <c r="E443" s="9"/>
      <c r="F443" s="9"/>
    </row>
    <row r="444" spans="1:6">
      <c r="A444" s="9"/>
      <c r="B444" s="9"/>
      <c r="C444" s="9"/>
      <c r="D444" s="9"/>
      <c r="E444" s="9"/>
      <c r="F444" s="9"/>
    </row>
    <row r="445" spans="1:6">
      <c r="A445" s="9"/>
      <c r="B445" s="9"/>
      <c r="C445" s="9"/>
      <c r="D445" s="9"/>
      <c r="E445" s="9"/>
      <c r="F445" s="9"/>
    </row>
    <row r="446" spans="1:6">
      <c r="A446" s="9"/>
      <c r="B446" s="9"/>
      <c r="C446" s="9"/>
      <c r="D446" s="9"/>
      <c r="E446" s="9"/>
      <c r="F446" s="9"/>
    </row>
    <row r="447" spans="1:6">
      <c r="A447" s="9"/>
      <c r="B447" s="9"/>
      <c r="C447" s="9"/>
      <c r="D447" s="9"/>
      <c r="E447" s="9"/>
      <c r="F447" s="9"/>
    </row>
    <row r="448" spans="1:6">
      <c r="A448" s="9"/>
      <c r="B448" s="9"/>
      <c r="C448" s="9"/>
      <c r="D448" s="9"/>
      <c r="E448" s="9"/>
      <c r="F448" s="9"/>
    </row>
    <row r="449" spans="1:6">
      <c r="A449" s="9"/>
      <c r="B449" s="9"/>
      <c r="C449" s="9"/>
      <c r="D449" s="9"/>
      <c r="E449" s="9"/>
      <c r="F449" s="9"/>
    </row>
    <row r="450" spans="1:6">
      <c r="A450" s="9"/>
      <c r="B450" s="9"/>
      <c r="C450" s="9"/>
      <c r="D450" s="9"/>
      <c r="E450" s="9"/>
      <c r="F450" s="9"/>
    </row>
    <row r="451" spans="1:6">
      <c r="A451" s="9"/>
      <c r="B451" s="9"/>
      <c r="C451" s="9"/>
      <c r="D451" s="9"/>
      <c r="E451" s="9"/>
      <c r="F451" s="9"/>
    </row>
    <row r="452" spans="1:6">
      <c r="A452" s="9"/>
      <c r="B452" s="9"/>
      <c r="C452" s="9"/>
      <c r="D452" s="9"/>
      <c r="E452" s="9"/>
      <c r="F452" s="9"/>
    </row>
    <row r="453" spans="1:6">
      <c r="A453" s="9"/>
      <c r="B453" s="9"/>
      <c r="C453" s="9"/>
      <c r="D453" s="9"/>
      <c r="E453" s="9"/>
      <c r="F453" s="9"/>
    </row>
    <row r="454" spans="1:6">
      <c r="A454" s="9"/>
      <c r="B454" s="9"/>
      <c r="C454" s="9"/>
      <c r="D454" s="9"/>
      <c r="E454" s="9"/>
      <c r="F454" s="9"/>
    </row>
    <row r="455" spans="1:6">
      <c r="A455" s="9"/>
      <c r="B455" s="9"/>
      <c r="C455" s="9"/>
      <c r="D455" s="9"/>
      <c r="E455" s="9"/>
      <c r="F455" s="9"/>
    </row>
    <row r="456" spans="1:6">
      <c r="A456" s="9"/>
      <c r="B456" s="9"/>
      <c r="C456" s="9"/>
      <c r="D456" s="9"/>
      <c r="E456" s="9"/>
      <c r="F456" s="9"/>
    </row>
    <row r="457" spans="1:6">
      <c r="A457" s="9"/>
      <c r="B457" s="9"/>
      <c r="C457" s="9"/>
      <c r="D457" s="9"/>
      <c r="E457" s="9"/>
      <c r="F457" s="9"/>
    </row>
    <row r="458" spans="1:6">
      <c r="A458" s="9"/>
      <c r="B458" s="9"/>
      <c r="C458" s="9"/>
      <c r="D458" s="9"/>
      <c r="E458" s="9"/>
      <c r="F458" s="9"/>
    </row>
    <row r="459" spans="1:6">
      <c r="A459" s="9"/>
      <c r="B459" s="9"/>
      <c r="C459" s="9"/>
      <c r="D459" s="9"/>
      <c r="E459" s="9"/>
      <c r="F459" s="9"/>
    </row>
    <row r="460" spans="1:6">
      <c r="A460" s="9"/>
      <c r="B460" s="9"/>
      <c r="C460" s="9"/>
      <c r="D460" s="9"/>
      <c r="E460" s="9"/>
      <c r="F460" s="9"/>
    </row>
    <row r="461" spans="1:6">
      <c r="A461" s="9"/>
      <c r="B461" s="9"/>
      <c r="C461" s="9"/>
      <c r="D461" s="9"/>
      <c r="E461" s="9"/>
      <c r="F461" s="9"/>
    </row>
    <row r="462" spans="1:6">
      <c r="A462" s="9"/>
      <c r="B462" s="9"/>
      <c r="C462" s="9"/>
      <c r="D462" s="9"/>
      <c r="E462" s="9"/>
      <c r="F462" s="9"/>
    </row>
    <row r="463" spans="1:6">
      <c r="A463" s="9"/>
      <c r="B463" s="9"/>
      <c r="C463" s="9"/>
      <c r="D463" s="9"/>
      <c r="E463" s="9"/>
      <c r="F463" s="9"/>
    </row>
    <row r="464" spans="1:6">
      <c r="A464" s="9"/>
      <c r="B464" s="9"/>
      <c r="C464" s="9"/>
      <c r="D464" s="9"/>
      <c r="E464" s="9"/>
      <c r="F464" s="9"/>
    </row>
    <row r="465" spans="1:6">
      <c r="A465" s="9"/>
      <c r="B465" s="9"/>
      <c r="C465" s="9"/>
      <c r="D465" s="9"/>
      <c r="E465" s="9"/>
      <c r="F465" s="9"/>
    </row>
    <row r="466" spans="1:6">
      <c r="A466" s="9"/>
      <c r="B466" s="9"/>
      <c r="C466" s="9"/>
      <c r="D466" s="9"/>
      <c r="E466" s="9"/>
      <c r="F466" s="9"/>
    </row>
    <row r="467" spans="1:6">
      <c r="A467" s="9"/>
      <c r="B467" s="9"/>
      <c r="C467" s="9"/>
      <c r="D467" s="9"/>
      <c r="E467" s="9"/>
      <c r="F467" s="9"/>
    </row>
    <row r="468" spans="1:6">
      <c r="A468" s="9"/>
      <c r="B468" s="9"/>
      <c r="C468" s="9"/>
      <c r="D468" s="9"/>
      <c r="E468" s="9"/>
      <c r="F468" s="9"/>
    </row>
    <row r="469" spans="1:6">
      <c r="A469" s="9"/>
      <c r="B469" s="9"/>
      <c r="C469" s="9"/>
      <c r="D469" s="9"/>
      <c r="E469" s="9"/>
      <c r="F469" s="9"/>
    </row>
    <row r="470" spans="1:6">
      <c r="A470" s="9"/>
      <c r="B470" s="9"/>
      <c r="C470" s="9"/>
      <c r="D470" s="9"/>
      <c r="E470" s="9"/>
      <c r="F470" s="9"/>
    </row>
    <row r="471" spans="1:6">
      <c r="A471" s="9"/>
      <c r="B471" s="9"/>
      <c r="C471" s="9"/>
      <c r="D471" s="9"/>
      <c r="E471" s="9"/>
      <c r="F471" s="9"/>
    </row>
    <row r="472" spans="1:6">
      <c r="A472" s="9"/>
      <c r="B472" s="9"/>
      <c r="C472" s="9"/>
      <c r="D472" s="9"/>
      <c r="E472" s="9"/>
      <c r="F472" s="9"/>
    </row>
    <row r="473" spans="1:6">
      <c r="A473" s="9"/>
      <c r="B473" s="9"/>
      <c r="C473" s="9"/>
      <c r="D473" s="9"/>
      <c r="E473" s="9"/>
      <c r="F473" s="9"/>
    </row>
    <row r="474" spans="1:6">
      <c r="A474" s="9"/>
      <c r="B474" s="9"/>
      <c r="C474" s="9"/>
      <c r="D474" s="9"/>
      <c r="E474" s="9"/>
      <c r="F474" s="9"/>
    </row>
    <row r="475" spans="1:6">
      <c r="A475" s="9"/>
      <c r="B475" s="9"/>
      <c r="C475" s="9"/>
      <c r="D475" s="9"/>
      <c r="E475" s="9"/>
      <c r="F475" s="9"/>
    </row>
    <row r="476" spans="1:6">
      <c r="A476" s="9"/>
      <c r="B476" s="9"/>
      <c r="C476" s="9"/>
      <c r="D476" s="9"/>
      <c r="E476" s="9"/>
      <c r="F476" s="9"/>
    </row>
    <row r="477" spans="1:6">
      <c r="A477" s="9"/>
      <c r="B477" s="9"/>
      <c r="C477" s="9"/>
      <c r="D477" s="9"/>
      <c r="E477" s="9"/>
      <c r="F477" s="9"/>
    </row>
    <row r="478" spans="1:6">
      <c r="A478" s="9"/>
      <c r="B478" s="9"/>
      <c r="C478" s="9"/>
      <c r="D478" s="9"/>
      <c r="E478" s="9"/>
      <c r="F478" s="9"/>
    </row>
    <row r="479" spans="1:6">
      <c r="A479" s="9"/>
      <c r="B479" s="9"/>
      <c r="C479" s="9"/>
      <c r="D479" s="9"/>
      <c r="E479" s="9"/>
      <c r="F479" s="9"/>
    </row>
    <row r="480" spans="1:6">
      <c r="A480" s="9"/>
      <c r="B480" s="9"/>
      <c r="C480" s="9"/>
      <c r="D480" s="9"/>
      <c r="E480" s="9"/>
      <c r="F480" s="9"/>
    </row>
    <row r="481" spans="1:6">
      <c r="A481" s="9"/>
      <c r="B481" s="9"/>
      <c r="C481" s="9"/>
      <c r="D481" s="9"/>
      <c r="E481" s="9"/>
      <c r="F481" s="9"/>
    </row>
    <row r="482" spans="1:6">
      <c r="A482" s="9"/>
      <c r="B482" s="9"/>
      <c r="C482" s="9"/>
      <c r="D482" s="9"/>
      <c r="E482" s="9"/>
      <c r="F482" s="9"/>
    </row>
    <row r="483" spans="1:6">
      <c r="A483" s="9"/>
      <c r="B483" s="9"/>
      <c r="C483" s="9"/>
      <c r="D483" s="9"/>
      <c r="E483" s="9"/>
      <c r="F483" s="9"/>
    </row>
    <row r="484" spans="1:6">
      <c r="A484" s="9"/>
      <c r="B484" s="9"/>
      <c r="C484" s="9"/>
      <c r="D484" s="9"/>
      <c r="E484" s="9"/>
      <c r="F484" s="9"/>
    </row>
    <row r="485" spans="1:6">
      <c r="A485" s="9"/>
      <c r="B485" s="9"/>
      <c r="C485" s="9"/>
      <c r="D485" s="9"/>
      <c r="E485" s="9"/>
      <c r="F485" s="9"/>
    </row>
    <row r="486" spans="1:6">
      <c r="A486" s="9"/>
      <c r="B486" s="9"/>
      <c r="C486" s="9"/>
      <c r="D486" s="9"/>
      <c r="E486" s="9"/>
      <c r="F486" s="9"/>
    </row>
    <row r="487" spans="1:6">
      <c r="A487" s="9"/>
      <c r="B487" s="9"/>
      <c r="C487" s="9"/>
      <c r="D487" s="9"/>
      <c r="E487" s="9"/>
      <c r="F487" s="9"/>
    </row>
    <row r="488" spans="1:6">
      <c r="A488" s="9"/>
      <c r="B488" s="9"/>
      <c r="C488" s="9"/>
      <c r="D488" s="9"/>
      <c r="E488" s="9"/>
      <c r="F488" s="9"/>
    </row>
    <row r="489" spans="1:6">
      <c r="A489" s="9"/>
      <c r="B489" s="9"/>
      <c r="C489" s="9"/>
      <c r="D489" s="9"/>
      <c r="E489" s="9"/>
      <c r="F489" s="9"/>
    </row>
    <row r="490" spans="1:6">
      <c r="A490" s="9"/>
      <c r="B490" s="9"/>
      <c r="C490" s="9"/>
      <c r="D490" s="9"/>
      <c r="E490" s="9"/>
      <c r="F490" s="9"/>
    </row>
    <row r="491" spans="1:6">
      <c r="A491" s="9"/>
      <c r="B491" s="9"/>
      <c r="C491" s="9"/>
      <c r="D491" s="9"/>
      <c r="E491" s="9"/>
      <c r="F491" s="9"/>
    </row>
    <row r="492" spans="1:6">
      <c r="A492" s="9"/>
      <c r="B492" s="9"/>
      <c r="C492" s="9"/>
      <c r="D492" s="9"/>
      <c r="E492" s="9"/>
      <c r="F492" s="9"/>
    </row>
    <row r="493" spans="1:6">
      <c r="A493" s="9"/>
      <c r="B493" s="9"/>
      <c r="C493" s="9"/>
      <c r="D493" s="9"/>
      <c r="E493" s="9"/>
      <c r="F493" s="9"/>
    </row>
    <row r="494" spans="1:6">
      <c r="A494" s="9"/>
      <c r="B494" s="9"/>
      <c r="C494" s="9"/>
      <c r="D494" s="9"/>
      <c r="E494" s="9"/>
      <c r="F494" s="9"/>
    </row>
    <row r="495" spans="1:6">
      <c r="A495" s="9"/>
      <c r="B495" s="9"/>
      <c r="C495" s="9"/>
      <c r="D495" s="9"/>
      <c r="E495" s="9"/>
      <c r="F495" s="9"/>
    </row>
    <row r="496" spans="1:6">
      <c r="A496" s="9"/>
      <c r="B496" s="9"/>
      <c r="C496" s="9"/>
      <c r="D496" s="9"/>
      <c r="E496" s="9"/>
      <c r="F496" s="9"/>
    </row>
    <row r="497" spans="1:6">
      <c r="A497" s="9"/>
      <c r="B497" s="9"/>
      <c r="C497" s="9"/>
      <c r="D497" s="9"/>
      <c r="E497" s="9"/>
      <c r="F497" s="9"/>
    </row>
    <row r="498" spans="1:6">
      <c r="A498" s="9"/>
      <c r="B498" s="9"/>
      <c r="C498" s="9"/>
      <c r="D498" s="9"/>
      <c r="E498" s="9"/>
      <c r="F498" s="9"/>
    </row>
    <row r="499" spans="1:6">
      <c r="A499" s="9"/>
      <c r="B499" s="9"/>
      <c r="C499" s="9"/>
      <c r="D499" s="9"/>
      <c r="E499" s="9"/>
      <c r="F499" s="9"/>
    </row>
    <row r="500" spans="1:6">
      <c r="A500" s="9"/>
      <c r="B500" s="9"/>
      <c r="C500" s="9"/>
      <c r="D500" s="9"/>
      <c r="E500" s="9"/>
      <c r="F500" s="9"/>
    </row>
    <row r="501" spans="1:6">
      <c r="A501" s="9"/>
      <c r="B501" s="9"/>
      <c r="C501" s="9"/>
      <c r="D501" s="9"/>
      <c r="E501" s="9"/>
      <c r="F501" s="9"/>
    </row>
    <row r="502" spans="1:6">
      <c r="A502" s="9"/>
      <c r="B502" s="9"/>
      <c r="C502" s="9"/>
      <c r="D502" s="9"/>
      <c r="E502" s="9"/>
      <c r="F502" s="9"/>
    </row>
    <row r="503" spans="1:6">
      <c r="A503" s="9"/>
      <c r="B503" s="9"/>
      <c r="C503" s="9"/>
      <c r="D503" s="9"/>
      <c r="E503" s="9"/>
      <c r="F503" s="9"/>
    </row>
    <row r="504" spans="1:6">
      <c r="A504" s="9"/>
      <c r="B504" s="9"/>
      <c r="C504" s="9"/>
      <c r="D504" s="9"/>
      <c r="E504" s="9"/>
      <c r="F504" s="9"/>
    </row>
    <row r="505" spans="1:6">
      <c r="A505" s="9"/>
      <c r="B505" s="9"/>
      <c r="C505" s="9"/>
      <c r="D505" s="9"/>
      <c r="E505" s="9"/>
      <c r="F505" s="9"/>
    </row>
    <row r="506" spans="1:6">
      <c r="A506" s="9"/>
      <c r="B506" s="9"/>
      <c r="C506" s="9"/>
      <c r="D506" s="9"/>
      <c r="E506" s="9"/>
      <c r="F506" s="9"/>
    </row>
    <row r="507" spans="1:6">
      <c r="A507" s="9"/>
      <c r="B507" s="9"/>
      <c r="C507" s="9"/>
      <c r="D507" s="9"/>
      <c r="E507" s="9"/>
      <c r="F507" s="9"/>
    </row>
    <row r="508" spans="1:6">
      <c r="A508" s="9"/>
      <c r="B508" s="9"/>
      <c r="C508" s="9"/>
      <c r="D508" s="9"/>
      <c r="E508" s="9"/>
      <c r="F508" s="9"/>
    </row>
    <row r="509" spans="1:6">
      <c r="A509" s="9"/>
      <c r="B509" s="9"/>
      <c r="C509" s="9"/>
      <c r="D509" s="9"/>
      <c r="E509" s="9"/>
      <c r="F509" s="9"/>
    </row>
    <row r="510" spans="1:6">
      <c r="A510" s="9"/>
      <c r="B510" s="9"/>
      <c r="C510" s="9"/>
      <c r="D510" s="9"/>
      <c r="E510" s="9"/>
      <c r="F510" s="9"/>
    </row>
    <row r="511" spans="1:6">
      <c r="A511" s="9"/>
      <c r="B511" s="9"/>
      <c r="C511" s="9"/>
      <c r="D511" s="9"/>
      <c r="E511" s="9"/>
      <c r="F511" s="9"/>
    </row>
    <row r="512" spans="1:6">
      <c r="A512" s="9"/>
      <c r="B512" s="9"/>
      <c r="C512" s="9"/>
      <c r="D512" s="9"/>
      <c r="E512" s="9"/>
      <c r="F512" s="9"/>
    </row>
    <row r="513" spans="1:6">
      <c r="A513" s="9"/>
      <c r="B513" s="9"/>
      <c r="C513" s="9"/>
      <c r="D513" s="9"/>
      <c r="E513" s="9"/>
      <c r="F513" s="9"/>
    </row>
    <row r="514" spans="1:6">
      <c r="A514" s="9"/>
      <c r="B514" s="9"/>
      <c r="C514" s="9"/>
      <c r="D514" s="9"/>
      <c r="E514" s="9"/>
      <c r="F514" s="9"/>
    </row>
    <row r="515" spans="1:6">
      <c r="A515" s="9"/>
      <c r="B515" s="9"/>
      <c r="C515" s="9"/>
      <c r="D515" s="9"/>
      <c r="E515" s="9"/>
      <c r="F515" s="9"/>
    </row>
    <row r="516" spans="1:6">
      <c r="A516" s="9"/>
      <c r="B516" s="9"/>
      <c r="C516" s="9"/>
      <c r="D516" s="9"/>
      <c r="E516" s="9"/>
      <c r="F516" s="9"/>
    </row>
    <row r="517" spans="1:6">
      <c r="A517" s="9"/>
      <c r="B517" s="9"/>
      <c r="C517" s="9"/>
      <c r="D517" s="9"/>
      <c r="E517" s="9"/>
      <c r="F517" s="9"/>
    </row>
    <row r="518" spans="1:6">
      <c r="A518" s="9"/>
      <c r="B518" s="9"/>
      <c r="C518" s="9"/>
      <c r="D518" s="9"/>
      <c r="E518" s="9"/>
      <c r="F518" s="9"/>
    </row>
    <row r="519" spans="1:6">
      <c r="A519" s="9"/>
      <c r="B519" s="9"/>
      <c r="C519" s="9"/>
      <c r="D519" s="9"/>
      <c r="E519" s="9"/>
      <c r="F519" s="9"/>
    </row>
    <row r="520" spans="1:6">
      <c r="A520" s="9"/>
      <c r="B520" s="9"/>
      <c r="C520" s="9"/>
      <c r="D520" s="9"/>
      <c r="E520" s="9"/>
      <c r="F520" s="9"/>
    </row>
    <row r="521" spans="1:6">
      <c r="A521" s="9"/>
      <c r="B521" s="9"/>
      <c r="C521" s="9"/>
      <c r="D521" s="9"/>
      <c r="E521" s="9"/>
      <c r="F521" s="9"/>
    </row>
    <row r="522" spans="1:6">
      <c r="A522" s="9"/>
      <c r="B522" s="9"/>
      <c r="C522" s="9"/>
      <c r="D522" s="9"/>
      <c r="E522" s="9"/>
      <c r="F522" s="9"/>
    </row>
    <row r="523" spans="1:6">
      <c r="A523" s="9"/>
      <c r="B523" s="9"/>
      <c r="C523" s="9"/>
      <c r="D523" s="9"/>
      <c r="E523" s="9"/>
      <c r="F523" s="9"/>
    </row>
    <row r="524" spans="1:6">
      <c r="A524" s="9"/>
      <c r="B524" s="9"/>
      <c r="C524" s="9"/>
      <c r="D524" s="9"/>
      <c r="E524" s="9"/>
      <c r="F524" s="9"/>
    </row>
    <row r="525" spans="1:6">
      <c r="A525" s="9"/>
      <c r="B525" s="9"/>
      <c r="C525" s="9"/>
      <c r="D525" s="9"/>
      <c r="E525" s="9"/>
      <c r="F525" s="9"/>
    </row>
    <row r="526" spans="1:6">
      <c r="A526" s="9"/>
      <c r="B526" s="9"/>
      <c r="C526" s="9"/>
      <c r="D526" s="9"/>
      <c r="E526" s="9"/>
      <c r="F526" s="9"/>
    </row>
    <row r="527" spans="1:6">
      <c r="A527" s="9"/>
      <c r="B527" s="9"/>
      <c r="C527" s="9"/>
      <c r="D527" s="9"/>
      <c r="E527" s="9"/>
      <c r="F527" s="9"/>
    </row>
    <row r="528" spans="1:6">
      <c r="A528" s="9"/>
      <c r="B528" s="9"/>
      <c r="C528" s="9"/>
      <c r="D528" s="9"/>
      <c r="E528" s="9"/>
      <c r="F528" s="9"/>
    </row>
    <row r="529" spans="1:6">
      <c r="A529" s="9"/>
      <c r="B529" s="9"/>
      <c r="C529" s="9"/>
      <c r="D529" s="9"/>
      <c r="E529" s="9"/>
      <c r="F529" s="9"/>
    </row>
    <row r="530" spans="1:6">
      <c r="A530" s="9"/>
      <c r="B530" s="9"/>
      <c r="C530" s="9"/>
      <c r="D530" s="9"/>
      <c r="E530" s="9"/>
      <c r="F530" s="9"/>
    </row>
    <row r="531" spans="1:6">
      <c r="A531" s="9"/>
      <c r="B531" s="9"/>
      <c r="C531" s="9"/>
      <c r="D531" s="9"/>
      <c r="E531" s="9"/>
      <c r="F531" s="9"/>
    </row>
    <row r="532" spans="1:6">
      <c r="A532" s="9"/>
      <c r="B532" s="9"/>
      <c r="C532" s="9"/>
      <c r="D532" s="9"/>
      <c r="E532" s="9"/>
      <c r="F532" s="9"/>
    </row>
    <row r="533" spans="1:6">
      <c r="A533" s="9"/>
      <c r="B533" s="9"/>
      <c r="C533" s="9"/>
      <c r="D533" s="9"/>
      <c r="E533" s="9"/>
      <c r="F533" s="9"/>
    </row>
    <row r="534" spans="1:6">
      <c r="A534" s="9"/>
      <c r="B534" s="9"/>
      <c r="C534" s="9"/>
      <c r="D534" s="9"/>
      <c r="E534" s="9"/>
      <c r="F534" s="9"/>
    </row>
    <row r="535" spans="1:6">
      <c r="A535" s="9"/>
      <c r="B535" s="9"/>
      <c r="C535" s="9"/>
      <c r="D535" s="9"/>
      <c r="E535" s="9"/>
      <c r="F535" s="9"/>
    </row>
    <row r="536" spans="1:6">
      <c r="A536" s="9"/>
      <c r="B536" s="9"/>
      <c r="C536" s="9"/>
      <c r="D536" s="9"/>
      <c r="E536" s="9"/>
      <c r="F536" s="9"/>
    </row>
    <row r="537" spans="1:6">
      <c r="A537" s="9"/>
      <c r="B537" s="9"/>
      <c r="C537" s="9"/>
      <c r="D537" s="9"/>
      <c r="E537" s="9"/>
      <c r="F537" s="9"/>
    </row>
    <row r="538" spans="1:6">
      <c r="A538" s="9"/>
      <c r="B538" s="9"/>
      <c r="C538" s="9"/>
      <c r="D538" s="9"/>
      <c r="E538" s="9"/>
      <c r="F538" s="9"/>
    </row>
    <row r="539" spans="1:6">
      <c r="A539" s="9"/>
      <c r="B539" s="9"/>
      <c r="C539" s="9"/>
      <c r="D539" s="9"/>
      <c r="E539" s="9"/>
      <c r="F539" s="9"/>
    </row>
    <row r="540" spans="1:6">
      <c r="A540" s="9"/>
      <c r="B540" s="9"/>
      <c r="C540" s="9"/>
      <c r="D540" s="9"/>
      <c r="E540" s="9"/>
      <c r="F540" s="9"/>
    </row>
    <row r="541" spans="1:6">
      <c r="A541" s="9"/>
      <c r="B541" s="9"/>
      <c r="C541" s="9"/>
      <c r="D541" s="9"/>
      <c r="E541" s="9"/>
      <c r="F541" s="9"/>
    </row>
    <row r="542" spans="1:6">
      <c r="A542" s="9"/>
      <c r="B542" s="9"/>
      <c r="C542" s="9"/>
      <c r="D542" s="9"/>
      <c r="E542" s="9"/>
      <c r="F542" s="9"/>
    </row>
    <row r="543" spans="1:6">
      <c r="A543" s="9"/>
      <c r="B543" s="9"/>
      <c r="C543" s="9"/>
      <c r="D543" s="9"/>
      <c r="E543" s="9"/>
      <c r="F543" s="9"/>
    </row>
    <row r="544" spans="1:6">
      <c r="A544" s="9"/>
      <c r="B544" s="9"/>
      <c r="C544" s="9"/>
      <c r="D544" s="9"/>
      <c r="E544" s="9"/>
      <c r="F544" s="9"/>
    </row>
    <row r="545" spans="1:6">
      <c r="A545" s="9"/>
      <c r="B545" s="9"/>
      <c r="C545" s="9"/>
      <c r="D545" s="9"/>
      <c r="E545" s="9"/>
      <c r="F545" s="9"/>
    </row>
    <row r="546" spans="1:6">
      <c r="A546" s="9"/>
      <c r="B546" s="9"/>
      <c r="C546" s="9"/>
      <c r="D546" s="9"/>
      <c r="E546" s="9"/>
      <c r="F546" s="9"/>
    </row>
    <row r="547" spans="1:6">
      <c r="A547" s="9"/>
      <c r="B547" s="9"/>
      <c r="C547" s="9"/>
      <c r="D547" s="9"/>
      <c r="E547" s="9"/>
      <c r="F547" s="9"/>
    </row>
    <row r="548" spans="1:6">
      <c r="A548" s="9"/>
      <c r="B548" s="9"/>
      <c r="C548" s="9"/>
      <c r="D548" s="9"/>
      <c r="E548" s="9"/>
      <c r="F548" s="9"/>
    </row>
    <row r="549" spans="1:6">
      <c r="A549" s="9"/>
      <c r="B549" s="9"/>
      <c r="C549" s="9"/>
      <c r="D549" s="9"/>
      <c r="E549" s="9"/>
      <c r="F549" s="9"/>
    </row>
    <row r="550" spans="1:6">
      <c r="A550" s="9"/>
      <c r="B550" s="9"/>
      <c r="C550" s="9"/>
      <c r="D550" s="9"/>
      <c r="E550" s="9"/>
      <c r="F550" s="9"/>
    </row>
    <row r="551" spans="1:6">
      <c r="A551" s="9"/>
      <c r="B551" s="9"/>
      <c r="C551" s="9"/>
      <c r="D551" s="9"/>
      <c r="E551" s="9"/>
      <c r="F551" s="9"/>
    </row>
    <row r="552" spans="1:6">
      <c r="A552" s="9"/>
      <c r="B552" s="9"/>
      <c r="C552" s="9"/>
      <c r="D552" s="9"/>
      <c r="E552" s="9"/>
      <c r="F552" s="9"/>
    </row>
    <row r="553" spans="1:6">
      <c r="A553" s="9"/>
      <c r="B553" s="9"/>
      <c r="C553" s="9"/>
      <c r="D553" s="9"/>
      <c r="E553" s="9"/>
      <c r="F553" s="9"/>
    </row>
    <row r="554" spans="1:6">
      <c r="A554" s="9"/>
      <c r="B554" s="9"/>
      <c r="C554" s="9"/>
      <c r="D554" s="9"/>
      <c r="E554" s="9"/>
      <c r="F554" s="9"/>
    </row>
    <row r="555" spans="1:6">
      <c r="A555" s="9"/>
      <c r="B555" s="9"/>
      <c r="C555" s="9"/>
      <c r="D555" s="9"/>
      <c r="E555" s="9"/>
      <c r="F555" s="9"/>
    </row>
    <row r="556" spans="1:6">
      <c r="A556" s="9"/>
      <c r="B556" s="9"/>
      <c r="C556" s="9"/>
      <c r="D556" s="9"/>
      <c r="E556" s="9"/>
      <c r="F556" s="9"/>
    </row>
    <row r="557" spans="1:6">
      <c r="A557" s="9"/>
      <c r="B557" s="9"/>
      <c r="C557" s="9"/>
      <c r="D557" s="9"/>
      <c r="E557" s="9"/>
      <c r="F557" s="9"/>
    </row>
    <row r="558" spans="1:6">
      <c r="A558" s="9"/>
      <c r="B558" s="9"/>
      <c r="C558" s="9"/>
      <c r="D558" s="9"/>
      <c r="E558" s="9"/>
      <c r="F558" s="9"/>
    </row>
    <row r="559" spans="1:6">
      <c r="A559" s="9"/>
      <c r="B559" s="9"/>
      <c r="C559" s="9"/>
      <c r="D559" s="9"/>
      <c r="E559" s="9"/>
      <c r="F559" s="9"/>
    </row>
    <row r="560" spans="1:6">
      <c r="A560" s="9"/>
      <c r="B560" s="9"/>
      <c r="C560" s="9"/>
      <c r="D560" s="9"/>
      <c r="E560" s="9"/>
      <c r="F560" s="9"/>
    </row>
    <row r="561" spans="1:6">
      <c r="A561" s="9"/>
      <c r="B561" s="9"/>
      <c r="C561" s="9"/>
      <c r="D561" s="9"/>
      <c r="E561" s="9"/>
      <c r="F561" s="9"/>
    </row>
    <row r="562" spans="1:6">
      <c r="A562" s="9"/>
      <c r="B562" s="9"/>
      <c r="C562" s="9"/>
      <c r="D562" s="9"/>
      <c r="E562" s="9"/>
      <c r="F562" s="9"/>
    </row>
    <row r="563" spans="1:6">
      <c r="A563" s="9"/>
      <c r="B563" s="9"/>
      <c r="C563" s="9"/>
      <c r="D563" s="9"/>
      <c r="E563" s="9"/>
      <c r="F563" s="9"/>
    </row>
    <row r="564" spans="1:6">
      <c r="A564" s="9"/>
      <c r="B564" s="9"/>
      <c r="C564" s="9"/>
      <c r="D564" s="9"/>
      <c r="E564" s="9"/>
      <c r="F564" s="9"/>
    </row>
    <row r="565" spans="1:6">
      <c r="A565" s="9"/>
      <c r="B565" s="9"/>
      <c r="C565" s="9"/>
      <c r="D565" s="9"/>
      <c r="E565" s="9"/>
      <c r="F565" s="9"/>
    </row>
    <row r="566" spans="1:6">
      <c r="A566" s="9"/>
      <c r="B566" s="9"/>
      <c r="C566" s="9"/>
      <c r="D566" s="9"/>
      <c r="E566" s="9"/>
      <c r="F566" s="9"/>
    </row>
    <row r="567" spans="1:6">
      <c r="A567" s="9"/>
      <c r="B567" s="9"/>
      <c r="C567" s="9"/>
      <c r="D567" s="9"/>
      <c r="E567" s="9"/>
      <c r="F567" s="9"/>
    </row>
    <row r="568" spans="1:6">
      <c r="A568" s="9"/>
      <c r="B568" s="9"/>
      <c r="C568" s="9"/>
      <c r="D568" s="9"/>
      <c r="E568" s="9"/>
      <c r="F568" s="9"/>
    </row>
    <row r="569" spans="1:6">
      <c r="A569" s="9"/>
      <c r="B569" s="9"/>
      <c r="C569" s="9"/>
      <c r="D569" s="9"/>
      <c r="E569" s="9"/>
      <c r="F569" s="9"/>
    </row>
    <row r="570" spans="1:6">
      <c r="A570" s="9"/>
      <c r="B570" s="9"/>
      <c r="C570" s="9"/>
      <c r="D570" s="9"/>
      <c r="E570" s="9"/>
      <c r="F570" s="9"/>
    </row>
    <row r="571" spans="1:6">
      <c r="A571" s="9"/>
      <c r="B571" s="9"/>
      <c r="C571" s="9"/>
      <c r="D571" s="9"/>
      <c r="E571" s="9"/>
      <c r="F571" s="9"/>
    </row>
    <row r="572" spans="1:6">
      <c r="A572" s="9"/>
      <c r="B572" s="9"/>
      <c r="C572" s="9"/>
      <c r="D572" s="9"/>
      <c r="E572" s="9"/>
      <c r="F572" s="9"/>
    </row>
    <row r="573" spans="1:6">
      <c r="A573" s="9"/>
      <c r="B573" s="9"/>
      <c r="C573" s="9"/>
      <c r="D573" s="9"/>
      <c r="E573" s="9"/>
      <c r="F573" s="9"/>
    </row>
    <row r="574" spans="1:6">
      <c r="A574" s="9"/>
      <c r="B574" s="9"/>
      <c r="C574" s="9"/>
      <c r="D574" s="9"/>
      <c r="E574" s="9"/>
      <c r="F574" s="9"/>
    </row>
    <row r="575" spans="1:6">
      <c r="A575" s="9"/>
      <c r="B575" s="9"/>
      <c r="C575" s="9"/>
      <c r="D575" s="9"/>
      <c r="E575" s="9"/>
      <c r="F575" s="9"/>
    </row>
    <row r="576" spans="1:6">
      <c r="A576" s="9"/>
      <c r="B576" s="9"/>
      <c r="C576" s="9"/>
      <c r="D576" s="9"/>
      <c r="E576" s="9"/>
      <c r="F576" s="9"/>
    </row>
    <row r="577" spans="1:6">
      <c r="A577" s="9"/>
      <c r="B577" s="9"/>
      <c r="C577" s="9"/>
      <c r="D577" s="9"/>
      <c r="E577" s="9"/>
      <c r="F577" s="9"/>
    </row>
    <row r="578" spans="1:6">
      <c r="A578" s="9"/>
      <c r="B578" s="9"/>
      <c r="C578" s="9"/>
      <c r="D578" s="9"/>
      <c r="E578" s="9"/>
      <c r="F578" s="9"/>
    </row>
    <row r="579" spans="1:6">
      <c r="A579" s="9"/>
      <c r="B579" s="9"/>
      <c r="C579" s="9"/>
      <c r="D579" s="9"/>
      <c r="E579" s="9"/>
      <c r="F579" s="9"/>
    </row>
    <row r="580" spans="1:6">
      <c r="A580" s="9"/>
      <c r="B580" s="9"/>
      <c r="C580" s="9"/>
      <c r="D580" s="9"/>
      <c r="E580" s="9"/>
      <c r="F580" s="9"/>
    </row>
    <row r="581" spans="1:6">
      <c r="A581" s="9"/>
      <c r="B581" s="9"/>
      <c r="C581" s="9"/>
      <c r="D581" s="9"/>
      <c r="E581" s="9"/>
      <c r="F581" s="9"/>
    </row>
    <row r="582" spans="1:6">
      <c r="A582" s="9"/>
      <c r="B582" s="9"/>
      <c r="C582" s="9"/>
      <c r="D582" s="9"/>
      <c r="E582" s="9"/>
      <c r="F582" s="9"/>
    </row>
    <row r="583" spans="1:6">
      <c r="A583" s="9"/>
      <c r="B583" s="9"/>
      <c r="C583" s="9"/>
      <c r="D583" s="9"/>
      <c r="E583" s="9"/>
      <c r="F583" s="9"/>
    </row>
    <row r="584" spans="1:6">
      <c r="A584" s="9"/>
      <c r="B584" s="9"/>
      <c r="C584" s="9"/>
      <c r="D584" s="9"/>
      <c r="E584" s="9"/>
      <c r="F584" s="9"/>
    </row>
    <row r="585" spans="1:6">
      <c r="A585" s="9"/>
      <c r="B585" s="9"/>
      <c r="C585" s="9"/>
      <c r="D585" s="9"/>
      <c r="E585" s="9"/>
      <c r="F585" s="9"/>
    </row>
    <row r="586" spans="1:6">
      <c r="A586" s="9"/>
      <c r="B586" s="9"/>
      <c r="C586" s="9"/>
      <c r="D586" s="9"/>
      <c r="E586" s="9"/>
      <c r="F586" s="9"/>
    </row>
    <row r="587" spans="1:6">
      <c r="A587" s="9"/>
      <c r="B587" s="9"/>
      <c r="C587" s="9"/>
      <c r="D587" s="9"/>
      <c r="E587" s="9"/>
      <c r="F587" s="9"/>
    </row>
    <row r="588" spans="1:6">
      <c r="A588" s="9"/>
      <c r="B588" s="9"/>
      <c r="C588" s="9"/>
      <c r="D588" s="9"/>
      <c r="E588" s="9"/>
      <c r="F588" s="9"/>
    </row>
    <row r="589" spans="1:6">
      <c r="A589" s="9"/>
      <c r="B589" s="9"/>
      <c r="C589" s="9"/>
      <c r="D589" s="9"/>
      <c r="E589" s="9"/>
      <c r="F589" s="9"/>
    </row>
    <row r="590" spans="1:6">
      <c r="A590" s="9"/>
      <c r="B590" s="9"/>
      <c r="C590" s="9"/>
      <c r="D590" s="9"/>
      <c r="E590" s="9"/>
      <c r="F590" s="9"/>
    </row>
    <row r="591" spans="1:6">
      <c r="A591" s="9"/>
      <c r="B591" s="9"/>
      <c r="C591" s="9"/>
      <c r="D591" s="9"/>
      <c r="E591" s="9"/>
      <c r="F591" s="9"/>
    </row>
    <row r="592" spans="1:6">
      <c r="A592" s="9"/>
      <c r="B592" s="9"/>
      <c r="C592" s="9"/>
      <c r="D592" s="9"/>
      <c r="E592" s="9"/>
      <c r="F592" s="9"/>
    </row>
    <row r="593" spans="1:6">
      <c r="A593" s="9"/>
      <c r="B593" s="9"/>
      <c r="C593" s="9"/>
      <c r="D593" s="9"/>
      <c r="E593" s="9"/>
      <c r="F593" s="9"/>
    </row>
    <row r="594" spans="1:6">
      <c r="A594" s="9"/>
      <c r="B594" s="9"/>
      <c r="C594" s="9"/>
      <c r="D594" s="9"/>
      <c r="E594" s="9"/>
      <c r="F594" s="9"/>
    </row>
    <row r="595" spans="1:6">
      <c r="A595" s="9"/>
      <c r="B595" s="9"/>
      <c r="C595" s="9"/>
      <c r="D595" s="9"/>
      <c r="E595" s="9"/>
      <c r="F595" s="9"/>
    </row>
    <row r="596" spans="1:6">
      <c r="A596" s="9"/>
      <c r="B596" s="9"/>
      <c r="C596" s="9"/>
      <c r="D596" s="9"/>
      <c r="E596" s="9"/>
      <c r="F596" s="9"/>
    </row>
    <row r="597" spans="1:6">
      <c r="A597" s="9"/>
      <c r="B597" s="9"/>
      <c r="C597" s="9"/>
      <c r="D597" s="9"/>
      <c r="E597" s="9"/>
      <c r="F597" s="9"/>
    </row>
    <row r="598" spans="1:6">
      <c r="A598" s="9"/>
      <c r="B598" s="9"/>
      <c r="C598" s="9"/>
      <c r="D598" s="9"/>
      <c r="E598" s="9"/>
      <c r="F598" s="9"/>
    </row>
    <row r="599" spans="1:6">
      <c r="A599" s="9"/>
      <c r="B599" s="9"/>
      <c r="C599" s="9"/>
      <c r="D599" s="9"/>
      <c r="E599" s="9"/>
      <c r="F599" s="9"/>
    </row>
    <row r="600" spans="1:6">
      <c r="A600" s="9"/>
      <c r="B600" s="9"/>
      <c r="C600" s="9"/>
      <c r="D600" s="9"/>
      <c r="E600" s="9"/>
      <c r="F600" s="9"/>
    </row>
    <row r="601" spans="1:6">
      <c r="A601" s="9"/>
      <c r="B601" s="9"/>
      <c r="C601" s="9"/>
      <c r="D601" s="9"/>
      <c r="E601" s="9"/>
      <c r="F601" s="9"/>
    </row>
    <row r="602" spans="1:6">
      <c r="A602" s="9"/>
      <c r="B602" s="9"/>
      <c r="C602" s="9"/>
      <c r="D602" s="9"/>
      <c r="E602" s="9"/>
      <c r="F602" s="9"/>
    </row>
    <row r="603" spans="1:6">
      <c r="A603" s="9"/>
      <c r="B603" s="9"/>
      <c r="C603" s="9"/>
      <c r="D603" s="9"/>
      <c r="E603" s="9"/>
      <c r="F603" s="9"/>
    </row>
    <row r="604" spans="1:6">
      <c r="A604" s="9"/>
      <c r="B604" s="9"/>
      <c r="C604" s="9"/>
      <c r="D604" s="9"/>
      <c r="E604" s="9"/>
      <c r="F604" s="9"/>
    </row>
    <row r="605" spans="1:6">
      <c r="A605" s="9"/>
      <c r="B605" s="9"/>
      <c r="C605" s="9"/>
      <c r="D605" s="9"/>
      <c r="E605" s="9"/>
      <c r="F605" s="9"/>
    </row>
    <row r="606" spans="1:6">
      <c r="A606" s="9"/>
      <c r="B606" s="9"/>
      <c r="C606" s="9"/>
      <c r="D606" s="9"/>
      <c r="E606" s="9"/>
      <c r="F606" s="9"/>
    </row>
    <row r="607" spans="1:6">
      <c r="A607" s="9"/>
      <c r="B607" s="9"/>
      <c r="C607" s="9"/>
      <c r="D607" s="9"/>
      <c r="E607" s="9"/>
      <c r="F607" s="9"/>
    </row>
    <row r="608" spans="1:6">
      <c r="A608" s="9"/>
      <c r="B608" s="9"/>
      <c r="C608" s="9"/>
      <c r="D608" s="9"/>
      <c r="E608" s="9"/>
      <c r="F608" s="9"/>
    </row>
    <row r="609" spans="1:6">
      <c r="A609" s="9"/>
      <c r="B609" s="9"/>
      <c r="C609" s="9"/>
      <c r="D609" s="9"/>
      <c r="E609" s="9"/>
      <c r="F609" s="9"/>
    </row>
    <row r="610" spans="1:6">
      <c r="A610" s="9"/>
      <c r="B610" s="9"/>
      <c r="C610" s="9"/>
      <c r="D610" s="9"/>
      <c r="E610" s="9"/>
      <c r="F610" s="9"/>
    </row>
    <row r="611" spans="1:6">
      <c r="A611" s="9"/>
      <c r="B611" s="9"/>
      <c r="C611" s="9"/>
      <c r="D611" s="9"/>
      <c r="E611" s="9"/>
      <c r="F611" s="9"/>
    </row>
    <row r="612" spans="1:6">
      <c r="A612" s="9"/>
      <c r="B612" s="9"/>
      <c r="C612" s="9"/>
      <c r="D612" s="9"/>
      <c r="E612" s="9"/>
      <c r="F612" s="9"/>
    </row>
    <row r="613" spans="1:6">
      <c r="A613" s="9"/>
      <c r="B613" s="9"/>
      <c r="C613" s="9"/>
      <c r="D613" s="9"/>
      <c r="E613" s="9"/>
      <c r="F613" s="9"/>
    </row>
    <row r="614" spans="1:6">
      <c r="A614" s="9"/>
      <c r="B614" s="9"/>
      <c r="C614" s="9"/>
      <c r="D614" s="9"/>
      <c r="E614" s="9"/>
      <c r="F614" s="9"/>
    </row>
    <row r="615" spans="1:6">
      <c r="A615" s="9"/>
      <c r="B615" s="9"/>
      <c r="C615" s="9"/>
      <c r="D615" s="9"/>
      <c r="E615" s="9"/>
      <c r="F615" s="9"/>
    </row>
    <row r="616" spans="1:6">
      <c r="A616" s="9"/>
      <c r="B616" s="9"/>
      <c r="C616" s="9"/>
      <c r="D616" s="9"/>
      <c r="E616" s="9"/>
      <c r="F616" s="9"/>
    </row>
    <row r="617" spans="1:6">
      <c r="A617" s="9"/>
      <c r="B617" s="9"/>
      <c r="C617" s="9"/>
      <c r="D617" s="9"/>
      <c r="E617" s="9"/>
      <c r="F617" s="9"/>
    </row>
    <row r="618" spans="1:6">
      <c r="A618" s="9"/>
      <c r="B618" s="9"/>
      <c r="C618" s="9"/>
      <c r="D618" s="9"/>
      <c r="E618" s="9"/>
      <c r="F618" s="9"/>
    </row>
    <row r="619" spans="1:6">
      <c r="A619" s="9"/>
      <c r="B619" s="9"/>
      <c r="C619" s="9"/>
      <c r="D619" s="9"/>
      <c r="E619" s="9"/>
      <c r="F619" s="9"/>
    </row>
    <row r="620" spans="1:6">
      <c r="A620" s="9"/>
      <c r="B620" s="9"/>
      <c r="C620" s="9"/>
      <c r="D620" s="9"/>
      <c r="E620" s="9"/>
      <c r="F620" s="9"/>
    </row>
    <row r="621" spans="1:6">
      <c r="A621" s="9"/>
      <c r="B621" s="9"/>
      <c r="C621" s="9"/>
      <c r="D621" s="9"/>
      <c r="E621" s="9"/>
      <c r="F621" s="9"/>
    </row>
    <row r="622" spans="1:6">
      <c r="A622" s="9"/>
      <c r="B622" s="9"/>
      <c r="C622" s="9"/>
      <c r="D622" s="9"/>
      <c r="E622" s="9"/>
      <c r="F622" s="9"/>
    </row>
    <row r="623" spans="1:6">
      <c r="A623" s="9"/>
      <c r="B623" s="9"/>
      <c r="C623" s="9"/>
      <c r="D623" s="9"/>
      <c r="E623" s="9"/>
      <c r="F623" s="9"/>
    </row>
    <row r="624" spans="1:6">
      <c r="A624" s="9"/>
      <c r="B624" s="9"/>
      <c r="C624" s="9"/>
      <c r="D624" s="9"/>
      <c r="E624" s="9"/>
      <c r="F624" s="9"/>
    </row>
    <row r="625" spans="1:6">
      <c r="A625" s="9"/>
      <c r="B625" s="9"/>
      <c r="C625" s="9"/>
      <c r="D625" s="9"/>
      <c r="E625" s="9"/>
      <c r="F625" s="9"/>
    </row>
    <row r="626" spans="1:6">
      <c r="A626" s="9"/>
      <c r="B626" s="9"/>
      <c r="C626" s="9"/>
      <c r="D626" s="9"/>
      <c r="E626" s="9"/>
      <c r="F626" s="9"/>
    </row>
    <row r="627" spans="1:6">
      <c r="A627" s="9"/>
      <c r="B627" s="9"/>
      <c r="C627" s="9"/>
      <c r="D627" s="9"/>
      <c r="E627" s="9"/>
      <c r="F627" s="9"/>
    </row>
    <row r="628" spans="1:6">
      <c r="A628" s="9"/>
      <c r="B628" s="9"/>
      <c r="C628" s="9"/>
      <c r="D628" s="9"/>
      <c r="E628" s="9"/>
      <c r="F628" s="9"/>
    </row>
    <row r="629" spans="1:6">
      <c r="A629" s="9"/>
      <c r="B629" s="9"/>
      <c r="C629" s="9"/>
      <c r="D629" s="9"/>
      <c r="E629" s="9"/>
      <c r="F629" s="9"/>
    </row>
    <row r="630" spans="1:6">
      <c r="A630" s="9"/>
      <c r="B630" s="9"/>
      <c r="C630" s="9"/>
      <c r="D630" s="9"/>
      <c r="E630" s="9"/>
      <c r="F630" s="9"/>
    </row>
    <row r="631" spans="1:6">
      <c r="A631" s="9"/>
      <c r="B631" s="9"/>
      <c r="C631" s="9"/>
      <c r="D631" s="9"/>
      <c r="E631" s="9"/>
      <c r="F631" s="9"/>
    </row>
    <row r="632" spans="1:6">
      <c r="A632" s="9"/>
      <c r="B632" s="9"/>
      <c r="C632" s="9"/>
      <c r="D632" s="9"/>
      <c r="E632" s="9"/>
      <c r="F632" s="9"/>
    </row>
    <row r="633" spans="1:6">
      <c r="A633" s="9"/>
      <c r="B633" s="9"/>
      <c r="C633" s="9"/>
      <c r="D633" s="9"/>
      <c r="E633" s="9"/>
      <c r="F633" s="9"/>
    </row>
    <row r="634" spans="1:6">
      <c r="A634" s="9"/>
      <c r="B634" s="9"/>
      <c r="C634" s="9"/>
      <c r="D634" s="9"/>
      <c r="E634" s="9"/>
      <c r="F634" s="9"/>
    </row>
    <row r="635" spans="1:6">
      <c r="A635" s="9"/>
      <c r="B635" s="9"/>
      <c r="C635" s="9"/>
      <c r="D635" s="9"/>
      <c r="E635" s="9"/>
      <c r="F635" s="9"/>
    </row>
    <row r="636" spans="1:6">
      <c r="A636" s="9"/>
      <c r="B636" s="9"/>
      <c r="C636" s="9"/>
      <c r="D636" s="9"/>
      <c r="E636" s="9"/>
      <c r="F636" s="9"/>
    </row>
    <row r="637" spans="1:6">
      <c r="A637" s="9"/>
      <c r="B637" s="9"/>
      <c r="C637" s="9"/>
      <c r="D637" s="9"/>
      <c r="E637" s="9"/>
      <c r="F637" s="9"/>
    </row>
    <row r="638" spans="1:6">
      <c r="A638" s="9"/>
      <c r="B638" s="9"/>
      <c r="C638" s="9"/>
      <c r="D638" s="9"/>
      <c r="E638" s="9"/>
      <c r="F638" s="9"/>
    </row>
    <row r="639" spans="1:6">
      <c r="A639" s="9"/>
      <c r="B639" s="9"/>
      <c r="C639" s="9"/>
      <c r="D639" s="9"/>
      <c r="E639" s="9"/>
      <c r="F639" s="9"/>
    </row>
    <row r="640" spans="1:6">
      <c r="A640" s="9"/>
      <c r="B640" s="9"/>
      <c r="C640" s="9"/>
      <c r="D640" s="9"/>
      <c r="E640" s="9"/>
      <c r="F640" s="9"/>
    </row>
    <row r="641" spans="1:6">
      <c r="A641" s="9"/>
      <c r="B641" s="9"/>
      <c r="C641" s="9"/>
      <c r="D641" s="9"/>
      <c r="E641" s="9"/>
      <c r="F641" s="9"/>
    </row>
    <row r="642" spans="1:6">
      <c r="A642" s="9"/>
      <c r="B642" s="9"/>
      <c r="C642" s="9"/>
      <c r="D642" s="9"/>
      <c r="E642" s="9"/>
      <c r="F642" s="9"/>
    </row>
    <row r="643" spans="1:6">
      <c r="A643" s="9"/>
      <c r="B643" s="9"/>
      <c r="C643" s="9"/>
      <c r="D643" s="9"/>
      <c r="E643" s="9"/>
      <c r="F643" s="9"/>
    </row>
    <row r="644" spans="1:6">
      <c r="A644" s="9"/>
      <c r="B644" s="9"/>
      <c r="C644" s="9"/>
      <c r="D644" s="9"/>
      <c r="E644" s="9"/>
      <c r="F644" s="9"/>
    </row>
    <row r="645" spans="1:6">
      <c r="A645" s="9"/>
      <c r="B645" s="9"/>
      <c r="C645" s="9"/>
      <c r="D645" s="9"/>
      <c r="E645" s="9"/>
      <c r="F645" s="9"/>
    </row>
    <row r="646" spans="1:6">
      <c r="A646" s="9"/>
      <c r="B646" s="9"/>
      <c r="C646" s="9"/>
      <c r="D646" s="9"/>
      <c r="E646" s="9"/>
      <c r="F646" s="9"/>
    </row>
    <row r="647" spans="1:6">
      <c r="A647" s="9"/>
      <c r="B647" s="9"/>
      <c r="C647" s="9"/>
      <c r="D647" s="9"/>
      <c r="E647" s="9"/>
      <c r="F647" s="9"/>
    </row>
    <row r="648" spans="1:6">
      <c r="A648" s="9"/>
      <c r="B648" s="9"/>
      <c r="C648" s="9"/>
      <c r="D648" s="9"/>
      <c r="E648" s="9"/>
      <c r="F648" s="9"/>
    </row>
    <row r="649" spans="1:6">
      <c r="A649" s="9"/>
      <c r="B649" s="9"/>
      <c r="C649" s="9"/>
      <c r="D649" s="9"/>
      <c r="E649" s="9"/>
      <c r="F649" s="9"/>
    </row>
    <row r="650" spans="1:6">
      <c r="A650" s="9"/>
      <c r="B650" s="9"/>
      <c r="C650" s="9"/>
      <c r="D650" s="9"/>
      <c r="E650" s="9"/>
      <c r="F650" s="9"/>
    </row>
    <row r="651" spans="1:6">
      <c r="A651" s="9"/>
      <c r="B651" s="9"/>
      <c r="C651" s="9"/>
      <c r="D651" s="9"/>
      <c r="E651" s="9"/>
      <c r="F651" s="9"/>
    </row>
    <row r="652" spans="1:6">
      <c r="A652" s="9"/>
      <c r="B652" s="9"/>
      <c r="C652" s="9"/>
      <c r="D652" s="9"/>
      <c r="E652" s="9"/>
      <c r="F652" s="9"/>
    </row>
    <row r="653" spans="1:6">
      <c r="A653" s="9"/>
      <c r="B653" s="9"/>
      <c r="C653" s="9"/>
      <c r="D653" s="9"/>
      <c r="E653" s="9"/>
      <c r="F653" s="9"/>
    </row>
    <row r="654" spans="1:6">
      <c r="A654" s="9"/>
      <c r="B654" s="9"/>
      <c r="C654" s="9"/>
      <c r="D654" s="9"/>
      <c r="E654" s="9"/>
      <c r="F654" s="9"/>
    </row>
    <row r="655" spans="1:6">
      <c r="A655" s="9"/>
      <c r="B655" s="9"/>
      <c r="C655" s="9"/>
      <c r="D655" s="9"/>
      <c r="E655" s="9"/>
      <c r="F655" s="9"/>
    </row>
    <row r="656" spans="1:6">
      <c r="A656" s="9"/>
      <c r="B656" s="9"/>
      <c r="C656" s="9"/>
      <c r="D656" s="9"/>
      <c r="E656" s="9"/>
      <c r="F656" s="9"/>
    </row>
    <row r="657" spans="1:6">
      <c r="A657" s="9"/>
      <c r="B657" s="9"/>
      <c r="C657" s="9"/>
      <c r="D657" s="9"/>
      <c r="E657" s="9"/>
      <c r="F657" s="9"/>
    </row>
    <row r="658" spans="1:6">
      <c r="A658" s="9"/>
      <c r="B658" s="9"/>
      <c r="C658" s="9"/>
      <c r="D658" s="9"/>
      <c r="E658" s="9"/>
      <c r="F658" s="9"/>
    </row>
    <row r="659" spans="1:6">
      <c r="A659" s="9"/>
      <c r="B659" s="9"/>
      <c r="C659" s="9"/>
      <c r="D659" s="9"/>
      <c r="E659" s="9"/>
      <c r="F659" s="9"/>
    </row>
    <row r="660" spans="1:6">
      <c r="A660" s="9"/>
      <c r="B660" s="9"/>
      <c r="C660" s="9"/>
      <c r="D660" s="9"/>
      <c r="E660" s="9"/>
      <c r="F660" s="9"/>
    </row>
    <row r="661" spans="1:6">
      <c r="A661" s="9"/>
      <c r="B661" s="9"/>
      <c r="C661" s="9"/>
      <c r="D661" s="9"/>
      <c r="E661" s="9"/>
      <c r="F661" s="9"/>
    </row>
    <row r="662" spans="1:6">
      <c r="A662" s="9"/>
      <c r="B662" s="9"/>
      <c r="C662" s="9"/>
      <c r="D662" s="9"/>
      <c r="E662" s="9"/>
      <c r="F662" s="9"/>
    </row>
    <row r="663" spans="1:6">
      <c r="A663" s="9"/>
      <c r="B663" s="9"/>
      <c r="C663" s="9"/>
      <c r="D663" s="9"/>
      <c r="E663" s="9"/>
      <c r="F663" s="9"/>
    </row>
    <row r="664" spans="1:6">
      <c r="A664" s="9"/>
      <c r="B664" s="9"/>
      <c r="C664" s="9"/>
      <c r="D664" s="9"/>
      <c r="E664" s="9"/>
      <c r="F664" s="9"/>
    </row>
    <row r="665" spans="1:6">
      <c r="A665" s="9"/>
      <c r="B665" s="9"/>
      <c r="C665" s="9"/>
      <c r="D665" s="9"/>
      <c r="E665" s="9"/>
      <c r="F665" s="9"/>
    </row>
    <row r="666" spans="1:6">
      <c r="A666" s="9"/>
      <c r="B666" s="9"/>
      <c r="C666" s="9"/>
      <c r="D666" s="9"/>
      <c r="E666" s="9"/>
      <c r="F666" s="9"/>
    </row>
    <row r="667" spans="1:6">
      <c r="A667" s="9"/>
      <c r="B667" s="9"/>
      <c r="C667" s="9"/>
      <c r="D667" s="9"/>
      <c r="E667" s="9"/>
      <c r="F667" s="9"/>
    </row>
    <row r="668" spans="1:6">
      <c r="A668" s="9"/>
      <c r="B668" s="9"/>
      <c r="C668" s="9"/>
      <c r="D668" s="9"/>
      <c r="E668" s="9"/>
      <c r="F668" s="9"/>
    </row>
    <row r="669" spans="1:6">
      <c r="A669" s="9"/>
      <c r="B669" s="9"/>
      <c r="C669" s="9"/>
      <c r="D669" s="9"/>
      <c r="E669" s="9"/>
      <c r="F669" s="9"/>
    </row>
    <row r="670" spans="1:6">
      <c r="A670" s="9"/>
      <c r="B670" s="9"/>
      <c r="C670" s="9"/>
      <c r="D670" s="9"/>
      <c r="E670" s="9"/>
      <c r="F670" s="9"/>
    </row>
    <row r="671" spans="1:6">
      <c r="A671" s="9"/>
      <c r="B671" s="9"/>
      <c r="C671" s="9"/>
      <c r="D671" s="9"/>
      <c r="E671" s="9"/>
      <c r="F671" s="9"/>
    </row>
    <row r="672" spans="1:6">
      <c r="A672" s="9"/>
      <c r="B672" s="9"/>
      <c r="C672" s="9"/>
      <c r="D672" s="9"/>
      <c r="E672" s="9"/>
      <c r="F672" s="9"/>
    </row>
    <row r="673" spans="1:6">
      <c r="A673" s="9"/>
      <c r="B673" s="9"/>
      <c r="C673" s="9"/>
      <c r="D673" s="9"/>
      <c r="E673" s="9"/>
      <c r="F673" s="9"/>
    </row>
    <row r="674" spans="1:6">
      <c r="A674" s="9"/>
      <c r="B674" s="9"/>
      <c r="C674" s="9"/>
      <c r="D674" s="9"/>
      <c r="E674" s="9"/>
      <c r="F674" s="9"/>
    </row>
    <row r="675" spans="1:6">
      <c r="A675" s="9"/>
      <c r="B675" s="9"/>
      <c r="C675" s="9"/>
      <c r="D675" s="9"/>
      <c r="E675" s="9"/>
      <c r="F675" s="9"/>
    </row>
    <row r="676" spans="1:6">
      <c r="A676" s="9"/>
      <c r="B676" s="9"/>
      <c r="C676" s="9"/>
      <c r="D676" s="9"/>
      <c r="E676" s="9"/>
      <c r="F676" s="9"/>
    </row>
    <row r="677" spans="1:6">
      <c r="A677" s="9"/>
      <c r="B677" s="9"/>
      <c r="C677" s="9"/>
      <c r="D677" s="9"/>
      <c r="E677" s="9"/>
      <c r="F677" s="9"/>
    </row>
    <row r="678" spans="1:6">
      <c r="A678" s="9"/>
      <c r="B678" s="9"/>
      <c r="C678" s="9"/>
      <c r="D678" s="9"/>
      <c r="E678" s="9"/>
      <c r="F678" s="9"/>
    </row>
    <row r="679" spans="1:6">
      <c r="A679" s="9"/>
      <c r="B679" s="9"/>
      <c r="C679" s="9"/>
      <c r="D679" s="9"/>
      <c r="E679" s="9"/>
      <c r="F679" s="9"/>
    </row>
    <row r="680" spans="1:6">
      <c r="A680" s="9"/>
      <c r="B680" s="9"/>
      <c r="C680" s="9"/>
      <c r="D680" s="9"/>
      <c r="E680" s="9"/>
      <c r="F680" s="9"/>
    </row>
    <row r="681" spans="1:6">
      <c r="A681" s="9"/>
      <c r="B681" s="9"/>
      <c r="C681" s="9"/>
      <c r="D681" s="9"/>
      <c r="E681" s="9"/>
      <c r="F681" s="9"/>
    </row>
    <row r="682" spans="1:6">
      <c r="A682" s="9"/>
      <c r="B682" s="9"/>
      <c r="C682" s="9"/>
      <c r="D682" s="9"/>
      <c r="E682" s="9"/>
      <c r="F682" s="9"/>
    </row>
    <row r="683" spans="1:6">
      <c r="A683" s="9"/>
      <c r="B683" s="9"/>
      <c r="C683" s="9"/>
      <c r="D683" s="9"/>
      <c r="E683" s="9"/>
      <c r="F683" s="9"/>
    </row>
    <row r="684" spans="1:6">
      <c r="A684" s="9"/>
      <c r="B684" s="9"/>
      <c r="C684" s="9"/>
      <c r="D684" s="9"/>
      <c r="E684" s="9"/>
      <c r="F684" s="9"/>
    </row>
    <row r="685" spans="1:6">
      <c r="A685" s="9"/>
      <c r="B685" s="9"/>
      <c r="C685" s="9"/>
      <c r="D685" s="9"/>
      <c r="E685" s="9"/>
      <c r="F685" s="9"/>
    </row>
    <row r="686" spans="1:6">
      <c r="A686" s="9"/>
      <c r="B686" s="9"/>
      <c r="C686" s="9"/>
      <c r="D686" s="9"/>
      <c r="E686" s="9"/>
      <c r="F686" s="9"/>
    </row>
    <row r="687" spans="1:6">
      <c r="A687" s="9"/>
      <c r="B687" s="9"/>
      <c r="C687" s="9"/>
      <c r="D687" s="9"/>
      <c r="E687" s="9"/>
      <c r="F687" s="9"/>
    </row>
    <row r="688" spans="1:6">
      <c r="A688" s="9"/>
      <c r="B688" s="9"/>
      <c r="C688" s="9"/>
      <c r="D688" s="9"/>
      <c r="E688" s="9"/>
      <c r="F688" s="9"/>
    </row>
    <row r="689" spans="1:6">
      <c r="A689" s="9"/>
      <c r="B689" s="9"/>
      <c r="C689" s="9"/>
      <c r="D689" s="9"/>
      <c r="E689" s="9"/>
      <c r="F689" s="9"/>
    </row>
    <row r="690" spans="1:6">
      <c r="A690" s="9"/>
      <c r="B690" s="9"/>
      <c r="C690" s="9"/>
      <c r="D690" s="9"/>
      <c r="E690" s="9"/>
      <c r="F690" s="9"/>
    </row>
    <row r="691" spans="1:6">
      <c r="A691" s="9"/>
      <c r="B691" s="9"/>
      <c r="C691" s="9"/>
      <c r="D691" s="9"/>
      <c r="E691" s="9"/>
      <c r="F691" s="9"/>
    </row>
    <row r="692" spans="1:6">
      <c r="A692" s="9"/>
      <c r="B692" s="9"/>
      <c r="C692" s="9"/>
      <c r="D692" s="9"/>
      <c r="E692" s="9"/>
      <c r="F692" s="9"/>
    </row>
    <row r="693" spans="1:6">
      <c r="A693" s="9"/>
      <c r="B693" s="9"/>
      <c r="C693" s="9"/>
      <c r="D693" s="9"/>
      <c r="E693" s="9"/>
      <c r="F693" s="9"/>
    </row>
    <row r="694" spans="1:6">
      <c r="A694" s="9"/>
      <c r="B694" s="9"/>
      <c r="C694" s="9"/>
      <c r="D694" s="9"/>
      <c r="E694" s="9"/>
      <c r="F694" s="9"/>
    </row>
    <row r="695" spans="1:6">
      <c r="A695" s="9"/>
      <c r="B695" s="9"/>
      <c r="C695" s="9"/>
      <c r="D695" s="9"/>
      <c r="E695" s="9"/>
      <c r="F695" s="9"/>
    </row>
    <row r="696" spans="1:6">
      <c r="A696" s="9"/>
      <c r="B696" s="9"/>
      <c r="C696" s="9"/>
      <c r="D696" s="9"/>
      <c r="E696" s="9"/>
      <c r="F696" s="9"/>
    </row>
    <row r="697" spans="1:6">
      <c r="A697" s="9"/>
      <c r="B697" s="9"/>
      <c r="C697" s="9"/>
      <c r="D697" s="9"/>
      <c r="E697" s="9"/>
      <c r="F697" s="9"/>
    </row>
    <row r="698" spans="1:6">
      <c r="A698" s="9"/>
      <c r="B698" s="9"/>
      <c r="C698" s="9"/>
      <c r="D698" s="9"/>
      <c r="E698" s="9"/>
      <c r="F698" s="9"/>
    </row>
    <row r="699" spans="1:6">
      <c r="A699" s="9"/>
      <c r="B699" s="9"/>
      <c r="C699" s="9"/>
      <c r="D699" s="9"/>
      <c r="E699" s="9"/>
      <c r="F699" s="9"/>
    </row>
    <row r="700" spans="1:6">
      <c r="A700" s="9"/>
      <c r="B700" s="9"/>
      <c r="C700" s="9"/>
      <c r="D700" s="9"/>
      <c r="E700" s="9"/>
      <c r="F700" s="9"/>
    </row>
    <row r="701" spans="1:6">
      <c r="A701" s="9"/>
      <c r="B701" s="9"/>
      <c r="C701" s="9"/>
      <c r="D701" s="9"/>
      <c r="E701" s="9"/>
      <c r="F701" s="9"/>
    </row>
    <row r="702" spans="1:6">
      <c r="A702" s="9"/>
      <c r="B702" s="9"/>
      <c r="C702" s="9"/>
      <c r="D702" s="9"/>
      <c r="E702" s="9"/>
      <c r="F702" s="9"/>
    </row>
    <row r="703" spans="1:6">
      <c r="A703" s="9"/>
      <c r="B703" s="9"/>
      <c r="C703" s="9"/>
      <c r="D703" s="9"/>
      <c r="E703" s="9"/>
      <c r="F703" s="9"/>
    </row>
    <row r="704" spans="1:6">
      <c r="A704" s="9"/>
      <c r="B704" s="9"/>
      <c r="C704" s="9"/>
      <c r="D704" s="9"/>
      <c r="E704" s="9"/>
      <c r="F704" s="9"/>
    </row>
    <row r="705" spans="1:6">
      <c r="A705" s="9"/>
      <c r="B705" s="9"/>
      <c r="C705" s="9"/>
      <c r="D705" s="9"/>
      <c r="E705" s="9"/>
      <c r="F705" s="9"/>
    </row>
    <row r="706" spans="1:6">
      <c r="A706" s="9"/>
      <c r="B706" s="9"/>
      <c r="C706" s="9"/>
      <c r="D706" s="9"/>
      <c r="E706" s="9"/>
      <c r="F706" s="9"/>
    </row>
    <row r="707" spans="1:6">
      <c r="A707" s="9"/>
      <c r="B707" s="9"/>
      <c r="C707" s="9"/>
      <c r="D707" s="9"/>
      <c r="E707" s="9"/>
      <c r="F707" s="9"/>
    </row>
    <row r="708" spans="1:6">
      <c r="A708" s="9"/>
      <c r="B708" s="9"/>
      <c r="C708" s="9"/>
      <c r="D708" s="9"/>
      <c r="E708" s="9"/>
      <c r="F708" s="9"/>
    </row>
    <row r="709" spans="1:6">
      <c r="A709" s="9"/>
      <c r="B709" s="9"/>
      <c r="C709" s="9"/>
      <c r="D709" s="9"/>
      <c r="E709" s="9"/>
      <c r="F709" s="9"/>
    </row>
    <row r="710" spans="1:6">
      <c r="A710" s="9"/>
      <c r="B710" s="9"/>
      <c r="C710" s="9"/>
      <c r="D710" s="9"/>
      <c r="E710" s="9"/>
      <c r="F710" s="9"/>
    </row>
    <row r="711" spans="1:6">
      <c r="A711" s="9"/>
      <c r="B711" s="9"/>
      <c r="C711" s="9"/>
      <c r="D711" s="9"/>
      <c r="E711" s="9"/>
      <c r="F711" s="9"/>
    </row>
    <row r="712" spans="1:6">
      <c r="A712" s="9"/>
      <c r="B712" s="9"/>
      <c r="C712" s="9"/>
      <c r="D712" s="9"/>
      <c r="E712" s="9"/>
      <c r="F712" s="9"/>
    </row>
    <row r="713" spans="1:6">
      <c r="A713" s="9"/>
      <c r="B713" s="9"/>
      <c r="C713" s="9"/>
      <c r="D713" s="9"/>
      <c r="E713" s="9"/>
      <c r="F713" s="9"/>
    </row>
    <row r="714" spans="1:6">
      <c r="A714" s="9"/>
      <c r="B714" s="9"/>
      <c r="C714" s="9"/>
      <c r="D714" s="9"/>
      <c r="E714" s="9"/>
      <c r="F714" s="9"/>
    </row>
    <row r="715" spans="1:6">
      <c r="A715" s="9"/>
      <c r="B715" s="9"/>
      <c r="C715" s="9"/>
      <c r="D715" s="9"/>
      <c r="E715" s="9"/>
      <c r="F715" s="9"/>
    </row>
    <row r="716" spans="1:6">
      <c r="A716" s="9"/>
      <c r="B716" s="9"/>
      <c r="C716" s="9"/>
      <c r="D716" s="9"/>
      <c r="E716" s="9"/>
      <c r="F716" s="9"/>
    </row>
    <row r="717" spans="1:6">
      <c r="A717" s="9"/>
      <c r="B717" s="9"/>
      <c r="C717" s="9"/>
      <c r="D717" s="9"/>
      <c r="E717" s="9"/>
      <c r="F717" s="9"/>
    </row>
    <row r="718" spans="1:6">
      <c r="A718" s="9"/>
      <c r="B718" s="9"/>
      <c r="C718" s="9"/>
      <c r="D718" s="9"/>
      <c r="E718" s="9"/>
      <c r="F718" s="9"/>
    </row>
    <row r="719" spans="1:6">
      <c r="A719" s="9"/>
      <c r="B719" s="9"/>
      <c r="C719" s="9"/>
      <c r="D719" s="9"/>
      <c r="E719" s="9"/>
      <c r="F719" s="9"/>
    </row>
    <row r="720" spans="1:6">
      <c r="A720" s="9"/>
      <c r="B720" s="9"/>
      <c r="C720" s="9"/>
      <c r="D720" s="9"/>
      <c r="E720" s="9"/>
      <c r="F720" s="9"/>
    </row>
    <row r="721" spans="1:6">
      <c r="A721" s="9"/>
      <c r="B721" s="9"/>
      <c r="C721" s="9"/>
      <c r="D721" s="9"/>
      <c r="E721" s="9"/>
      <c r="F721" s="9"/>
    </row>
    <row r="722" spans="1:6">
      <c r="A722" s="9"/>
      <c r="B722" s="9"/>
      <c r="C722" s="9"/>
      <c r="D722" s="9"/>
      <c r="E722" s="9"/>
      <c r="F722" s="9"/>
    </row>
    <row r="723" spans="1:6">
      <c r="A723" s="9"/>
      <c r="B723" s="9"/>
      <c r="C723" s="9"/>
      <c r="D723" s="9"/>
      <c r="E723" s="9"/>
      <c r="F723" s="9"/>
    </row>
    <row r="724" spans="1:6">
      <c r="A724" s="9"/>
      <c r="B724" s="9"/>
      <c r="C724" s="9"/>
      <c r="D724" s="9"/>
      <c r="E724" s="9"/>
      <c r="F724" s="9"/>
    </row>
    <row r="725" spans="1:6">
      <c r="A725" s="9"/>
      <c r="B725" s="9"/>
      <c r="C725" s="9"/>
      <c r="D725" s="9"/>
      <c r="E725" s="9"/>
      <c r="F725" s="9"/>
    </row>
    <row r="726" spans="1:6">
      <c r="A726" s="9"/>
      <c r="B726" s="9"/>
      <c r="C726" s="9"/>
      <c r="D726" s="9"/>
      <c r="E726" s="9"/>
      <c r="F726" s="9"/>
    </row>
    <row r="727" spans="1:6">
      <c r="A727" s="9"/>
      <c r="B727" s="9"/>
      <c r="C727" s="9"/>
      <c r="D727" s="9"/>
      <c r="E727" s="9"/>
      <c r="F727" s="9"/>
    </row>
    <row r="728" spans="1:6">
      <c r="A728" s="9"/>
      <c r="B728" s="9"/>
      <c r="C728" s="9"/>
      <c r="D728" s="9"/>
      <c r="E728" s="9"/>
      <c r="F728" s="9"/>
    </row>
    <row r="729" spans="1:6">
      <c r="A729" s="9"/>
      <c r="B729" s="9"/>
      <c r="C729" s="9"/>
      <c r="D729" s="9"/>
      <c r="E729" s="9"/>
      <c r="F729" s="9"/>
    </row>
    <row r="730" spans="1:6">
      <c r="A730" s="9"/>
      <c r="B730" s="9"/>
      <c r="C730" s="9"/>
      <c r="D730" s="9"/>
      <c r="E730" s="9"/>
      <c r="F730" s="9"/>
    </row>
    <row r="731" spans="1:6">
      <c r="A731" s="9"/>
      <c r="B731" s="9"/>
      <c r="C731" s="9"/>
      <c r="D731" s="9"/>
      <c r="E731" s="9"/>
      <c r="F731" s="9"/>
    </row>
    <row r="732" spans="1:6">
      <c r="A732" s="9"/>
      <c r="B732" s="9"/>
      <c r="C732" s="9"/>
      <c r="D732" s="9"/>
      <c r="E732" s="9"/>
      <c r="F732" s="9"/>
    </row>
    <row r="733" spans="1:6">
      <c r="A733" s="9"/>
      <c r="B733" s="9"/>
      <c r="C733" s="9"/>
      <c r="D733" s="9"/>
      <c r="E733" s="9"/>
      <c r="F733" s="9"/>
    </row>
    <row r="734" spans="1:6">
      <c r="A734" s="9"/>
      <c r="B734" s="9"/>
      <c r="C734" s="9"/>
      <c r="D734" s="9"/>
      <c r="E734" s="9"/>
      <c r="F734" s="9"/>
    </row>
    <row r="735" spans="1:6">
      <c r="A735" s="9"/>
      <c r="B735" s="9"/>
      <c r="C735" s="9"/>
      <c r="D735" s="9"/>
      <c r="E735" s="9"/>
      <c r="F735" s="9"/>
    </row>
    <row r="736" spans="1:6">
      <c r="A736" s="9"/>
      <c r="B736" s="9"/>
      <c r="C736" s="9"/>
      <c r="D736" s="9"/>
      <c r="E736" s="9"/>
      <c r="F736" s="9"/>
    </row>
    <row r="737" spans="1:6">
      <c r="A737" s="9"/>
      <c r="B737" s="9"/>
      <c r="C737" s="9"/>
      <c r="D737" s="9"/>
      <c r="E737" s="9"/>
      <c r="F737" s="9"/>
    </row>
    <row r="738" spans="1:6">
      <c r="A738" s="9"/>
      <c r="B738" s="9"/>
      <c r="C738" s="9"/>
      <c r="D738" s="9"/>
      <c r="E738" s="9"/>
      <c r="F738" s="9"/>
    </row>
    <row r="739" spans="1:6">
      <c r="A739" s="9"/>
      <c r="B739" s="9"/>
      <c r="C739" s="9"/>
      <c r="D739" s="9"/>
      <c r="E739" s="9"/>
      <c r="F739" s="9"/>
    </row>
    <row r="740" spans="1:6">
      <c r="A740" s="9"/>
      <c r="B740" s="9"/>
      <c r="C740" s="9"/>
      <c r="D740" s="9"/>
      <c r="E740" s="9"/>
      <c r="F740" s="9"/>
    </row>
    <row r="741" spans="1:6">
      <c r="A741" s="9"/>
      <c r="B741" s="9"/>
      <c r="C741" s="9"/>
      <c r="D741" s="9"/>
      <c r="E741" s="9"/>
      <c r="F741" s="9"/>
    </row>
    <row r="742" spans="1:6">
      <c r="A742" s="9"/>
      <c r="B742" s="9"/>
      <c r="C742" s="9"/>
      <c r="D742" s="9"/>
      <c r="E742" s="9"/>
      <c r="F742" s="9"/>
    </row>
    <row r="743" spans="1:6">
      <c r="A743" s="9"/>
      <c r="B743" s="9"/>
      <c r="C743" s="9"/>
      <c r="D743" s="9"/>
      <c r="E743" s="9"/>
      <c r="F743" s="9"/>
    </row>
    <row r="744" spans="1:6">
      <c r="A744" s="9"/>
      <c r="B744" s="9"/>
      <c r="C744" s="9"/>
      <c r="D744" s="9"/>
      <c r="E744" s="9"/>
      <c r="F744" s="9"/>
    </row>
    <row r="745" spans="1:6">
      <c r="A745" s="9"/>
      <c r="B745" s="9"/>
      <c r="C745" s="9"/>
      <c r="D745" s="9"/>
      <c r="E745" s="9"/>
      <c r="F745" s="9"/>
    </row>
    <row r="746" spans="1:6">
      <c r="A746" s="9"/>
      <c r="B746" s="9"/>
      <c r="C746" s="9"/>
      <c r="D746" s="9"/>
      <c r="E746" s="9"/>
      <c r="F746" s="9"/>
    </row>
    <row r="747" spans="1:6">
      <c r="A747" s="9"/>
      <c r="B747" s="9"/>
      <c r="C747" s="9"/>
      <c r="D747" s="9"/>
      <c r="E747" s="9"/>
      <c r="F747" s="9"/>
    </row>
    <row r="748" spans="1:6">
      <c r="A748" s="9"/>
      <c r="B748" s="9"/>
      <c r="C748" s="9"/>
      <c r="D748" s="9"/>
      <c r="E748" s="9"/>
      <c r="F748" s="9"/>
    </row>
    <row r="749" spans="1:6">
      <c r="A749" s="9"/>
      <c r="B749" s="9"/>
      <c r="C749" s="9"/>
      <c r="D749" s="9"/>
      <c r="E749" s="9"/>
      <c r="F749" s="9"/>
    </row>
    <row r="750" spans="1:6">
      <c r="A750" s="9"/>
      <c r="B750" s="9"/>
      <c r="C750" s="9"/>
      <c r="D750" s="9"/>
      <c r="E750" s="9"/>
      <c r="F750" s="9"/>
    </row>
    <row r="751" spans="1:6">
      <c r="A751" s="9"/>
      <c r="B751" s="9"/>
      <c r="C751" s="9"/>
      <c r="D751" s="9"/>
      <c r="E751" s="9"/>
      <c r="F751" s="9"/>
    </row>
    <row r="752" spans="1:6">
      <c r="A752" s="9"/>
      <c r="B752" s="9"/>
      <c r="C752" s="9"/>
      <c r="D752" s="9"/>
      <c r="E752" s="9"/>
      <c r="F752" s="9"/>
    </row>
    <row r="753" spans="1:6">
      <c r="A753" s="9"/>
      <c r="B753" s="9"/>
      <c r="C753" s="9"/>
      <c r="D753" s="9"/>
      <c r="E753" s="9"/>
      <c r="F753" s="9"/>
    </row>
    <row r="754" spans="1:6">
      <c r="A754" s="9"/>
      <c r="B754" s="9"/>
      <c r="C754" s="9"/>
      <c r="D754" s="9"/>
      <c r="E754" s="9"/>
      <c r="F754" s="9"/>
    </row>
    <row r="755" spans="1:6">
      <c r="A755" s="9"/>
      <c r="B755" s="9"/>
      <c r="C755" s="9"/>
      <c r="D755" s="9"/>
      <c r="E755" s="9"/>
      <c r="F755" s="9"/>
    </row>
    <row r="756" spans="1:6">
      <c r="A756" s="9"/>
      <c r="B756" s="9"/>
      <c r="C756" s="9"/>
      <c r="D756" s="9"/>
      <c r="E756" s="9"/>
      <c r="F756" s="9"/>
    </row>
    <row r="757" spans="1:6">
      <c r="A757" s="9"/>
      <c r="B757" s="9"/>
      <c r="C757" s="9"/>
      <c r="D757" s="9"/>
      <c r="E757" s="9"/>
      <c r="F757" s="9"/>
    </row>
    <row r="758" spans="1:6">
      <c r="A758" s="9"/>
      <c r="B758" s="9"/>
      <c r="C758" s="9"/>
      <c r="D758" s="9"/>
      <c r="E758" s="9"/>
      <c r="F758" s="9"/>
    </row>
    <row r="759" spans="1:6">
      <c r="A759" s="9"/>
      <c r="B759" s="9"/>
      <c r="C759" s="9"/>
      <c r="D759" s="9"/>
      <c r="E759" s="9"/>
      <c r="F759" s="9"/>
    </row>
    <row r="760" spans="1:6">
      <c r="A760" s="9"/>
      <c r="B760" s="9"/>
      <c r="C760" s="9"/>
      <c r="D760" s="9"/>
      <c r="E760" s="9"/>
      <c r="F760" s="9"/>
    </row>
    <row r="761" spans="1:6">
      <c r="A761" s="9"/>
      <c r="B761" s="9"/>
      <c r="C761" s="9"/>
      <c r="D761" s="9"/>
      <c r="E761" s="9"/>
      <c r="F761" s="9"/>
    </row>
    <row r="762" spans="1:6">
      <c r="A762" s="9"/>
      <c r="B762" s="9"/>
      <c r="C762" s="9"/>
      <c r="D762" s="9"/>
      <c r="E762" s="9"/>
      <c r="F762" s="9"/>
    </row>
    <row r="763" spans="1:6">
      <c r="A763" s="9"/>
      <c r="B763" s="9"/>
      <c r="C763" s="9"/>
      <c r="D763" s="9"/>
      <c r="E763" s="9"/>
      <c r="F763" s="9"/>
    </row>
    <row r="764" spans="1:6">
      <c r="A764" s="9"/>
      <c r="B764" s="9"/>
      <c r="C764" s="9"/>
      <c r="D764" s="9"/>
      <c r="E764" s="9"/>
      <c r="F764" s="9"/>
    </row>
    <row r="765" spans="1:6">
      <c r="A765" s="9"/>
      <c r="B765" s="9"/>
      <c r="C765" s="9"/>
      <c r="D765" s="9"/>
      <c r="E765" s="9"/>
      <c r="F765" s="9"/>
    </row>
    <row r="766" spans="1:6">
      <c r="A766" s="9"/>
      <c r="B766" s="9"/>
      <c r="C766" s="9"/>
      <c r="D766" s="9"/>
      <c r="E766" s="9"/>
      <c r="F766" s="9"/>
    </row>
    <row r="767" spans="1:6">
      <c r="A767" s="9"/>
      <c r="B767" s="9"/>
      <c r="C767" s="9"/>
      <c r="D767" s="9"/>
      <c r="E767" s="9"/>
      <c r="F767" s="9"/>
    </row>
    <row r="768" spans="1:6">
      <c r="A768" s="9"/>
      <c r="B768" s="9"/>
      <c r="C768" s="9"/>
      <c r="D768" s="9"/>
      <c r="E768" s="9"/>
      <c r="F768" s="9"/>
    </row>
    <row r="769" spans="1:6">
      <c r="A769" s="9"/>
      <c r="B769" s="9"/>
      <c r="C769" s="9"/>
      <c r="D769" s="9"/>
      <c r="E769" s="9"/>
      <c r="F769" s="9"/>
    </row>
    <row r="770" spans="1:6">
      <c r="A770" s="9"/>
      <c r="B770" s="9"/>
      <c r="C770" s="9"/>
      <c r="D770" s="9"/>
      <c r="E770" s="9"/>
      <c r="F770" s="9"/>
    </row>
    <row r="771" spans="1:6">
      <c r="A771" s="9"/>
      <c r="B771" s="9"/>
      <c r="C771" s="9"/>
      <c r="D771" s="9"/>
      <c r="E771" s="9"/>
      <c r="F771" s="9"/>
    </row>
    <row r="772" spans="1:6">
      <c r="A772" s="9"/>
      <c r="B772" s="9"/>
      <c r="C772" s="9"/>
      <c r="D772" s="9"/>
      <c r="E772" s="9"/>
      <c r="F772" s="9"/>
    </row>
    <row r="773" spans="1:6">
      <c r="A773" s="9"/>
      <c r="B773" s="9"/>
      <c r="C773" s="9"/>
      <c r="D773" s="9"/>
      <c r="E773" s="9"/>
      <c r="F773" s="9"/>
    </row>
    <row r="774" spans="1:6">
      <c r="A774" s="9"/>
      <c r="B774" s="9"/>
      <c r="C774" s="9"/>
      <c r="D774" s="9"/>
      <c r="E774" s="9"/>
      <c r="F774" s="9"/>
    </row>
    <row r="775" spans="1:6">
      <c r="A775" s="9"/>
      <c r="B775" s="9"/>
      <c r="C775" s="9"/>
      <c r="D775" s="9"/>
      <c r="E775" s="9"/>
      <c r="F775" s="9"/>
    </row>
    <row r="776" spans="1:6">
      <c r="A776" s="9"/>
      <c r="B776" s="9"/>
      <c r="C776" s="9"/>
      <c r="D776" s="9"/>
      <c r="E776" s="9"/>
      <c r="F776" s="9"/>
    </row>
    <row r="777" spans="1:6">
      <c r="A777" s="9"/>
      <c r="B777" s="9"/>
      <c r="C777" s="9"/>
      <c r="D777" s="9"/>
      <c r="E777" s="9"/>
      <c r="F777" s="9"/>
    </row>
    <row r="778" spans="1:6">
      <c r="A778" s="9"/>
      <c r="B778" s="9"/>
      <c r="C778" s="9"/>
      <c r="D778" s="9"/>
      <c r="E778" s="9"/>
      <c r="F778" s="9"/>
    </row>
    <row r="779" spans="1:6">
      <c r="A779" s="9"/>
      <c r="B779" s="9"/>
      <c r="C779" s="9"/>
      <c r="D779" s="9"/>
      <c r="E779" s="9"/>
      <c r="F779" s="9"/>
    </row>
    <row r="780" spans="1:6">
      <c r="A780" s="9"/>
      <c r="B780" s="9"/>
      <c r="C780" s="9"/>
      <c r="D780" s="9"/>
      <c r="E780" s="9"/>
      <c r="F780" s="9"/>
    </row>
    <row r="781" spans="1:6">
      <c r="A781" s="9"/>
      <c r="B781" s="9"/>
      <c r="C781" s="9"/>
      <c r="D781" s="9"/>
      <c r="E781" s="9"/>
      <c r="F781" s="9"/>
    </row>
    <row r="782" spans="1:6">
      <c r="A782" s="9"/>
      <c r="B782" s="9"/>
      <c r="C782" s="9"/>
      <c r="D782" s="9"/>
      <c r="E782" s="9"/>
      <c r="F782" s="9"/>
    </row>
    <row r="783" spans="1:6">
      <c r="A783" s="9"/>
      <c r="B783" s="9"/>
      <c r="C783" s="9"/>
      <c r="D783" s="9"/>
      <c r="E783" s="9"/>
      <c r="F783" s="9"/>
    </row>
    <row r="784" spans="1:6">
      <c r="A784" s="9"/>
      <c r="B784" s="9"/>
      <c r="C784" s="9"/>
      <c r="D784" s="9"/>
      <c r="E784" s="9"/>
      <c r="F784" s="9"/>
    </row>
    <row r="785" spans="1:6">
      <c r="A785" s="9"/>
      <c r="B785" s="9"/>
      <c r="C785" s="9"/>
      <c r="D785" s="9"/>
      <c r="E785" s="9"/>
      <c r="F785" s="9"/>
    </row>
    <row r="786" spans="1:6">
      <c r="A786" s="9"/>
      <c r="B786" s="9"/>
      <c r="C786" s="9"/>
      <c r="D786" s="9"/>
      <c r="E786" s="9"/>
      <c r="F786" s="9"/>
    </row>
    <row r="787" spans="1:6">
      <c r="A787" s="9"/>
      <c r="B787" s="9"/>
      <c r="C787" s="9"/>
      <c r="D787" s="9"/>
      <c r="E787" s="9"/>
      <c r="F787" s="9"/>
    </row>
    <row r="788" spans="1:6">
      <c r="A788" s="9"/>
      <c r="B788" s="9"/>
      <c r="C788" s="9"/>
      <c r="D788" s="9"/>
      <c r="E788" s="9"/>
      <c r="F788" s="9"/>
    </row>
    <row r="789" spans="1:6">
      <c r="A789" s="9"/>
      <c r="B789" s="9"/>
      <c r="C789" s="9"/>
      <c r="D789" s="9"/>
      <c r="E789" s="9"/>
      <c r="F789" s="9"/>
    </row>
    <row r="790" spans="1:6">
      <c r="A790" s="9"/>
      <c r="B790" s="9"/>
      <c r="C790" s="9"/>
      <c r="D790" s="9"/>
      <c r="E790" s="9"/>
      <c r="F790" s="9"/>
    </row>
    <row r="791" spans="1:6">
      <c r="A791" s="9"/>
      <c r="B791" s="9"/>
      <c r="C791" s="9"/>
      <c r="D791" s="9"/>
      <c r="E791" s="9"/>
      <c r="F791" s="9"/>
    </row>
    <row r="792" spans="1:6">
      <c r="A792" s="9"/>
      <c r="B792" s="9"/>
      <c r="C792" s="9"/>
      <c r="D792" s="9"/>
      <c r="E792" s="9"/>
      <c r="F792" s="9"/>
    </row>
    <row r="793" spans="1:6">
      <c r="A793" s="9"/>
      <c r="B793" s="9"/>
      <c r="C793" s="9"/>
      <c r="D793" s="9"/>
      <c r="E793" s="9"/>
      <c r="F793" s="9"/>
    </row>
    <row r="794" spans="1:6">
      <c r="A794" s="9"/>
      <c r="B794" s="9"/>
      <c r="C794" s="9"/>
      <c r="D794" s="9"/>
      <c r="E794" s="9"/>
      <c r="F794" s="9"/>
    </row>
    <row r="795" spans="1:6">
      <c r="A795" s="9"/>
      <c r="B795" s="9"/>
      <c r="C795" s="9"/>
      <c r="D795" s="9"/>
      <c r="E795" s="9"/>
      <c r="F795" s="9"/>
    </row>
    <row r="796" spans="1:6">
      <c r="A796" s="9"/>
      <c r="B796" s="9"/>
      <c r="C796" s="9"/>
      <c r="D796" s="9"/>
      <c r="E796" s="9"/>
      <c r="F796" s="9"/>
    </row>
    <row r="797" spans="1:6">
      <c r="A797" s="9"/>
      <c r="B797" s="9"/>
      <c r="C797" s="9"/>
      <c r="D797" s="9"/>
      <c r="E797" s="9"/>
      <c r="F797" s="9"/>
    </row>
    <row r="798" spans="1:6">
      <c r="A798" s="9"/>
      <c r="B798" s="9"/>
      <c r="C798" s="9"/>
      <c r="D798" s="9"/>
      <c r="E798" s="9"/>
      <c r="F798" s="9"/>
    </row>
    <row r="799" spans="1:6">
      <c r="A799" s="9"/>
      <c r="B799" s="9"/>
      <c r="C799" s="9"/>
      <c r="D799" s="9"/>
      <c r="E799" s="9"/>
      <c r="F799" s="9"/>
    </row>
    <row r="800" spans="1:6">
      <c r="A800" s="9"/>
      <c r="B800" s="9"/>
      <c r="C800" s="9"/>
      <c r="D800" s="9"/>
      <c r="E800" s="9"/>
      <c r="F800" s="9"/>
    </row>
    <row r="801" spans="1:6">
      <c r="A801" s="9"/>
      <c r="B801" s="9"/>
      <c r="C801" s="9"/>
      <c r="D801" s="9"/>
      <c r="E801" s="9"/>
      <c r="F801" s="9"/>
    </row>
    <row r="802" spans="1:6">
      <c r="A802" s="9"/>
      <c r="B802" s="9"/>
      <c r="C802" s="9"/>
      <c r="D802" s="9"/>
      <c r="E802" s="9"/>
      <c r="F802" s="9"/>
    </row>
    <row r="803" spans="1:6">
      <c r="A803" s="9"/>
      <c r="B803" s="9"/>
      <c r="C803" s="9"/>
      <c r="D803" s="9"/>
      <c r="E803" s="9"/>
      <c r="F803" s="9"/>
    </row>
    <row r="804" spans="1:6">
      <c r="A804" s="9"/>
      <c r="B804" s="9"/>
      <c r="C804" s="9"/>
      <c r="D804" s="9"/>
      <c r="E804" s="9"/>
      <c r="F804" s="9"/>
    </row>
    <row r="805" spans="1:6">
      <c r="A805" s="9"/>
      <c r="B805" s="9"/>
      <c r="C805" s="9"/>
      <c r="D805" s="9"/>
      <c r="E805" s="9"/>
      <c r="F805" s="9"/>
    </row>
    <row r="806" spans="1:6">
      <c r="A806" s="9"/>
      <c r="B806" s="9"/>
      <c r="C806" s="9"/>
      <c r="D806" s="9"/>
      <c r="E806" s="9"/>
      <c r="F806" s="9"/>
    </row>
    <row r="807" spans="1:6">
      <c r="A807" s="9"/>
      <c r="B807" s="9"/>
      <c r="C807" s="9"/>
      <c r="D807" s="9"/>
      <c r="E807" s="9"/>
      <c r="F807" s="9"/>
    </row>
    <row r="808" spans="1:6">
      <c r="A808" s="9"/>
      <c r="B808" s="9"/>
      <c r="C808" s="9"/>
      <c r="D808" s="9"/>
      <c r="E808" s="9"/>
      <c r="F808" s="9"/>
    </row>
    <row r="809" spans="1:6">
      <c r="A809" s="9"/>
      <c r="B809" s="9"/>
      <c r="C809" s="9"/>
      <c r="D809" s="9"/>
      <c r="E809" s="9"/>
      <c r="F809" s="9"/>
    </row>
    <row r="810" spans="1:6">
      <c r="A810" s="9"/>
      <c r="B810" s="9"/>
      <c r="C810" s="9"/>
      <c r="D810" s="9"/>
      <c r="E810" s="9"/>
      <c r="F810" s="9"/>
    </row>
    <row r="811" spans="1:6">
      <c r="A811" s="9"/>
      <c r="B811" s="9"/>
      <c r="C811" s="9"/>
      <c r="D811" s="9"/>
      <c r="E811" s="9"/>
      <c r="F811" s="9"/>
    </row>
    <row r="812" spans="1:6">
      <c r="A812" s="9"/>
      <c r="B812" s="9"/>
      <c r="C812" s="9"/>
      <c r="D812" s="9"/>
      <c r="E812" s="9"/>
      <c r="F812" s="9"/>
    </row>
    <row r="813" spans="1:6">
      <c r="A813" s="9"/>
      <c r="B813" s="9"/>
      <c r="C813" s="9"/>
      <c r="D813" s="9"/>
      <c r="E813" s="9"/>
      <c r="F813" s="9"/>
    </row>
    <row r="814" spans="1:6">
      <c r="A814" s="9"/>
      <c r="B814" s="9"/>
      <c r="C814" s="9"/>
      <c r="D814" s="9"/>
      <c r="E814" s="9"/>
      <c r="F814" s="9"/>
    </row>
    <row r="815" spans="1:6">
      <c r="A815" s="9"/>
      <c r="B815" s="9"/>
      <c r="C815" s="9"/>
      <c r="D815" s="9"/>
      <c r="E815" s="9"/>
      <c r="F815" s="9"/>
    </row>
    <row r="816" spans="1:6">
      <c r="A816" s="9"/>
      <c r="B816" s="9"/>
      <c r="C816" s="9"/>
      <c r="D816" s="9"/>
      <c r="E816" s="9"/>
      <c r="F816" s="9"/>
    </row>
    <row r="817" spans="1:6">
      <c r="A817" s="9"/>
      <c r="B817" s="9"/>
      <c r="C817" s="9"/>
      <c r="D817" s="9"/>
      <c r="E817" s="9"/>
      <c r="F817" s="9"/>
    </row>
    <row r="818" spans="1:6">
      <c r="A818" s="9"/>
      <c r="B818" s="9"/>
      <c r="C818" s="9"/>
      <c r="D818" s="9"/>
      <c r="E818" s="9"/>
      <c r="F818" s="9"/>
    </row>
    <row r="819" spans="1:6">
      <c r="A819" s="9"/>
      <c r="B819" s="9"/>
      <c r="C819" s="9"/>
      <c r="D819" s="9"/>
      <c r="E819" s="9"/>
      <c r="F819" s="9"/>
    </row>
    <row r="820" spans="1:6">
      <c r="A820" s="9"/>
      <c r="B820" s="9"/>
      <c r="C820" s="9"/>
      <c r="D820" s="9"/>
      <c r="E820" s="9"/>
      <c r="F820" s="9"/>
    </row>
    <row r="821" spans="1:6">
      <c r="A821" s="9"/>
      <c r="B821" s="9"/>
      <c r="C821" s="9"/>
      <c r="D821" s="9"/>
      <c r="E821" s="9"/>
      <c r="F821" s="9"/>
    </row>
    <row r="822" spans="1:6">
      <c r="A822" s="9"/>
      <c r="B822" s="9"/>
      <c r="C822" s="9"/>
      <c r="D822" s="9"/>
      <c r="E822" s="9"/>
      <c r="F822" s="9"/>
    </row>
    <row r="823" spans="1:6">
      <c r="A823" s="9"/>
      <c r="B823" s="9"/>
      <c r="C823" s="9"/>
      <c r="D823" s="9"/>
      <c r="E823" s="9"/>
      <c r="F823" s="9"/>
    </row>
    <row r="824" spans="1:6">
      <c r="A824" s="9"/>
      <c r="B824" s="9"/>
      <c r="C824" s="9"/>
      <c r="D824" s="9"/>
      <c r="E824" s="9"/>
      <c r="F824" s="9"/>
    </row>
    <row r="825" spans="1:6">
      <c r="A825" s="9"/>
      <c r="B825" s="9"/>
      <c r="C825" s="9"/>
      <c r="D825" s="9"/>
      <c r="E825" s="9"/>
      <c r="F825" s="9"/>
    </row>
    <row r="826" spans="1:6">
      <c r="A826" s="9"/>
      <c r="B826" s="9"/>
      <c r="C826" s="9"/>
      <c r="D826" s="9"/>
      <c r="E826" s="9"/>
      <c r="F826" s="9"/>
    </row>
    <row r="827" spans="1:6">
      <c r="A827" s="9"/>
      <c r="B827" s="9"/>
      <c r="C827" s="9"/>
      <c r="D827" s="9"/>
      <c r="E827" s="9"/>
      <c r="F827" s="9"/>
    </row>
    <row r="828" spans="1:6">
      <c r="A828" s="9"/>
      <c r="B828" s="9"/>
      <c r="C828" s="9"/>
      <c r="D828" s="9"/>
      <c r="E828" s="9"/>
      <c r="F828" s="9"/>
    </row>
    <row r="829" spans="1:6">
      <c r="A829" s="9"/>
      <c r="B829" s="9"/>
      <c r="C829" s="9"/>
      <c r="D829" s="9"/>
      <c r="E829" s="9"/>
      <c r="F829" s="9"/>
    </row>
    <row r="830" spans="1:6">
      <c r="A830" s="9"/>
      <c r="B830" s="9"/>
      <c r="C830" s="9"/>
      <c r="D830" s="9"/>
      <c r="E830" s="9"/>
      <c r="F830" s="9"/>
    </row>
    <row r="831" spans="1:6">
      <c r="A831" s="9"/>
      <c r="B831" s="9"/>
      <c r="C831" s="9"/>
      <c r="D831" s="9"/>
      <c r="E831" s="9"/>
      <c r="F831" s="9"/>
    </row>
    <row r="832" spans="1:6">
      <c r="A832" s="9"/>
      <c r="B832" s="9"/>
      <c r="C832" s="9"/>
      <c r="D832" s="9"/>
      <c r="E832" s="9"/>
      <c r="F832" s="9"/>
    </row>
    <row r="833" spans="1:6">
      <c r="A833" s="9"/>
      <c r="B833" s="9"/>
      <c r="C833" s="9"/>
      <c r="D833" s="9"/>
      <c r="E833" s="9"/>
      <c r="F833" s="9"/>
    </row>
    <row r="834" spans="1:6">
      <c r="A834" s="9"/>
      <c r="B834" s="9"/>
      <c r="C834" s="9"/>
      <c r="D834" s="9"/>
      <c r="E834" s="9"/>
      <c r="F834" s="9"/>
    </row>
    <row r="835" spans="1:6">
      <c r="A835" s="9"/>
      <c r="B835" s="9"/>
      <c r="C835" s="9"/>
      <c r="D835" s="9"/>
      <c r="E835" s="9"/>
      <c r="F835" s="9"/>
    </row>
    <row r="836" spans="1:6">
      <c r="A836" s="9"/>
      <c r="B836" s="9"/>
      <c r="C836" s="9"/>
      <c r="D836" s="9"/>
      <c r="E836" s="9"/>
      <c r="F836" s="9"/>
    </row>
    <row r="837" spans="1:6">
      <c r="A837" s="9"/>
      <c r="B837" s="9"/>
      <c r="C837" s="9"/>
      <c r="D837" s="9"/>
      <c r="E837" s="9"/>
      <c r="F837" s="9"/>
    </row>
    <row r="838" spans="1:6">
      <c r="A838" s="9"/>
      <c r="B838" s="9"/>
      <c r="C838" s="9"/>
      <c r="D838" s="9"/>
      <c r="E838" s="9"/>
      <c r="F838" s="9"/>
    </row>
    <row r="839" spans="1:6">
      <c r="A839" s="9"/>
      <c r="B839" s="9"/>
      <c r="C839" s="9"/>
      <c r="D839" s="9"/>
      <c r="E839" s="9"/>
      <c r="F839" s="9"/>
    </row>
    <row r="840" spans="1:6">
      <c r="A840" s="9"/>
      <c r="B840" s="9"/>
      <c r="C840" s="9"/>
      <c r="D840" s="9"/>
      <c r="E840" s="9"/>
      <c r="F840" s="9"/>
    </row>
    <row r="841" spans="1:6">
      <c r="A841" s="9"/>
      <c r="B841" s="9"/>
      <c r="C841" s="9"/>
      <c r="D841" s="9"/>
      <c r="E841" s="9"/>
      <c r="F841" s="9"/>
    </row>
    <row r="842" spans="1:6">
      <c r="A842" s="9"/>
      <c r="B842" s="9"/>
      <c r="C842" s="9"/>
      <c r="D842" s="9"/>
      <c r="E842" s="9"/>
      <c r="F842" s="9"/>
    </row>
    <row r="843" spans="1:6">
      <c r="A843" s="9"/>
      <c r="B843" s="9"/>
      <c r="C843" s="9"/>
      <c r="D843" s="9"/>
      <c r="E843" s="9"/>
      <c r="F843" s="9"/>
    </row>
    <row r="844" spans="1:6">
      <c r="A844" s="9"/>
      <c r="B844" s="9"/>
      <c r="C844" s="9"/>
      <c r="D844" s="9"/>
      <c r="E844" s="9"/>
      <c r="F844" s="9"/>
    </row>
    <row r="845" spans="1:6">
      <c r="A845" s="9"/>
      <c r="B845" s="9"/>
      <c r="C845" s="9"/>
      <c r="D845" s="9"/>
      <c r="E845" s="9"/>
      <c r="F845" s="9"/>
    </row>
    <row r="846" spans="1:6">
      <c r="A846" s="9"/>
      <c r="B846" s="9"/>
      <c r="C846" s="9"/>
      <c r="D846" s="9"/>
      <c r="E846" s="9"/>
      <c r="F846" s="9"/>
    </row>
    <row r="847" spans="1:6">
      <c r="A847" s="9"/>
      <c r="B847" s="9"/>
      <c r="C847" s="9"/>
      <c r="D847" s="9"/>
      <c r="E847" s="9"/>
      <c r="F847" s="9"/>
    </row>
    <row r="848" spans="1:6">
      <c r="A848" s="9"/>
      <c r="B848" s="9"/>
      <c r="C848" s="9"/>
      <c r="D848" s="9"/>
      <c r="E848" s="9"/>
      <c r="F848" s="9"/>
    </row>
    <row r="849" spans="1:6">
      <c r="A849" s="9"/>
      <c r="B849" s="9"/>
      <c r="C849" s="9"/>
      <c r="D849" s="9"/>
      <c r="E849" s="9"/>
      <c r="F849" s="9"/>
    </row>
    <row r="850" spans="1:6">
      <c r="A850" s="9"/>
      <c r="B850" s="9"/>
      <c r="C850" s="9"/>
      <c r="D850" s="9"/>
      <c r="E850" s="9"/>
      <c r="F850" s="9"/>
    </row>
    <row r="851" spans="1:6">
      <c r="A851" s="9"/>
      <c r="B851" s="9"/>
      <c r="C851" s="9"/>
      <c r="D851" s="9"/>
      <c r="E851" s="9"/>
      <c r="F851" s="9"/>
    </row>
    <row r="852" spans="1:6">
      <c r="A852" s="9"/>
      <c r="B852" s="9"/>
      <c r="C852" s="9"/>
      <c r="D852" s="9"/>
      <c r="E852" s="9"/>
      <c r="F852" s="9"/>
    </row>
    <row r="853" spans="1:6">
      <c r="A853" s="9"/>
      <c r="B853" s="9"/>
      <c r="C853" s="9"/>
      <c r="D853" s="9"/>
      <c r="E853" s="9"/>
      <c r="F853" s="9"/>
    </row>
    <row r="854" spans="1:6">
      <c r="A854" s="9"/>
      <c r="B854" s="9"/>
      <c r="C854" s="9"/>
      <c r="D854" s="9"/>
      <c r="E854" s="9"/>
      <c r="F854" s="9"/>
    </row>
    <row r="855" spans="1:6">
      <c r="A855" s="9"/>
      <c r="B855" s="9"/>
      <c r="C855" s="9"/>
      <c r="D855" s="9"/>
      <c r="E855" s="9"/>
      <c r="F855" s="9"/>
    </row>
    <row r="856" spans="1:6">
      <c r="A856" s="9"/>
      <c r="B856" s="9"/>
      <c r="C856" s="9"/>
      <c r="D856" s="9"/>
      <c r="E856" s="9"/>
      <c r="F856" s="9"/>
    </row>
    <row r="857" spans="1:6">
      <c r="A857" s="9"/>
      <c r="B857" s="9"/>
      <c r="C857" s="9"/>
      <c r="D857" s="9"/>
      <c r="E857" s="9"/>
      <c r="F857" s="9"/>
    </row>
    <row r="858" spans="1:6">
      <c r="A858" s="9"/>
      <c r="B858" s="9"/>
      <c r="C858" s="9"/>
      <c r="D858" s="9"/>
      <c r="E858" s="9"/>
      <c r="F858" s="9"/>
    </row>
    <row r="859" spans="1:6">
      <c r="A859" s="9"/>
      <c r="B859" s="9"/>
      <c r="C859" s="9"/>
      <c r="D859" s="9"/>
      <c r="E859" s="9"/>
      <c r="F859" s="9"/>
    </row>
    <row r="860" spans="1:6">
      <c r="A860" s="9"/>
      <c r="B860" s="9"/>
      <c r="C860" s="9"/>
      <c r="D860" s="9"/>
      <c r="E860" s="9"/>
      <c r="F860" s="9"/>
    </row>
    <row r="861" spans="1:6">
      <c r="A861" s="9"/>
      <c r="B861" s="9"/>
      <c r="C861" s="9"/>
      <c r="D861" s="9"/>
      <c r="E861" s="9"/>
      <c r="F861" s="9"/>
    </row>
    <row r="862" spans="1:6">
      <c r="A862" s="9"/>
      <c r="B862" s="9"/>
      <c r="C862" s="9"/>
      <c r="D862" s="9"/>
      <c r="E862" s="9"/>
      <c r="F862" s="9"/>
    </row>
    <row r="863" spans="1:6">
      <c r="A863" s="9"/>
      <c r="B863" s="9"/>
      <c r="C863" s="9"/>
      <c r="D863" s="9"/>
      <c r="E863" s="9"/>
      <c r="F863" s="9"/>
    </row>
    <row r="864" spans="1:6">
      <c r="A864" s="9"/>
      <c r="B864" s="9"/>
      <c r="C864" s="9"/>
      <c r="D864" s="9"/>
      <c r="E864" s="9"/>
      <c r="F864" s="9"/>
    </row>
    <row r="865" spans="1:6">
      <c r="A865" s="9"/>
      <c r="B865" s="9"/>
      <c r="C865" s="9"/>
      <c r="D865" s="9"/>
      <c r="E865" s="9"/>
      <c r="F865" s="9"/>
    </row>
    <row r="866" spans="1:6">
      <c r="A866" s="9"/>
      <c r="B866" s="9"/>
      <c r="C866" s="9"/>
      <c r="D866" s="9"/>
      <c r="E866" s="9"/>
      <c r="F866" s="9"/>
    </row>
    <row r="867" spans="1:6">
      <c r="A867" s="9"/>
      <c r="B867" s="9"/>
      <c r="C867" s="9"/>
      <c r="D867" s="9"/>
      <c r="E867" s="9"/>
      <c r="F867" s="9"/>
    </row>
    <row r="868" spans="1:6">
      <c r="A868" s="9"/>
      <c r="B868" s="9"/>
      <c r="C868" s="9"/>
      <c r="D868" s="9"/>
      <c r="E868" s="9"/>
      <c r="F868" s="9"/>
    </row>
    <row r="869" spans="1:6">
      <c r="A869" s="9"/>
      <c r="B869" s="9"/>
      <c r="C869" s="9"/>
      <c r="D869" s="9"/>
      <c r="E869" s="9"/>
      <c r="F869" s="9"/>
    </row>
    <row r="870" spans="1:6">
      <c r="A870" s="9"/>
      <c r="B870" s="9"/>
      <c r="C870" s="9"/>
      <c r="D870" s="9"/>
      <c r="E870" s="9"/>
      <c r="F870" s="9"/>
    </row>
    <row r="871" spans="1:6">
      <c r="A871" s="9"/>
      <c r="B871" s="9"/>
      <c r="C871" s="9"/>
      <c r="D871" s="9"/>
      <c r="E871" s="9"/>
      <c r="F871" s="9"/>
    </row>
    <row r="872" spans="1:6">
      <c r="A872" s="9"/>
      <c r="B872" s="9"/>
      <c r="C872" s="9"/>
      <c r="D872" s="9"/>
      <c r="E872" s="9"/>
      <c r="F872" s="9"/>
    </row>
    <row r="873" spans="1:6">
      <c r="A873" s="9"/>
      <c r="B873" s="9"/>
      <c r="C873" s="9"/>
      <c r="D873" s="9"/>
      <c r="E873" s="9"/>
      <c r="F873" s="9"/>
    </row>
    <row r="874" spans="1:6">
      <c r="A874" s="9"/>
      <c r="B874" s="9"/>
      <c r="C874" s="9"/>
      <c r="D874" s="9"/>
      <c r="E874" s="9"/>
      <c r="F874" s="9"/>
    </row>
    <row r="875" spans="1:6">
      <c r="A875" s="9"/>
      <c r="B875" s="9"/>
      <c r="C875" s="9"/>
      <c r="D875" s="9"/>
      <c r="E875" s="9"/>
      <c r="F875" s="9"/>
    </row>
    <row r="876" spans="1:6">
      <c r="A876" s="9"/>
      <c r="B876" s="9"/>
      <c r="C876" s="9"/>
      <c r="D876" s="9"/>
      <c r="E876" s="9"/>
      <c r="F876" s="9"/>
    </row>
    <row r="877" spans="1:6">
      <c r="A877" s="9"/>
      <c r="B877" s="9"/>
      <c r="C877" s="9"/>
      <c r="D877" s="9"/>
      <c r="E877" s="9"/>
      <c r="F877" s="9"/>
    </row>
    <row r="878" spans="1:6">
      <c r="A878" s="9"/>
      <c r="B878" s="9"/>
      <c r="C878" s="9"/>
      <c r="D878" s="9"/>
      <c r="E878" s="9"/>
      <c r="F878" s="9"/>
    </row>
    <row r="879" spans="1:6">
      <c r="A879" s="9"/>
      <c r="B879" s="9"/>
      <c r="C879" s="9"/>
      <c r="D879" s="9"/>
      <c r="E879" s="9"/>
      <c r="F879" s="9"/>
    </row>
    <row r="880" spans="1:6">
      <c r="A880" s="9"/>
      <c r="B880" s="9"/>
      <c r="C880" s="9"/>
      <c r="D880" s="9"/>
      <c r="E880" s="9"/>
      <c r="F880" s="9"/>
    </row>
    <row r="881" spans="1:6">
      <c r="A881" s="9"/>
      <c r="B881" s="9"/>
      <c r="C881" s="9"/>
      <c r="D881" s="9"/>
      <c r="E881" s="9"/>
      <c r="F881" s="9"/>
    </row>
    <row r="882" spans="1:6">
      <c r="A882" s="9"/>
      <c r="B882" s="9"/>
      <c r="C882" s="9"/>
      <c r="D882" s="9"/>
      <c r="E882" s="9"/>
      <c r="F882" s="9"/>
    </row>
    <row r="883" spans="1:6">
      <c r="A883" s="9"/>
      <c r="B883" s="9"/>
      <c r="C883" s="9"/>
      <c r="D883" s="9"/>
      <c r="E883" s="9"/>
      <c r="F883" s="9"/>
    </row>
    <row r="884" spans="1:6">
      <c r="A884" s="9"/>
      <c r="B884" s="9"/>
      <c r="C884" s="9"/>
      <c r="D884" s="9"/>
      <c r="E884" s="9"/>
      <c r="F884" s="9"/>
    </row>
    <row r="885" spans="1:6">
      <c r="A885" s="9"/>
      <c r="B885" s="9"/>
      <c r="C885" s="9"/>
      <c r="D885" s="9"/>
      <c r="E885" s="9"/>
      <c r="F885" s="9"/>
    </row>
    <row r="886" spans="1:6">
      <c r="A886" s="9"/>
      <c r="B886" s="9"/>
      <c r="C886" s="9"/>
      <c r="D886" s="9"/>
      <c r="E886" s="9"/>
      <c r="F886" s="9"/>
    </row>
    <row r="887" spans="1:6">
      <c r="A887" s="9"/>
      <c r="B887" s="9"/>
      <c r="C887" s="9"/>
      <c r="D887" s="9"/>
      <c r="E887" s="9"/>
      <c r="F887" s="9"/>
    </row>
    <row r="888" spans="1:6">
      <c r="A888" s="9"/>
      <c r="B888" s="9"/>
      <c r="C888" s="9"/>
      <c r="D888" s="9"/>
      <c r="E888" s="9"/>
      <c r="F888" s="9"/>
    </row>
    <row r="889" spans="1:6">
      <c r="A889" s="9"/>
      <c r="B889" s="9"/>
      <c r="C889" s="9"/>
      <c r="D889" s="9"/>
      <c r="E889" s="9"/>
      <c r="F889" s="9"/>
    </row>
    <row r="890" spans="1:6">
      <c r="A890" s="9"/>
      <c r="B890" s="9"/>
      <c r="C890" s="9"/>
      <c r="D890" s="9"/>
      <c r="E890" s="9"/>
      <c r="F890" s="9"/>
    </row>
    <row r="891" spans="1:6">
      <c r="A891" s="9"/>
      <c r="B891" s="9"/>
      <c r="C891" s="9"/>
      <c r="D891" s="9"/>
      <c r="E891" s="9"/>
      <c r="F891" s="9"/>
    </row>
    <row r="892" spans="1:6">
      <c r="A892" s="9"/>
      <c r="B892" s="9"/>
      <c r="C892" s="9"/>
      <c r="D892" s="9"/>
      <c r="E892" s="9"/>
      <c r="F892" s="9"/>
    </row>
    <row r="893" spans="1:6">
      <c r="A893" s="9"/>
      <c r="B893" s="9"/>
      <c r="C893" s="9"/>
      <c r="D893" s="9"/>
      <c r="E893" s="9"/>
      <c r="F893" s="9"/>
    </row>
    <row r="894" spans="1:6">
      <c r="A894" s="9"/>
      <c r="B894" s="9"/>
      <c r="C894" s="9"/>
      <c r="D894" s="9"/>
      <c r="E894" s="9"/>
      <c r="F894" s="9"/>
    </row>
    <row r="895" spans="1:6">
      <c r="A895" s="9"/>
      <c r="B895" s="9"/>
      <c r="C895" s="9"/>
      <c r="D895" s="9"/>
      <c r="E895" s="9"/>
      <c r="F895" s="9"/>
    </row>
    <row r="896" spans="1:6">
      <c r="A896" s="9"/>
      <c r="B896" s="9"/>
      <c r="C896" s="9"/>
      <c r="D896" s="9"/>
      <c r="E896" s="9"/>
      <c r="F896" s="9"/>
    </row>
    <row r="897" spans="1:6">
      <c r="A897" s="9"/>
      <c r="B897" s="9"/>
      <c r="C897" s="9"/>
      <c r="D897" s="9"/>
      <c r="E897" s="9"/>
      <c r="F897" s="9"/>
    </row>
    <row r="898" spans="1:6">
      <c r="A898" s="9"/>
      <c r="B898" s="9"/>
      <c r="C898" s="9"/>
      <c r="D898" s="9"/>
      <c r="E898" s="9"/>
      <c r="F898" s="9"/>
    </row>
    <row r="899" spans="1:6">
      <c r="A899" s="9"/>
      <c r="B899" s="9"/>
      <c r="C899" s="9"/>
      <c r="D899" s="9"/>
      <c r="E899" s="9"/>
      <c r="F899" s="9"/>
    </row>
    <row r="900" spans="1:6">
      <c r="A900" s="9"/>
      <c r="B900" s="9"/>
      <c r="C900" s="9"/>
      <c r="D900" s="9"/>
      <c r="E900" s="9"/>
      <c r="F900" s="9"/>
    </row>
    <row r="901" spans="1:6">
      <c r="A901" s="9"/>
      <c r="B901" s="9"/>
      <c r="C901" s="9"/>
      <c r="D901" s="9"/>
      <c r="E901" s="9"/>
      <c r="F901" s="9"/>
    </row>
    <row r="902" spans="1:6">
      <c r="A902" s="9"/>
      <c r="B902" s="9"/>
      <c r="C902" s="9"/>
      <c r="D902" s="9"/>
      <c r="E902" s="9"/>
      <c r="F902" s="9"/>
    </row>
    <row r="903" spans="1:6">
      <c r="A903" s="9"/>
      <c r="B903" s="9"/>
      <c r="C903" s="9"/>
      <c r="D903" s="9"/>
      <c r="E903" s="9"/>
      <c r="F903" s="9"/>
    </row>
    <row r="904" spans="1:6">
      <c r="A904" s="9"/>
      <c r="B904" s="9"/>
      <c r="C904" s="9"/>
      <c r="D904" s="9"/>
      <c r="E904" s="9"/>
      <c r="F904" s="9"/>
    </row>
    <row r="905" spans="1:6">
      <c r="A905" s="9"/>
      <c r="B905" s="9"/>
      <c r="C905" s="9"/>
      <c r="D905" s="9"/>
      <c r="E905" s="9"/>
      <c r="F905" s="9"/>
    </row>
    <row r="906" spans="1:6">
      <c r="A906" s="9"/>
      <c r="B906" s="9"/>
      <c r="C906" s="9"/>
      <c r="D906" s="9"/>
      <c r="E906" s="9"/>
      <c r="F906" s="9"/>
    </row>
    <row r="907" spans="1:6">
      <c r="A907" s="9"/>
      <c r="B907" s="9"/>
      <c r="C907" s="9"/>
      <c r="D907" s="9"/>
      <c r="E907" s="9"/>
      <c r="F907" s="9"/>
    </row>
    <row r="908" spans="1:6">
      <c r="A908" s="9"/>
      <c r="B908" s="9"/>
      <c r="C908" s="9"/>
      <c r="D908" s="9"/>
      <c r="E908" s="9"/>
      <c r="F908" s="9"/>
    </row>
    <row r="909" spans="1:6">
      <c r="A909" s="9"/>
      <c r="B909" s="9"/>
      <c r="C909" s="9"/>
      <c r="D909" s="9"/>
      <c r="E909" s="9"/>
      <c r="F909" s="9"/>
    </row>
    <row r="910" spans="1:6">
      <c r="A910" s="9"/>
      <c r="B910" s="9"/>
      <c r="C910" s="9"/>
      <c r="D910" s="9"/>
      <c r="E910" s="9"/>
      <c r="F910" s="9"/>
    </row>
    <row r="911" spans="1:6">
      <c r="A911" s="9"/>
      <c r="B911" s="9"/>
      <c r="C911" s="9"/>
      <c r="D911" s="9"/>
      <c r="E911" s="9"/>
      <c r="F911" s="9"/>
    </row>
    <row r="912" spans="1:6">
      <c r="A912" s="9"/>
      <c r="B912" s="9"/>
      <c r="C912" s="9"/>
      <c r="D912" s="9"/>
      <c r="E912" s="9"/>
      <c r="F912" s="9"/>
    </row>
    <row r="913" spans="1:6">
      <c r="A913" s="9"/>
      <c r="B913" s="9"/>
      <c r="C913" s="9"/>
      <c r="D913" s="9"/>
      <c r="E913" s="9"/>
      <c r="F913" s="9"/>
    </row>
    <row r="914" spans="1:6">
      <c r="A914" s="9"/>
      <c r="B914" s="9"/>
      <c r="C914" s="9"/>
      <c r="D914" s="9"/>
      <c r="E914" s="9"/>
      <c r="F914" s="9"/>
    </row>
    <row r="915" spans="1:6">
      <c r="A915" s="9"/>
      <c r="B915" s="9"/>
      <c r="C915" s="9"/>
      <c r="D915" s="9"/>
      <c r="E915" s="9"/>
      <c r="F915" s="9"/>
    </row>
    <row r="916" spans="1:6">
      <c r="A916" s="9"/>
      <c r="B916" s="9"/>
      <c r="C916" s="9"/>
      <c r="D916" s="9"/>
      <c r="E916" s="9"/>
      <c r="F916" s="9"/>
    </row>
    <row r="917" spans="1:6">
      <c r="A917" s="9"/>
      <c r="B917" s="9"/>
      <c r="C917" s="9"/>
      <c r="D917" s="9"/>
      <c r="E917" s="9"/>
      <c r="F917" s="9"/>
    </row>
    <row r="918" spans="1:6">
      <c r="A918" s="9"/>
      <c r="B918" s="9"/>
      <c r="C918" s="9"/>
      <c r="D918" s="9"/>
      <c r="E918" s="9"/>
      <c r="F918" s="9"/>
    </row>
    <row r="919" spans="1:6">
      <c r="A919" s="9"/>
      <c r="B919" s="9"/>
      <c r="C919" s="9"/>
      <c r="D919" s="9"/>
      <c r="E919" s="9"/>
      <c r="F919" s="9"/>
    </row>
    <row r="920" spans="1:6">
      <c r="A920" s="9"/>
      <c r="B920" s="9"/>
      <c r="C920" s="9"/>
      <c r="D920" s="9"/>
      <c r="E920" s="9"/>
      <c r="F920" s="9"/>
    </row>
    <row r="921" spans="1:6">
      <c r="A921" s="9"/>
      <c r="B921" s="9"/>
      <c r="C921" s="9"/>
      <c r="D921" s="9"/>
      <c r="E921" s="9"/>
      <c r="F921" s="9"/>
    </row>
    <row r="922" spans="1:6">
      <c r="A922" s="9"/>
      <c r="B922" s="9"/>
      <c r="C922" s="9"/>
      <c r="D922" s="9"/>
      <c r="E922" s="9"/>
      <c r="F922" s="9"/>
    </row>
    <row r="923" spans="1:6">
      <c r="A923" s="9"/>
      <c r="B923" s="9"/>
      <c r="C923" s="9"/>
      <c r="D923" s="9"/>
      <c r="E923" s="9"/>
      <c r="F923" s="9"/>
    </row>
    <row r="924" spans="1:6">
      <c r="A924" s="9"/>
      <c r="B924" s="9"/>
      <c r="C924" s="9"/>
      <c r="D924" s="9"/>
      <c r="E924" s="9"/>
      <c r="F924" s="9"/>
    </row>
    <row r="925" spans="1:6">
      <c r="A925" s="9"/>
      <c r="B925" s="9"/>
      <c r="C925" s="9"/>
      <c r="D925" s="9"/>
      <c r="E925" s="9"/>
      <c r="F925" s="9"/>
    </row>
    <row r="926" spans="1:6">
      <c r="A926" s="9"/>
      <c r="B926" s="9"/>
      <c r="C926" s="9"/>
      <c r="D926" s="9"/>
      <c r="E926" s="9"/>
      <c r="F926" s="9"/>
    </row>
    <row r="927" spans="1:6">
      <c r="A927" s="9"/>
      <c r="B927" s="9"/>
      <c r="C927" s="9"/>
      <c r="D927" s="9"/>
      <c r="E927" s="9"/>
      <c r="F927" s="9"/>
    </row>
    <row r="928" spans="1:6">
      <c r="A928" s="9"/>
      <c r="B928" s="9"/>
      <c r="C928" s="9"/>
      <c r="D928" s="9"/>
      <c r="E928" s="9"/>
      <c r="F928" s="9"/>
    </row>
    <row r="929" spans="1:6">
      <c r="A929" s="9"/>
      <c r="B929" s="9"/>
      <c r="C929" s="9"/>
      <c r="D929" s="9"/>
      <c r="E929" s="9"/>
      <c r="F929" s="9"/>
    </row>
    <row r="930" spans="1:6">
      <c r="A930" s="9"/>
      <c r="B930" s="9"/>
      <c r="C930" s="9"/>
      <c r="D930" s="9"/>
      <c r="E930" s="9"/>
      <c r="F930" s="9"/>
    </row>
    <row r="931" spans="1:6">
      <c r="A931" s="9"/>
      <c r="B931" s="9"/>
      <c r="C931" s="9"/>
      <c r="D931" s="9"/>
      <c r="E931" s="9"/>
      <c r="F931" s="9"/>
    </row>
    <row r="932" spans="1:6">
      <c r="A932" s="9"/>
      <c r="B932" s="9"/>
      <c r="C932" s="9"/>
      <c r="D932" s="9"/>
      <c r="E932" s="9"/>
      <c r="F932" s="9"/>
    </row>
    <row r="933" spans="1:6">
      <c r="A933" s="9"/>
      <c r="B933" s="9"/>
      <c r="C933" s="9"/>
      <c r="D933" s="9"/>
      <c r="E933" s="9"/>
      <c r="F933" s="9"/>
    </row>
    <row r="934" spans="1:6">
      <c r="A934" s="9"/>
      <c r="B934" s="9"/>
      <c r="C934" s="9"/>
      <c r="D934" s="9"/>
      <c r="E934" s="9"/>
      <c r="F934" s="9"/>
    </row>
    <row r="935" spans="1:6">
      <c r="A935" s="9"/>
      <c r="B935" s="9"/>
      <c r="C935" s="9"/>
      <c r="D935" s="9"/>
      <c r="E935" s="9"/>
      <c r="F935" s="9"/>
    </row>
    <row r="936" spans="1:6">
      <c r="A936" s="9"/>
      <c r="B936" s="9"/>
      <c r="C936" s="9"/>
      <c r="D936" s="9"/>
      <c r="E936" s="9"/>
      <c r="F936" s="9"/>
    </row>
    <row r="937" spans="1:6">
      <c r="A937" s="9"/>
      <c r="B937" s="9"/>
      <c r="C937" s="9"/>
      <c r="D937" s="9"/>
      <c r="E937" s="9"/>
      <c r="F937" s="9"/>
    </row>
    <row r="938" spans="1:6">
      <c r="A938" s="9"/>
      <c r="B938" s="9"/>
      <c r="C938" s="9"/>
      <c r="D938" s="9"/>
      <c r="E938" s="9"/>
      <c r="F938" s="9"/>
    </row>
    <row r="939" spans="1:6">
      <c r="A939" s="9"/>
      <c r="B939" s="9"/>
      <c r="C939" s="9"/>
      <c r="D939" s="9"/>
      <c r="E939" s="9"/>
      <c r="F939" s="9"/>
    </row>
    <row r="940" spans="1:6">
      <c r="A940" s="9"/>
      <c r="B940" s="9"/>
      <c r="C940" s="9"/>
      <c r="D940" s="9"/>
      <c r="E940" s="9"/>
      <c r="F940" s="9"/>
    </row>
    <row r="941" spans="1:6">
      <c r="A941" s="9"/>
      <c r="B941" s="9"/>
      <c r="C941" s="9"/>
      <c r="D941" s="9"/>
      <c r="E941" s="9"/>
      <c r="F941" s="9"/>
    </row>
    <row r="942" spans="1:6">
      <c r="A942" s="9"/>
      <c r="B942" s="9"/>
      <c r="C942" s="9"/>
      <c r="D942" s="9"/>
      <c r="E942" s="9"/>
      <c r="F942" s="9"/>
    </row>
    <row r="943" spans="1:6">
      <c r="A943" s="9"/>
      <c r="B943" s="9"/>
      <c r="C943" s="9"/>
      <c r="D943" s="9"/>
      <c r="E943" s="9"/>
      <c r="F943" s="9"/>
    </row>
    <row r="944" spans="1:6">
      <c r="A944" s="9"/>
      <c r="B944" s="9"/>
      <c r="C944" s="9"/>
      <c r="D944" s="9"/>
      <c r="E944" s="9"/>
      <c r="F944" s="9"/>
    </row>
    <row r="945" spans="1:6">
      <c r="A945" s="9"/>
      <c r="B945" s="9"/>
      <c r="C945" s="9"/>
      <c r="D945" s="9"/>
      <c r="E945" s="9"/>
      <c r="F945" s="9"/>
    </row>
    <row r="946" spans="1:6">
      <c r="A946" s="9"/>
      <c r="B946" s="9"/>
      <c r="C946" s="9"/>
      <c r="D946" s="9"/>
      <c r="E946" s="9"/>
      <c r="F946" s="9"/>
    </row>
    <row r="947" spans="1:6">
      <c r="A947" s="9"/>
      <c r="B947" s="9"/>
      <c r="C947" s="9"/>
      <c r="D947" s="9"/>
      <c r="E947" s="9"/>
      <c r="F947" s="9"/>
    </row>
    <row r="948" spans="1:6">
      <c r="A948" s="9"/>
      <c r="B948" s="9"/>
      <c r="C948" s="9"/>
      <c r="D948" s="9"/>
      <c r="E948" s="9"/>
      <c r="F948" s="9"/>
    </row>
    <row r="949" spans="1:6">
      <c r="A949" s="9"/>
      <c r="B949" s="9"/>
      <c r="C949" s="9"/>
      <c r="D949" s="9"/>
      <c r="E949" s="9"/>
      <c r="F949" s="9"/>
    </row>
    <row r="950" spans="1:6">
      <c r="A950" s="9"/>
      <c r="B950" s="9"/>
      <c r="C950" s="9"/>
      <c r="D950" s="9"/>
      <c r="E950" s="9"/>
      <c r="F950" s="9"/>
    </row>
    <row r="951" spans="1:6">
      <c r="A951" s="9"/>
      <c r="B951" s="9"/>
      <c r="C951" s="9"/>
      <c r="D951" s="9"/>
      <c r="E951" s="9"/>
      <c r="F951" s="9"/>
    </row>
    <row r="952" spans="1:6">
      <c r="A952" s="9"/>
      <c r="B952" s="9"/>
      <c r="C952" s="9"/>
      <c r="D952" s="9"/>
      <c r="E952" s="9"/>
      <c r="F952" s="9"/>
    </row>
    <row r="953" spans="1:6">
      <c r="A953" s="9"/>
      <c r="B953" s="9"/>
      <c r="C953" s="9"/>
      <c r="D953" s="9"/>
      <c r="E953" s="9"/>
      <c r="F953" s="9"/>
    </row>
    <row r="954" spans="1:6">
      <c r="A954" s="9"/>
      <c r="B954" s="9"/>
      <c r="C954" s="9"/>
      <c r="D954" s="9"/>
      <c r="E954" s="9"/>
      <c r="F954" s="9"/>
    </row>
    <row r="955" spans="1:6">
      <c r="A955" s="9"/>
      <c r="B955" s="9"/>
      <c r="C955" s="9"/>
      <c r="D955" s="9"/>
      <c r="E955" s="9"/>
      <c r="F955" s="9"/>
    </row>
    <row r="956" spans="1:6">
      <c r="A956" s="9"/>
      <c r="B956" s="9"/>
      <c r="C956" s="9"/>
      <c r="D956" s="9"/>
      <c r="E956" s="9"/>
      <c r="F956" s="9"/>
    </row>
    <row r="957" spans="1:6">
      <c r="A957" s="9"/>
      <c r="B957" s="9"/>
      <c r="C957" s="9"/>
      <c r="D957" s="9"/>
      <c r="E957" s="9"/>
      <c r="F957" s="9"/>
    </row>
    <row r="958" spans="1:6">
      <c r="A958" s="9"/>
      <c r="B958" s="9"/>
      <c r="C958" s="9"/>
      <c r="D958" s="9"/>
      <c r="E958" s="9"/>
      <c r="F958" s="9"/>
    </row>
    <row r="959" spans="1:6">
      <c r="A959" s="9"/>
      <c r="B959" s="9"/>
      <c r="C959" s="9"/>
      <c r="D959" s="9"/>
      <c r="E959" s="9"/>
      <c r="F959" s="9"/>
    </row>
    <row r="960" spans="1:6">
      <c r="A960" s="9"/>
      <c r="B960" s="9"/>
      <c r="C960" s="9"/>
      <c r="D960" s="9"/>
      <c r="E960" s="9"/>
      <c r="F960" s="9"/>
    </row>
    <row r="961" spans="1:6">
      <c r="A961" s="9"/>
      <c r="B961" s="9"/>
      <c r="C961" s="9"/>
      <c r="D961" s="9"/>
      <c r="E961" s="9"/>
      <c r="F961" s="9"/>
    </row>
    <row r="962" spans="1:6">
      <c r="A962" s="9"/>
      <c r="B962" s="9"/>
      <c r="C962" s="9"/>
      <c r="D962" s="9"/>
      <c r="E962" s="9"/>
      <c r="F962" s="9"/>
    </row>
    <row r="963" spans="1:6">
      <c r="A963" s="9"/>
      <c r="B963" s="9"/>
      <c r="C963" s="9"/>
      <c r="D963" s="9"/>
      <c r="E963" s="9"/>
      <c r="F963" s="9"/>
    </row>
    <row r="964" spans="1:6">
      <c r="A964" s="9"/>
      <c r="B964" s="9"/>
      <c r="C964" s="9"/>
      <c r="D964" s="9"/>
      <c r="E964" s="9"/>
      <c r="F964" s="9"/>
    </row>
    <row r="965" spans="1:6">
      <c r="A965" s="9"/>
      <c r="B965" s="9"/>
      <c r="C965" s="9"/>
      <c r="D965" s="9"/>
      <c r="E965" s="9"/>
      <c r="F965" s="9"/>
    </row>
    <row r="966" spans="1:6">
      <c r="A966" s="9"/>
      <c r="B966" s="9"/>
      <c r="C966" s="9"/>
      <c r="D966" s="9"/>
      <c r="E966" s="9"/>
      <c r="F966" s="9"/>
    </row>
    <row r="967" spans="1:6">
      <c r="A967" s="9"/>
      <c r="B967" s="9"/>
      <c r="C967" s="9"/>
      <c r="D967" s="9"/>
      <c r="E967" s="9"/>
      <c r="F967" s="9"/>
    </row>
    <row r="968" spans="1:6">
      <c r="A968" s="9"/>
      <c r="B968" s="9"/>
      <c r="C968" s="9"/>
      <c r="D968" s="9"/>
      <c r="E968" s="9"/>
      <c r="F968" s="9"/>
    </row>
    <row r="969" spans="1:6">
      <c r="A969" s="9"/>
      <c r="B969" s="9"/>
      <c r="C969" s="9"/>
      <c r="D969" s="9"/>
      <c r="E969" s="9"/>
      <c r="F969" s="9"/>
    </row>
    <row r="970" spans="1:6">
      <c r="A970" s="9"/>
      <c r="B970" s="9"/>
      <c r="C970" s="9"/>
      <c r="D970" s="9"/>
      <c r="E970" s="9"/>
      <c r="F970" s="9"/>
    </row>
    <row r="971" spans="1:6">
      <c r="A971" s="9"/>
      <c r="B971" s="9"/>
      <c r="C971" s="9"/>
      <c r="D971" s="9"/>
      <c r="E971" s="9"/>
      <c r="F971" s="9"/>
    </row>
    <row r="972" spans="1:6">
      <c r="A972" s="9"/>
      <c r="B972" s="9"/>
      <c r="C972" s="9"/>
      <c r="D972" s="9"/>
      <c r="E972" s="9"/>
      <c r="F972" s="9"/>
    </row>
    <row r="973" spans="1:6">
      <c r="A973" s="9"/>
      <c r="B973" s="9"/>
      <c r="C973" s="9"/>
      <c r="D973" s="9"/>
      <c r="E973" s="9"/>
      <c r="F973" s="9"/>
    </row>
    <row r="974" spans="1:6">
      <c r="A974" s="9"/>
      <c r="B974" s="9"/>
      <c r="C974" s="9"/>
      <c r="D974" s="9"/>
      <c r="E974" s="9"/>
      <c r="F974" s="9"/>
    </row>
    <row r="975" spans="1:6">
      <c r="A975" s="9"/>
      <c r="B975" s="9"/>
      <c r="C975" s="9"/>
      <c r="D975" s="9"/>
      <c r="E975" s="9"/>
      <c r="F975" s="9"/>
    </row>
    <row r="976" spans="1:6">
      <c r="A976" s="9"/>
      <c r="B976" s="9"/>
      <c r="C976" s="9"/>
      <c r="D976" s="9"/>
      <c r="E976" s="9"/>
      <c r="F976" s="9"/>
    </row>
    <row r="977" spans="1:6">
      <c r="A977" s="9"/>
      <c r="B977" s="9"/>
      <c r="C977" s="9"/>
      <c r="D977" s="9"/>
      <c r="E977" s="9"/>
      <c r="F977" s="9"/>
    </row>
    <row r="978" spans="1:6">
      <c r="A978" s="9"/>
      <c r="B978" s="9"/>
      <c r="C978" s="9"/>
      <c r="D978" s="9"/>
      <c r="E978" s="9"/>
      <c r="F978" s="9"/>
    </row>
    <row r="979" spans="1:6">
      <c r="A979" s="9"/>
      <c r="B979" s="9"/>
      <c r="C979" s="9"/>
      <c r="D979" s="9"/>
      <c r="E979" s="9"/>
      <c r="F979" s="9"/>
    </row>
    <row r="980" spans="1:6">
      <c r="A980" s="9"/>
      <c r="B980" s="9"/>
      <c r="C980" s="9"/>
      <c r="D980" s="9"/>
      <c r="E980" s="9"/>
      <c r="F980" s="9"/>
    </row>
    <row r="981" spans="1:6">
      <c r="A981" s="9"/>
      <c r="B981" s="9"/>
      <c r="C981" s="9"/>
      <c r="D981" s="9"/>
      <c r="E981" s="9"/>
      <c r="F981" s="9"/>
    </row>
    <row r="982" spans="1:6">
      <c r="A982" s="9"/>
      <c r="B982" s="9"/>
      <c r="C982" s="9"/>
      <c r="D982" s="9"/>
      <c r="E982" s="9"/>
      <c r="F982" s="9"/>
    </row>
    <row r="983" spans="1:6">
      <c r="A983" s="9"/>
      <c r="B983" s="9"/>
      <c r="C983" s="9"/>
      <c r="D983" s="9"/>
      <c r="E983" s="9"/>
      <c r="F983" s="9"/>
    </row>
    <row r="984" spans="1:6">
      <c r="A984" s="9"/>
      <c r="B984" s="9"/>
      <c r="C984" s="9"/>
      <c r="D984" s="9"/>
      <c r="E984" s="9"/>
      <c r="F984" s="9"/>
    </row>
    <row r="985" spans="1:6">
      <c r="A985" s="9"/>
      <c r="B985" s="9"/>
      <c r="C985" s="9"/>
      <c r="D985" s="9"/>
      <c r="E985" s="9"/>
      <c r="F985" s="9"/>
    </row>
    <row r="986" spans="1:6">
      <c r="A986" s="9"/>
      <c r="B986" s="9"/>
      <c r="C986" s="9"/>
      <c r="D986" s="9"/>
      <c r="E986" s="9"/>
      <c r="F986" s="9"/>
    </row>
    <row r="987" spans="1:6">
      <c r="A987" s="9"/>
      <c r="B987" s="9"/>
      <c r="C987" s="9"/>
      <c r="D987" s="9"/>
      <c r="E987" s="9"/>
      <c r="F987" s="9"/>
    </row>
    <row r="988" spans="1:6">
      <c r="A988" s="9"/>
      <c r="B988" s="9"/>
      <c r="C988" s="9"/>
      <c r="D988" s="9"/>
      <c r="E988" s="9"/>
      <c r="F988" s="9"/>
    </row>
    <row r="989" spans="1:6">
      <c r="A989" s="9"/>
      <c r="B989" s="9"/>
      <c r="C989" s="9"/>
      <c r="D989" s="9"/>
      <c r="E989" s="9"/>
      <c r="F989" s="9"/>
    </row>
    <row r="990" spans="1:6">
      <c r="A990" s="9"/>
      <c r="B990" s="9"/>
      <c r="C990" s="9"/>
      <c r="D990" s="9"/>
      <c r="E990" s="9"/>
      <c r="F990" s="9"/>
    </row>
    <row r="991" spans="1:6">
      <c r="A991" s="9"/>
      <c r="B991" s="9"/>
      <c r="C991" s="9"/>
      <c r="D991" s="9"/>
      <c r="E991" s="9"/>
      <c r="F991" s="9"/>
    </row>
    <row r="992" spans="1:6">
      <c r="A992" s="9"/>
      <c r="B992" s="9"/>
      <c r="C992" s="9"/>
      <c r="D992" s="9"/>
      <c r="E992" s="9"/>
      <c r="F992" s="9"/>
    </row>
    <row r="993" spans="1:6">
      <c r="A993" s="9"/>
      <c r="B993" s="9"/>
      <c r="C993" s="9"/>
      <c r="D993" s="9"/>
      <c r="E993" s="9"/>
      <c r="F993" s="9"/>
    </row>
    <row r="994" spans="1:6">
      <c r="A994" s="9"/>
      <c r="B994" s="9"/>
      <c r="C994" s="9"/>
      <c r="D994" s="9"/>
      <c r="E994" s="9"/>
      <c r="F994" s="9"/>
    </row>
    <row r="995" spans="1:6">
      <c r="A995" s="9"/>
      <c r="B995" s="9"/>
      <c r="C995" s="9"/>
      <c r="D995" s="9"/>
      <c r="E995" s="9"/>
      <c r="F995" s="9"/>
    </row>
    <row r="996" spans="1:6">
      <c r="A996" s="9"/>
      <c r="B996" s="9"/>
      <c r="C996" s="9"/>
      <c r="D996" s="9"/>
      <c r="E996" s="9"/>
      <c r="F996" s="9"/>
    </row>
    <row r="997" spans="1:6">
      <c r="A997" s="9"/>
      <c r="B997" s="9"/>
      <c r="C997" s="9"/>
      <c r="D997" s="9"/>
      <c r="E997" s="9"/>
      <c r="F997" s="9"/>
    </row>
    <row r="998" spans="1:6">
      <c r="A998" s="9"/>
      <c r="B998" s="9"/>
      <c r="C998" s="9"/>
      <c r="D998" s="9"/>
      <c r="E998" s="9"/>
      <c r="F998" s="9"/>
    </row>
    <row r="999" spans="1:6">
      <c r="A999" s="9"/>
      <c r="B999" s="9"/>
      <c r="C999" s="9"/>
      <c r="D999" s="9"/>
      <c r="E999" s="9"/>
      <c r="F999" s="9"/>
    </row>
    <row r="1000" spans="1:6">
      <c r="A1000" s="9"/>
      <c r="B1000" s="9"/>
      <c r="C1000" s="9"/>
      <c r="D1000" s="9"/>
      <c r="E1000" s="9"/>
      <c r="F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AD3"/>
    <outlinePr summaryBelow="0" summaryRight="0"/>
  </sheetPr>
  <dimension ref="A1:E1000"/>
  <sheetViews>
    <sheetView workbookViewId="0">
      <selection activeCell="F3" sqref="F3"/>
    </sheetView>
  </sheetViews>
  <sheetFormatPr defaultColWidth="12.5703125" defaultRowHeight="15.75" customHeight="1"/>
  <cols>
    <col min="1" max="1" width="36.42578125" customWidth="1"/>
    <col min="3" max="3" width="12" customWidth="1"/>
    <col min="4" max="4" width="12.42578125" customWidth="1"/>
  </cols>
  <sheetData>
    <row r="1" spans="1:5" ht="42" customHeight="1">
      <c r="A1" s="1" t="s">
        <v>1</v>
      </c>
      <c r="B1" s="1" t="s">
        <v>3</v>
      </c>
      <c r="C1" s="1" t="s">
        <v>24</v>
      </c>
      <c r="D1" s="17" t="s">
        <v>11</v>
      </c>
      <c r="E1" s="17" t="s">
        <v>25</v>
      </c>
    </row>
    <row r="2" spans="1:5" ht="12.75">
      <c r="A2" s="6" t="s">
        <v>64</v>
      </c>
      <c r="B2" s="9" t="s">
        <v>23</v>
      </c>
      <c r="C2" s="9">
        <v>12</v>
      </c>
      <c r="D2" s="23">
        <v>43500</v>
      </c>
      <c r="E2" s="23">
        <v>3625</v>
      </c>
    </row>
    <row r="3" spans="1:5" ht="12.75">
      <c r="A3" s="6" t="s">
        <v>81</v>
      </c>
      <c r="B3" s="9" t="s">
        <v>23</v>
      </c>
      <c r="C3" s="9">
        <v>7</v>
      </c>
      <c r="D3" s="23">
        <v>27500</v>
      </c>
      <c r="E3" s="23">
        <v>3928.57</v>
      </c>
    </row>
    <row r="4" spans="1:5" ht="12.75">
      <c r="A4" s="6" t="s">
        <v>82</v>
      </c>
      <c r="B4" s="9" t="s">
        <v>23</v>
      </c>
      <c r="C4" s="9">
        <v>4</v>
      </c>
      <c r="D4" s="23">
        <v>85500</v>
      </c>
      <c r="E4" s="23">
        <v>21375</v>
      </c>
    </row>
    <row r="5" spans="1:5" ht="12.75">
      <c r="A5" s="6" t="s">
        <v>79</v>
      </c>
      <c r="B5" s="9" t="s">
        <v>179</v>
      </c>
      <c r="C5" s="9">
        <v>9</v>
      </c>
      <c r="D5" s="23">
        <v>28500</v>
      </c>
      <c r="E5" s="23">
        <v>3166.67</v>
      </c>
    </row>
    <row r="6" spans="1:5" ht="12.75">
      <c r="A6" s="6" t="s">
        <v>83</v>
      </c>
      <c r="B6" s="9" t="s">
        <v>23</v>
      </c>
      <c r="C6" s="9">
        <v>25</v>
      </c>
      <c r="D6" s="23">
        <v>4200</v>
      </c>
      <c r="E6" s="23">
        <v>168</v>
      </c>
    </row>
    <row r="7" spans="1:5" ht="12.75">
      <c r="A7" s="6" t="s">
        <v>85</v>
      </c>
      <c r="B7" s="9" t="s">
        <v>23</v>
      </c>
      <c r="C7" s="9">
        <v>5</v>
      </c>
      <c r="D7" s="23">
        <v>48500</v>
      </c>
      <c r="E7" s="23">
        <v>9700</v>
      </c>
    </row>
    <row r="8" spans="1:5" ht="12.75">
      <c r="A8" s="6" t="s">
        <v>71</v>
      </c>
      <c r="B8" s="9" t="s">
        <v>23</v>
      </c>
      <c r="C8" s="9">
        <v>8</v>
      </c>
      <c r="D8" s="23">
        <v>12500</v>
      </c>
      <c r="E8" s="23">
        <v>1562.5</v>
      </c>
    </row>
    <row r="9" spans="1:5" ht="12.75">
      <c r="A9" s="6" t="s">
        <v>88</v>
      </c>
      <c r="B9" s="9" t="s">
        <v>23</v>
      </c>
      <c r="C9" s="9">
        <v>18</v>
      </c>
      <c r="D9" s="23">
        <v>4500</v>
      </c>
      <c r="E9" s="23">
        <v>250</v>
      </c>
    </row>
    <row r="10" spans="1:5" ht="12.75">
      <c r="A10" s="6" t="s">
        <v>91</v>
      </c>
      <c r="B10" s="9" t="s">
        <v>23</v>
      </c>
      <c r="C10" s="9">
        <v>6</v>
      </c>
      <c r="D10" s="23">
        <v>3200</v>
      </c>
      <c r="E10" s="23">
        <v>533.33000000000004</v>
      </c>
    </row>
    <row r="11" spans="1:5" ht="12.75">
      <c r="A11" s="6" t="s">
        <v>67</v>
      </c>
      <c r="B11" s="9" t="s">
        <v>23</v>
      </c>
      <c r="C11" s="9">
        <v>10</v>
      </c>
      <c r="D11" s="23">
        <v>38500</v>
      </c>
      <c r="E11" s="23">
        <v>3850</v>
      </c>
    </row>
    <row r="12" spans="1:5" ht="12.75">
      <c r="A12" s="6" t="s">
        <v>93</v>
      </c>
      <c r="B12" s="9" t="s">
        <v>23</v>
      </c>
      <c r="C12" s="9">
        <v>3</v>
      </c>
      <c r="D12" s="23">
        <v>22500</v>
      </c>
      <c r="E12" s="23">
        <v>7500</v>
      </c>
    </row>
    <row r="13" spans="1:5" ht="12.75">
      <c r="A13" s="6" t="s">
        <v>96</v>
      </c>
      <c r="B13" s="9" t="s">
        <v>23</v>
      </c>
      <c r="C13" s="9">
        <v>14</v>
      </c>
      <c r="D13" s="23">
        <v>125000</v>
      </c>
      <c r="E13" s="23">
        <v>8928.57</v>
      </c>
    </row>
    <row r="14" spans="1:5" ht="12.75">
      <c r="A14" s="6" t="s">
        <v>99</v>
      </c>
      <c r="B14" s="9" t="s">
        <v>23</v>
      </c>
      <c r="C14" s="9">
        <v>11</v>
      </c>
      <c r="D14" s="23">
        <v>99500</v>
      </c>
      <c r="E14" s="23">
        <v>9045.4500000000007</v>
      </c>
    </row>
    <row r="15" spans="1:5" ht="12.75">
      <c r="A15" s="6" t="s">
        <v>102</v>
      </c>
      <c r="B15" s="9" t="s">
        <v>23</v>
      </c>
      <c r="C15" s="9">
        <v>15</v>
      </c>
      <c r="D15" s="23">
        <v>35500</v>
      </c>
      <c r="E15" s="23">
        <v>2366.67</v>
      </c>
    </row>
    <row r="16" spans="1:5" ht="12.75">
      <c r="A16" s="6" t="s">
        <v>104</v>
      </c>
      <c r="B16" s="9" t="s">
        <v>23</v>
      </c>
      <c r="C16" s="9">
        <v>5</v>
      </c>
      <c r="D16" s="23">
        <v>9800</v>
      </c>
      <c r="E16" s="23">
        <v>1960</v>
      </c>
    </row>
    <row r="17" spans="1:5" ht="12.75">
      <c r="A17" s="6" t="s">
        <v>106</v>
      </c>
      <c r="B17" s="9" t="s">
        <v>23</v>
      </c>
      <c r="C17" s="9">
        <v>7</v>
      </c>
      <c r="D17" s="23">
        <v>64500</v>
      </c>
      <c r="E17" s="23">
        <v>9214.2900000000009</v>
      </c>
    </row>
    <row r="18" spans="1:5" ht="12.75">
      <c r="A18" s="6" t="s">
        <v>107</v>
      </c>
      <c r="B18" s="9" t="s">
        <v>179</v>
      </c>
      <c r="C18" s="9">
        <v>13</v>
      </c>
      <c r="D18" s="23">
        <v>32000</v>
      </c>
      <c r="E18" s="23">
        <v>2461.54</v>
      </c>
    </row>
    <row r="19" spans="1:5" ht="12.75">
      <c r="A19" s="6" t="s">
        <v>109</v>
      </c>
      <c r="B19" s="9" t="s">
        <v>23</v>
      </c>
      <c r="C19" s="9">
        <v>16</v>
      </c>
      <c r="D19" s="23">
        <v>2800</v>
      </c>
      <c r="E19" s="23">
        <v>175</v>
      </c>
    </row>
    <row r="20" spans="1:5" ht="12.75">
      <c r="A20" s="6" t="s">
        <v>111</v>
      </c>
      <c r="B20" s="9" t="s">
        <v>23</v>
      </c>
      <c r="C20" s="9">
        <v>8</v>
      </c>
      <c r="D20" s="23">
        <v>41500</v>
      </c>
      <c r="E20" s="23">
        <v>5187.5</v>
      </c>
    </row>
    <row r="21" spans="1:5" ht="12.75">
      <c r="A21" s="6" t="s">
        <v>113</v>
      </c>
      <c r="B21" s="9" t="s">
        <v>23</v>
      </c>
      <c r="C21" s="9">
        <v>6</v>
      </c>
      <c r="D21" s="23">
        <v>13500</v>
      </c>
      <c r="E21" s="23">
        <v>2250</v>
      </c>
    </row>
    <row r="22" spans="1:5" ht="12.75">
      <c r="A22" s="6" t="s">
        <v>115</v>
      </c>
      <c r="B22" s="9" t="s">
        <v>23</v>
      </c>
      <c r="C22" s="9">
        <v>20</v>
      </c>
      <c r="D22" s="23">
        <v>3000</v>
      </c>
      <c r="E22" s="23">
        <v>150</v>
      </c>
    </row>
    <row r="23" spans="1:5" ht="12.75">
      <c r="A23" s="6" t="s">
        <v>118</v>
      </c>
      <c r="B23" s="9" t="s">
        <v>23</v>
      </c>
      <c r="C23" s="9">
        <v>12</v>
      </c>
      <c r="D23" s="23">
        <v>4000</v>
      </c>
      <c r="E23" s="23">
        <v>333.33</v>
      </c>
    </row>
    <row r="24" spans="1:5" ht="12.75">
      <c r="A24" s="6" t="s">
        <v>120</v>
      </c>
      <c r="B24" s="9" t="s">
        <v>23</v>
      </c>
      <c r="C24" s="9">
        <v>9</v>
      </c>
      <c r="D24" s="23">
        <v>46000</v>
      </c>
      <c r="E24" s="23">
        <v>5111.1099999999997</v>
      </c>
    </row>
    <row r="25" spans="1:5" ht="12.75">
      <c r="A25" s="6" t="s">
        <v>122</v>
      </c>
      <c r="B25" s="9" t="s">
        <v>23</v>
      </c>
      <c r="C25" s="9">
        <v>4</v>
      </c>
      <c r="D25" s="23">
        <v>8200</v>
      </c>
      <c r="E25" s="23">
        <v>2050</v>
      </c>
    </row>
    <row r="26" spans="1:5" ht="12.75">
      <c r="A26" s="6" t="s">
        <v>124</v>
      </c>
      <c r="B26" s="9" t="s">
        <v>23</v>
      </c>
      <c r="C26" s="9">
        <v>7</v>
      </c>
      <c r="D26" s="23">
        <v>69500</v>
      </c>
      <c r="E26" s="23">
        <v>9928.57</v>
      </c>
    </row>
    <row r="27" spans="1:5" ht="12.75">
      <c r="A27" s="6" t="s">
        <v>126</v>
      </c>
      <c r="B27" s="9" t="s">
        <v>23</v>
      </c>
      <c r="C27" s="9">
        <v>10</v>
      </c>
      <c r="D27" s="23">
        <v>74500</v>
      </c>
      <c r="E27" s="23">
        <v>7450</v>
      </c>
    </row>
    <row r="28" spans="1:5" ht="12.75">
      <c r="A28" s="6" t="s">
        <v>129</v>
      </c>
      <c r="B28" s="9" t="s">
        <v>23</v>
      </c>
      <c r="C28" s="9">
        <v>6</v>
      </c>
      <c r="D28" s="23">
        <v>31500</v>
      </c>
      <c r="E28" s="23">
        <v>5250</v>
      </c>
    </row>
    <row r="29" spans="1:5" ht="12.75">
      <c r="A29" s="6" t="s">
        <v>131</v>
      </c>
      <c r="B29" s="9" t="s">
        <v>23</v>
      </c>
      <c r="C29" s="9">
        <v>8</v>
      </c>
      <c r="D29" s="23">
        <v>13800</v>
      </c>
      <c r="E29" s="23">
        <v>1725</v>
      </c>
    </row>
    <row r="30" spans="1:5" ht="12.75">
      <c r="A30" s="6" t="s">
        <v>133</v>
      </c>
      <c r="B30" s="9" t="s">
        <v>23</v>
      </c>
      <c r="C30" s="9">
        <v>5</v>
      </c>
      <c r="D30" s="23">
        <v>29500</v>
      </c>
      <c r="E30" s="23">
        <v>5900</v>
      </c>
    </row>
    <row r="31" spans="1:5" ht="12.75">
      <c r="A31" s="6" t="s">
        <v>135</v>
      </c>
      <c r="B31" s="9" t="s">
        <v>179</v>
      </c>
      <c r="C31" s="9">
        <v>9</v>
      </c>
      <c r="D31" s="23">
        <v>38800</v>
      </c>
      <c r="E31" s="23">
        <v>4311.1099999999997</v>
      </c>
    </row>
    <row r="32" spans="1:5" ht="12.75">
      <c r="A32" s="6" t="s">
        <v>137</v>
      </c>
      <c r="B32" s="9" t="s">
        <v>23</v>
      </c>
      <c r="C32" s="9">
        <v>12</v>
      </c>
      <c r="D32" s="23">
        <v>1600</v>
      </c>
      <c r="E32" s="23">
        <v>133.33000000000001</v>
      </c>
    </row>
    <row r="33" spans="1:5" ht="12.75">
      <c r="A33" s="6" t="s">
        <v>138</v>
      </c>
      <c r="B33" s="9" t="s">
        <v>23</v>
      </c>
      <c r="C33" s="9">
        <v>7</v>
      </c>
      <c r="D33" s="23">
        <v>31000</v>
      </c>
      <c r="E33" s="23">
        <v>4428.57</v>
      </c>
    </row>
    <row r="34" spans="1:5" ht="12.75">
      <c r="A34" s="6" t="s">
        <v>140</v>
      </c>
      <c r="B34" s="9" t="s">
        <v>23</v>
      </c>
      <c r="C34" s="9">
        <v>11</v>
      </c>
      <c r="D34" s="23">
        <v>17500</v>
      </c>
      <c r="E34" s="23">
        <v>1590.91</v>
      </c>
    </row>
    <row r="35" spans="1:5" ht="12.75">
      <c r="A35" s="6" t="s">
        <v>142</v>
      </c>
      <c r="B35" s="9" t="s">
        <v>23</v>
      </c>
      <c r="C35" s="9">
        <v>13</v>
      </c>
      <c r="D35" s="23">
        <v>5000</v>
      </c>
      <c r="E35" s="23">
        <v>384.62</v>
      </c>
    </row>
    <row r="36" spans="1:5" ht="12.75">
      <c r="A36" s="6" t="s">
        <v>145</v>
      </c>
      <c r="B36" s="9" t="s">
        <v>23</v>
      </c>
      <c r="C36" s="9">
        <v>6</v>
      </c>
      <c r="D36" s="23">
        <v>4600</v>
      </c>
      <c r="E36" s="23">
        <v>766.67</v>
      </c>
    </row>
    <row r="37" spans="1:5" ht="12.75">
      <c r="A37" s="6" t="s">
        <v>147</v>
      </c>
      <c r="B37" s="9" t="s">
        <v>23</v>
      </c>
      <c r="C37" s="9">
        <v>10</v>
      </c>
      <c r="D37" s="23">
        <v>44500</v>
      </c>
      <c r="E37" s="23">
        <v>4450</v>
      </c>
    </row>
    <row r="38" spans="1:5" ht="12.75">
      <c r="A38" s="6" t="s">
        <v>149</v>
      </c>
      <c r="B38" s="9" t="s">
        <v>23</v>
      </c>
      <c r="C38" s="9">
        <v>15</v>
      </c>
      <c r="D38" s="23">
        <v>9800</v>
      </c>
      <c r="E38" s="23">
        <v>653.33000000000004</v>
      </c>
    </row>
    <row r="39" spans="1:5" ht="12.75">
      <c r="A39" s="6" t="s">
        <v>152</v>
      </c>
      <c r="B39" s="9" t="s">
        <v>23</v>
      </c>
      <c r="C39" s="9">
        <v>8</v>
      </c>
      <c r="D39" s="23">
        <v>190000</v>
      </c>
      <c r="E39" s="23">
        <v>23750</v>
      </c>
    </row>
    <row r="40" spans="1:5" ht="12.75">
      <c r="A40" s="6" t="s">
        <v>154</v>
      </c>
      <c r="B40" s="9" t="s">
        <v>23</v>
      </c>
      <c r="C40" s="9">
        <v>9</v>
      </c>
      <c r="D40" s="23">
        <v>38500</v>
      </c>
      <c r="E40" s="23">
        <v>4277.78</v>
      </c>
    </row>
    <row r="41" spans="1:5" ht="12.75">
      <c r="A41" s="6" t="s">
        <v>155</v>
      </c>
      <c r="B41" s="9" t="s">
        <v>23</v>
      </c>
      <c r="C41" s="9">
        <v>14</v>
      </c>
      <c r="D41" s="23">
        <v>46500</v>
      </c>
      <c r="E41" s="23">
        <v>3321.43</v>
      </c>
    </row>
    <row r="42" spans="1:5" ht="12.75">
      <c r="A42" s="6" t="s">
        <v>157</v>
      </c>
      <c r="B42" s="9" t="s">
        <v>23</v>
      </c>
      <c r="C42" s="9">
        <v>5</v>
      </c>
      <c r="D42" s="23">
        <v>20500</v>
      </c>
      <c r="E42" s="23">
        <v>4100</v>
      </c>
    </row>
    <row r="43" spans="1:5" ht="12.75">
      <c r="A43" s="6" t="s">
        <v>159</v>
      </c>
      <c r="B43" s="9" t="s">
        <v>23</v>
      </c>
      <c r="C43" s="9">
        <v>6</v>
      </c>
      <c r="D43" s="23">
        <v>59500</v>
      </c>
      <c r="E43" s="23">
        <v>9916.67</v>
      </c>
    </row>
    <row r="44" spans="1:5" ht="12.75">
      <c r="A44" s="6" t="s">
        <v>160</v>
      </c>
      <c r="B44" s="9" t="s">
        <v>179</v>
      </c>
      <c r="C44" s="9">
        <v>7</v>
      </c>
      <c r="D44" s="23">
        <v>45500</v>
      </c>
      <c r="E44" s="23">
        <v>6500</v>
      </c>
    </row>
    <row r="45" spans="1:5" ht="12.75">
      <c r="A45" s="6" t="s">
        <v>162</v>
      </c>
      <c r="B45" s="9" t="s">
        <v>23</v>
      </c>
      <c r="C45" s="9">
        <v>4</v>
      </c>
      <c r="D45" s="23">
        <v>7800</v>
      </c>
      <c r="E45" s="23">
        <v>1950</v>
      </c>
    </row>
    <row r="46" spans="1:5" ht="12.75">
      <c r="A46" s="6" t="s">
        <v>164</v>
      </c>
      <c r="B46" s="9" t="s">
        <v>23</v>
      </c>
      <c r="C46" s="9">
        <v>12</v>
      </c>
      <c r="D46" s="23">
        <v>25500</v>
      </c>
      <c r="E46" s="23">
        <v>2125</v>
      </c>
    </row>
    <row r="47" spans="1:5" ht="12.75">
      <c r="A47" s="6" t="s">
        <v>166</v>
      </c>
      <c r="B47" s="9" t="s">
        <v>23</v>
      </c>
      <c r="C47" s="9">
        <v>10</v>
      </c>
      <c r="D47" s="23">
        <v>11200</v>
      </c>
      <c r="E47" s="23">
        <v>1120</v>
      </c>
    </row>
    <row r="48" spans="1:5" ht="12.75">
      <c r="A48" s="6" t="s">
        <v>168</v>
      </c>
      <c r="B48" s="9" t="s">
        <v>23</v>
      </c>
      <c r="C48" s="9">
        <v>8</v>
      </c>
      <c r="D48" s="23">
        <v>5500</v>
      </c>
      <c r="E48" s="23">
        <v>687.5</v>
      </c>
    </row>
    <row r="49" spans="1:5" ht="12.75">
      <c r="A49" s="6" t="s">
        <v>170</v>
      </c>
      <c r="B49" s="9" t="s">
        <v>23</v>
      </c>
      <c r="C49" s="9">
        <v>3</v>
      </c>
      <c r="D49" s="23">
        <v>6800</v>
      </c>
      <c r="E49" s="23">
        <v>2266.67</v>
      </c>
    </row>
    <row r="50" spans="1:5" ht="12.75">
      <c r="A50" s="6" t="s">
        <v>171</v>
      </c>
      <c r="B50" s="9" t="s">
        <v>23</v>
      </c>
      <c r="C50" s="9">
        <v>6</v>
      </c>
      <c r="D50" s="23">
        <v>37500</v>
      </c>
      <c r="E50" s="23">
        <v>6250</v>
      </c>
    </row>
    <row r="51" spans="1:5" ht="12.75">
      <c r="A51" s="6" t="s">
        <v>173</v>
      </c>
      <c r="B51" s="9" t="s">
        <v>179</v>
      </c>
      <c r="C51" s="9">
        <v>9</v>
      </c>
      <c r="D51" s="23">
        <v>25500</v>
      </c>
      <c r="E51" s="23">
        <v>2833.33</v>
      </c>
    </row>
    <row r="52" spans="1:5" ht="12.75">
      <c r="A52" s="6"/>
      <c r="B52" s="9">
        <f>IFERROR(VLOOKUP(A52,ชื่อสินค้า!A:D,4,FALSE),)</f>
        <v>0</v>
      </c>
      <c r="C52" s="9">
        <f>IF(A52&lt;&gt;"",SUMIF(ซื้อสินค้า!B:B,A52,ซื้อสินค้า!E:E)-SUMIF(ขายสินค้า!B:B,A52,ขายสินค้า!E:E),)</f>
        <v>0</v>
      </c>
      <c r="D52" s="23">
        <f>IF(A52&lt;&gt;"",SUMIF(ซื้อสินค้า!B:B,A52,ซื้อสินค้า!M:M),)</f>
        <v>0</v>
      </c>
      <c r="E52" s="23">
        <f t="shared" ref="E2:E256" si="0">IFERROR(IF(A52&lt;&gt;"",D52/C52,),0)</f>
        <v>0</v>
      </c>
    </row>
    <row r="53" spans="1:5" ht="12.75">
      <c r="A53" s="6"/>
      <c r="B53" s="9">
        <f>IFERROR(VLOOKUP(A53,ชื่อสินค้า!A:D,4,FALSE),)</f>
        <v>0</v>
      </c>
      <c r="C53" s="9">
        <f>IF(A53&lt;&gt;"",SUMIF(ซื้อสินค้า!B:B,A53,ซื้อสินค้า!E:E)-SUMIF(ขายสินค้า!B:B,A53,ขายสินค้า!E:E),)</f>
        <v>0</v>
      </c>
      <c r="D53" s="23">
        <f>IF(A53&lt;&gt;"",SUMIF(ซื้อสินค้า!B:B,A53,ซื้อสินค้า!M:M),)</f>
        <v>0</v>
      </c>
      <c r="E53" s="23">
        <f t="shared" si="0"/>
        <v>0</v>
      </c>
    </row>
    <row r="54" spans="1:5" ht="12.75">
      <c r="A54" s="6"/>
      <c r="B54" s="9"/>
      <c r="C54" s="9">
        <f>IF(A54&lt;&gt;"",SUMIF(ซื้อสินค้า!B:B,A54,ซื้อสินค้า!E:E)-SUMIF(ขายสินค้า!B:B,A54,ขายสินค้า!E:E),)</f>
        <v>0</v>
      </c>
      <c r="D54" s="23">
        <f>IF(A54&lt;&gt;"",SUMIF(ซื้อสินค้า!B:B,A54,ซื้อสินค้า!M:M),)</f>
        <v>0</v>
      </c>
      <c r="E54" s="23">
        <f t="shared" si="0"/>
        <v>0</v>
      </c>
    </row>
    <row r="55" spans="1:5" ht="12.75">
      <c r="A55" s="6"/>
      <c r="B55" s="9">
        <f>IFERROR(VLOOKUP(A55,ชื่อสินค้า!A:D,4,FALSE),)</f>
        <v>0</v>
      </c>
      <c r="C55" s="9">
        <f>IF(A55&lt;&gt;"",SUMIF(ซื้อสินค้า!B:B,A55,ซื้อสินค้า!E:E)-SUMIF(ขายสินค้า!B:B,A55,ขายสินค้า!E:E),)</f>
        <v>0</v>
      </c>
      <c r="D55" s="23">
        <f>IF(A55&lt;&gt;"",SUMIF(ซื้อสินค้า!B:B,A55,ซื้อสินค้า!M:M),)</f>
        <v>0</v>
      </c>
      <c r="E55" s="23">
        <f t="shared" si="0"/>
        <v>0</v>
      </c>
    </row>
    <row r="56" spans="1:5" ht="12.75">
      <c r="A56" s="6"/>
      <c r="B56" s="9">
        <f>IFERROR(VLOOKUP(A56,ชื่อสินค้า!A:D,4,FALSE),)</f>
        <v>0</v>
      </c>
      <c r="C56" s="9">
        <f>IF(A56&lt;&gt;"",SUMIF(ซื้อสินค้า!B:B,A56,ซื้อสินค้า!E:E)-SUMIF(ขายสินค้า!B:B,A56,ขายสินค้า!E:E),)</f>
        <v>0</v>
      </c>
      <c r="D56" s="23">
        <f>IF(A56&lt;&gt;"",SUMIF(ซื้อสินค้า!B:B,A56,ซื้อสินค้า!M:M),)</f>
        <v>0</v>
      </c>
      <c r="E56" s="23">
        <f t="shared" si="0"/>
        <v>0</v>
      </c>
    </row>
    <row r="57" spans="1:5" ht="12.75">
      <c r="A57" s="6"/>
      <c r="B57" s="9">
        <f>IFERROR(VLOOKUP(A57,ชื่อสินค้า!A:D,4,FALSE),)</f>
        <v>0</v>
      </c>
      <c r="C57" s="9">
        <f>IF(A57&lt;&gt;"",SUMIF(ซื้อสินค้า!B:B,A57,ซื้อสินค้า!E:E)-SUMIF(ขายสินค้า!B:B,A57,ขายสินค้า!E:E),)</f>
        <v>0</v>
      </c>
      <c r="D57" s="23">
        <f>IF(A57&lt;&gt;"",SUMIF(ซื้อสินค้า!B:B,A57,ซื้อสินค้า!M:M),)</f>
        <v>0</v>
      </c>
      <c r="E57" s="23">
        <f t="shared" si="0"/>
        <v>0</v>
      </c>
    </row>
    <row r="58" spans="1:5" ht="12.75">
      <c r="A58" s="6"/>
      <c r="B58" s="9">
        <f>IFERROR(VLOOKUP(A58,ชื่อสินค้า!A:D,4,FALSE),)</f>
        <v>0</v>
      </c>
      <c r="C58" s="9">
        <f>IF(A58&lt;&gt;"",SUMIF(ซื้อสินค้า!B:B,A58,ซื้อสินค้า!E:E)-SUMIF(ขายสินค้า!B:B,A58,ขายสินค้า!E:E),)</f>
        <v>0</v>
      </c>
      <c r="D58" s="23">
        <f>IF(A58&lt;&gt;"",SUMIF(ซื้อสินค้า!B:B,A58,ซื้อสินค้า!M:M),)</f>
        <v>0</v>
      </c>
      <c r="E58" s="23">
        <f t="shared" si="0"/>
        <v>0</v>
      </c>
    </row>
    <row r="59" spans="1:5" ht="12.75">
      <c r="A59" s="6"/>
      <c r="B59" s="9">
        <f>IFERROR(VLOOKUP(A59,ชื่อสินค้า!A:D,4,FALSE),)</f>
        <v>0</v>
      </c>
      <c r="C59" s="9">
        <f>IF(A59&lt;&gt;"",SUMIF(ซื้อสินค้า!B:B,A59,ซื้อสินค้า!E:E)-SUMIF(ขายสินค้า!B:B,A59,ขายสินค้า!E:E),)</f>
        <v>0</v>
      </c>
      <c r="D59" s="23">
        <f>IF(A59&lt;&gt;"",SUMIF(ซื้อสินค้า!B:B,A59,ซื้อสินค้า!M:M),)</f>
        <v>0</v>
      </c>
      <c r="E59" s="23">
        <f t="shared" si="0"/>
        <v>0</v>
      </c>
    </row>
    <row r="60" spans="1:5" ht="12.75">
      <c r="A60" s="6"/>
      <c r="B60" s="9">
        <f>IFERROR(VLOOKUP(A60,ชื่อสินค้า!A:D,4,FALSE),)</f>
        <v>0</v>
      </c>
      <c r="C60" s="9">
        <f>IF(A60&lt;&gt;"",SUMIF(ซื้อสินค้า!B:B,A60,ซื้อสินค้า!E:E)-SUMIF(ขายสินค้า!B:B,A60,ขายสินค้า!E:E),)</f>
        <v>0</v>
      </c>
      <c r="D60" s="23">
        <f>IF(A60&lt;&gt;"",SUMIF(ซื้อสินค้า!B:B,A60,ซื้อสินค้า!M:M),)</f>
        <v>0</v>
      </c>
      <c r="E60" s="23">
        <f t="shared" si="0"/>
        <v>0</v>
      </c>
    </row>
    <row r="61" spans="1:5" ht="12.75">
      <c r="A61" s="6"/>
      <c r="B61" s="9">
        <f>IFERROR(VLOOKUP(A61,ชื่อสินค้า!A:D,4,FALSE),)</f>
        <v>0</v>
      </c>
      <c r="C61" s="9">
        <f>IF(A61&lt;&gt;"",SUMIF(ซื้อสินค้า!B:B,A61,ซื้อสินค้า!E:E)-SUMIF(ขายสินค้า!B:B,A61,ขายสินค้า!E:E),)</f>
        <v>0</v>
      </c>
      <c r="D61" s="23">
        <f>IF(A61&lt;&gt;"",SUMIF(ซื้อสินค้า!B:B,A61,ซื้อสินค้า!M:M),)</f>
        <v>0</v>
      </c>
      <c r="E61" s="23">
        <f t="shared" si="0"/>
        <v>0</v>
      </c>
    </row>
    <row r="62" spans="1:5" ht="12.75">
      <c r="A62" s="6"/>
      <c r="B62" s="9">
        <f>IFERROR(VLOOKUP(A62,ชื่อสินค้า!A:D,4,FALSE),)</f>
        <v>0</v>
      </c>
      <c r="C62" s="9">
        <f>IF(A62&lt;&gt;"",SUMIF(ซื้อสินค้า!B:B,A62,ซื้อสินค้า!E:E)-SUMIF(ขายสินค้า!B:B,A62,ขายสินค้า!E:E),)</f>
        <v>0</v>
      </c>
      <c r="D62" s="23">
        <f>IF(A62&lt;&gt;"",SUMIF(ซื้อสินค้า!B:B,A62,ซื้อสินค้า!M:M),)</f>
        <v>0</v>
      </c>
      <c r="E62" s="23">
        <f t="shared" si="0"/>
        <v>0</v>
      </c>
    </row>
    <row r="63" spans="1:5" ht="12.75">
      <c r="A63" s="6"/>
      <c r="B63" s="9">
        <f>IFERROR(VLOOKUP(A63,ชื่อสินค้า!A:D,4,FALSE),)</f>
        <v>0</v>
      </c>
      <c r="C63" s="9">
        <f>IF(A63&lt;&gt;"",SUMIF(ซื้อสินค้า!B:B,A63,ซื้อสินค้า!E:E)-SUMIF(ขายสินค้า!B:B,A63,ขายสินค้า!E:E),)</f>
        <v>0</v>
      </c>
      <c r="D63" s="23">
        <f>IF(A63&lt;&gt;"",SUMIF(ซื้อสินค้า!B:B,A63,ซื้อสินค้า!M:M),)</f>
        <v>0</v>
      </c>
      <c r="E63" s="23">
        <f t="shared" si="0"/>
        <v>0</v>
      </c>
    </row>
    <row r="64" spans="1:5" ht="12.75">
      <c r="A64" s="6"/>
      <c r="B64" s="9">
        <f>IFERROR(VLOOKUP(A64,ชื่อสินค้า!A:D,4,FALSE),)</f>
        <v>0</v>
      </c>
      <c r="C64" s="9">
        <f>IF(A64&lt;&gt;"",SUMIF(ซื้อสินค้า!B:B,A64,ซื้อสินค้า!E:E)-SUMIF(ขายสินค้า!B:B,A64,ขายสินค้า!E:E),)</f>
        <v>0</v>
      </c>
      <c r="D64" s="23">
        <f>IF(A64&lt;&gt;"",SUMIF(ซื้อสินค้า!B:B,A64,ซื้อสินค้า!M:M),)</f>
        <v>0</v>
      </c>
      <c r="E64" s="23">
        <f t="shared" si="0"/>
        <v>0</v>
      </c>
    </row>
    <row r="65" spans="1:5" ht="12.75">
      <c r="A65" s="6"/>
      <c r="B65" s="9">
        <f>IFERROR(VLOOKUP(A65,ชื่อสินค้า!A:D,4,FALSE),)</f>
        <v>0</v>
      </c>
      <c r="C65" s="9">
        <f>IF(A65&lt;&gt;"",SUMIF(ซื้อสินค้า!B:B,A65,ซื้อสินค้า!E:E)-SUMIF(ขายสินค้า!B:B,A65,ขายสินค้า!E:E),)</f>
        <v>0</v>
      </c>
      <c r="D65" s="23">
        <f>IF(A65&lt;&gt;"",SUMIF(ซื้อสินค้า!B:B,A65,ซื้อสินค้า!M:M),)</f>
        <v>0</v>
      </c>
      <c r="E65" s="23">
        <f t="shared" si="0"/>
        <v>0</v>
      </c>
    </row>
    <row r="66" spans="1:5" ht="12.75">
      <c r="A66" s="6"/>
      <c r="B66" s="9">
        <f>IFERROR(VLOOKUP(A66,ชื่อสินค้า!A:D,4,FALSE),)</f>
        <v>0</v>
      </c>
      <c r="C66" s="9">
        <f>IF(A66&lt;&gt;"",SUMIF(ซื้อสินค้า!B:B,A66,ซื้อสินค้า!E:E)-SUMIF(ขายสินค้า!B:B,A66,ขายสินค้า!E:E),)</f>
        <v>0</v>
      </c>
      <c r="D66" s="23">
        <f>IF(A66&lt;&gt;"",SUMIF(ซื้อสินค้า!B:B,A66,ซื้อสินค้า!M:M),)</f>
        <v>0</v>
      </c>
      <c r="E66" s="23">
        <f t="shared" si="0"/>
        <v>0</v>
      </c>
    </row>
    <row r="67" spans="1:5" ht="12.75">
      <c r="A67" s="6"/>
      <c r="B67" s="9">
        <f>IFERROR(VLOOKUP(A67,ชื่อสินค้า!A:D,4,FALSE),)</f>
        <v>0</v>
      </c>
      <c r="C67" s="9">
        <f>IF(A67&lt;&gt;"",SUMIF(ซื้อสินค้า!B:B,A67,ซื้อสินค้า!E:E)-SUMIF(ขายสินค้า!B:B,A67,ขายสินค้า!E:E),)</f>
        <v>0</v>
      </c>
      <c r="D67" s="23">
        <f>IF(A67&lt;&gt;"",SUMIF(ซื้อสินค้า!B:B,A67,ซื้อสินค้า!M:M),)</f>
        <v>0</v>
      </c>
      <c r="E67" s="23">
        <f t="shared" si="0"/>
        <v>0</v>
      </c>
    </row>
    <row r="68" spans="1:5" ht="12.75">
      <c r="A68" s="6"/>
      <c r="B68" s="9">
        <f>IFERROR(VLOOKUP(A68,ชื่อสินค้า!A:D,4,FALSE),)</f>
        <v>0</v>
      </c>
      <c r="C68" s="9">
        <f>IF(A68&lt;&gt;"",SUMIF(ซื้อสินค้า!B:B,A68,ซื้อสินค้า!E:E)-SUMIF(ขายสินค้า!B:B,A68,ขายสินค้า!E:E),)</f>
        <v>0</v>
      </c>
      <c r="D68" s="23">
        <f>IF(A68&lt;&gt;"",SUMIF(ซื้อสินค้า!B:B,A68,ซื้อสินค้า!M:M),)</f>
        <v>0</v>
      </c>
      <c r="E68" s="23">
        <f t="shared" si="0"/>
        <v>0</v>
      </c>
    </row>
    <row r="69" spans="1:5" ht="12.75">
      <c r="A69" s="6"/>
      <c r="B69" s="9">
        <f>IFERROR(VLOOKUP(A69,ชื่อสินค้า!A:D,4,FALSE),)</f>
        <v>0</v>
      </c>
      <c r="C69" s="9">
        <f>IF(A69&lt;&gt;"",SUMIF(ซื้อสินค้า!B:B,A69,ซื้อสินค้า!E:E)-SUMIF(ขายสินค้า!B:B,A69,ขายสินค้า!E:E),)</f>
        <v>0</v>
      </c>
      <c r="D69" s="23">
        <f>IF(A69&lt;&gt;"",SUMIF(ซื้อสินค้า!B:B,A69,ซื้อสินค้า!M:M),)</f>
        <v>0</v>
      </c>
      <c r="E69" s="23">
        <f t="shared" si="0"/>
        <v>0</v>
      </c>
    </row>
    <row r="70" spans="1:5" ht="12.75">
      <c r="A70" s="6"/>
      <c r="B70" s="9">
        <f>IFERROR(VLOOKUP(A70,ชื่อสินค้า!A:D,4,FALSE),)</f>
        <v>0</v>
      </c>
      <c r="C70" s="9">
        <f>IF(A70&lt;&gt;"",SUMIF(ซื้อสินค้า!B:B,A70,ซื้อสินค้า!E:E)-SUMIF(ขายสินค้า!B:B,A70,ขายสินค้า!E:E),)</f>
        <v>0</v>
      </c>
      <c r="D70" s="23">
        <f>IF(A70&lt;&gt;"",SUMIF(ซื้อสินค้า!B:B,A70,ซื้อสินค้า!M:M),)</f>
        <v>0</v>
      </c>
      <c r="E70" s="23">
        <f t="shared" si="0"/>
        <v>0</v>
      </c>
    </row>
    <row r="71" spans="1:5" ht="12.75">
      <c r="A71" s="6"/>
      <c r="B71" s="9">
        <f>IFERROR(VLOOKUP(A71,ชื่อสินค้า!A:D,4,FALSE),)</f>
        <v>0</v>
      </c>
      <c r="C71" s="9">
        <f>IF(A71&lt;&gt;"",SUMIF(ซื้อสินค้า!B:B,A71,ซื้อสินค้า!E:E)-SUMIF(ขายสินค้า!B:B,A71,ขายสินค้า!E:E),)</f>
        <v>0</v>
      </c>
      <c r="D71" s="23">
        <f>IF(A71&lt;&gt;"",SUMIF(ซื้อสินค้า!B:B,A71,ซื้อสินค้า!M:M),)</f>
        <v>0</v>
      </c>
      <c r="E71" s="23">
        <f t="shared" si="0"/>
        <v>0</v>
      </c>
    </row>
    <row r="72" spans="1:5" ht="12.75">
      <c r="A72" s="6"/>
      <c r="B72" s="9">
        <f>IFERROR(VLOOKUP(A72,ชื่อสินค้า!A:D,4,FALSE),)</f>
        <v>0</v>
      </c>
      <c r="C72" s="9">
        <f>IF(A72&lt;&gt;"",SUMIF(ซื้อสินค้า!B:B,A72,ซื้อสินค้า!E:E)-SUMIF(ขายสินค้า!B:B,A72,ขายสินค้า!E:E),)</f>
        <v>0</v>
      </c>
      <c r="D72" s="23">
        <f>IF(A72&lt;&gt;"",SUMIF(ซื้อสินค้า!B:B,A72,ซื้อสินค้า!M:M),)</f>
        <v>0</v>
      </c>
      <c r="E72" s="23">
        <f t="shared" si="0"/>
        <v>0</v>
      </c>
    </row>
    <row r="73" spans="1:5" ht="12.75">
      <c r="A73" s="6"/>
      <c r="B73" s="9">
        <f>IFERROR(VLOOKUP(A73,ชื่อสินค้า!A:D,4,FALSE),)</f>
        <v>0</v>
      </c>
      <c r="C73" s="9">
        <f>IF(A73&lt;&gt;"",SUMIF(ซื้อสินค้า!B:B,A73,ซื้อสินค้า!E:E)-SUMIF(ขายสินค้า!B:B,A73,ขายสินค้า!E:E),)</f>
        <v>0</v>
      </c>
      <c r="D73" s="23">
        <f>IF(A73&lt;&gt;"",SUMIF(ซื้อสินค้า!B:B,A73,ซื้อสินค้า!M:M),)</f>
        <v>0</v>
      </c>
      <c r="E73" s="23">
        <f t="shared" si="0"/>
        <v>0</v>
      </c>
    </row>
    <row r="74" spans="1:5" ht="12.75">
      <c r="A74" s="6"/>
      <c r="B74" s="9">
        <f>IFERROR(VLOOKUP(A74,ชื่อสินค้า!A:D,4,FALSE),)</f>
        <v>0</v>
      </c>
      <c r="C74" s="9">
        <f>IF(A74&lt;&gt;"",SUMIF(ซื้อสินค้า!B:B,A74,ซื้อสินค้า!E:E)-SUMIF(ขายสินค้า!B:B,A74,ขายสินค้า!E:E),)</f>
        <v>0</v>
      </c>
      <c r="D74" s="23">
        <f>IF(A74&lt;&gt;"",SUMIF(ซื้อสินค้า!B:B,A74,ซื้อสินค้า!M:M),)</f>
        <v>0</v>
      </c>
      <c r="E74" s="23">
        <f t="shared" si="0"/>
        <v>0</v>
      </c>
    </row>
    <row r="75" spans="1:5" ht="12.75">
      <c r="A75" s="6"/>
      <c r="B75" s="9">
        <f>IFERROR(VLOOKUP(A75,ชื่อสินค้า!A:D,4,FALSE),)</f>
        <v>0</v>
      </c>
      <c r="C75" s="9">
        <f>IF(A75&lt;&gt;"",SUMIF(ซื้อสินค้า!B:B,A75,ซื้อสินค้า!E:E)-SUMIF(ขายสินค้า!B:B,A75,ขายสินค้า!E:E),)</f>
        <v>0</v>
      </c>
      <c r="D75" s="23">
        <f>IF(A75&lt;&gt;"",SUMIF(ซื้อสินค้า!B:B,A75,ซื้อสินค้า!M:M),)</f>
        <v>0</v>
      </c>
      <c r="E75" s="23">
        <f t="shared" si="0"/>
        <v>0</v>
      </c>
    </row>
    <row r="76" spans="1:5" ht="12.75">
      <c r="A76" s="6"/>
      <c r="B76" s="9">
        <f>IFERROR(VLOOKUP(A76,ชื่อสินค้า!A:D,4,FALSE),)</f>
        <v>0</v>
      </c>
      <c r="C76" s="9">
        <f>IF(A76&lt;&gt;"",SUMIF(ซื้อสินค้า!B:B,A76,ซื้อสินค้า!E:E)-SUMIF(ขายสินค้า!B:B,A76,ขายสินค้า!E:E),)</f>
        <v>0</v>
      </c>
      <c r="D76" s="23">
        <f>IF(A76&lt;&gt;"",SUMIF(ซื้อสินค้า!B:B,A76,ซื้อสินค้า!M:M),)</f>
        <v>0</v>
      </c>
      <c r="E76" s="23">
        <f t="shared" si="0"/>
        <v>0</v>
      </c>
    </row>
    <row r="77" spans="1:5" ht="12.75">
      <c r="A77" s="6"/>
      <c r="B77" s="9">
        <f>IFERROR(VLOOKUP(A77,ชื่อสินค้า!A:D,4,FALSE),)</f>
        <v>0</v>
      </c>
      <c r="C77" s="9">
        <f>IF(A77&lt;&gt;"",SUMIF(ซื้อสินค้า!B:B,A77,ซื้อสินค้า!E:E)-SUMIF(ขายสินค้า!B:B,A77,ขายสินค้า!E:E),)</f>
        <v>0</v>
      </c>
      <c r="D77" s="23">
        <f>IF(A77&lt;&gt;"",SUMIF(ซื้อสินค้า!B:B,A77,ซื้อสินค้า!M:M),)</f>
        <v>0</v>
      </c>
      <c r="E77" s="23">
        <f t="shared" si="0"/>
        <v>0</v>
      </c>
    </row>
    <row r="78" spans="1:5" ht="12.75">
      <c r="A78" s="6"/>
      <c r="B78" s="9">
        <f>IFERROR(VLOOKUP(A78,ชื่อสินค้า!A:D,4,FALSE),)</f>
        <v>0</v>
      </c>
      <c r="C78" s="9">
        <f>IF(A78&lt;&gt;"",SUMIF(ซื้อสินค้า!B:B,A78,ซื้อสินค้า!E:E)-SUMIF(ขายสินค้า!B:B,A78,ขายสินค้า!E:E),)</f>
        <v>0</v>
      </c>
      <c r="D78" s="23">
        <f>IF(A78&lt;&gt;"",SUMIF(ซื้อสินค้า!B:B,A78,ซื้อสินค้า!M:M),)</f>
        <v>0</v>
      </c>
      <c r="E78" s="23">
        <f t="shared" si="0"/>
        <v>0</v>
      </c>
    </row>
    <row r="79" spans="1:5" ht="12.75">
      <c r="A79" s="6"/>
      <c r="B79" s="9">
        <f>IFERROR(VLOOKUP(A79,ชื่อสินค้า!A:D,4,FALSE),)</f>
        <v>0</v>
      </c>
      <c r="C79" s="9">
        <f>IF(A79&lt;&gt;"",SUMIF(ซื้อสินค้า!B:B,A79,ซื้อสินค้า!E:E)-SUMIF(ขายสินค้า!B:B,A79,ขายสินค้า!E:E),)</f>
        <v>0</v>
      </c>
      <c r="D79" s="23">
        <f>IF(A79&lt;&gt;"",SUMIF(ซื้อสินค้า!B:B,A79,ซื้อสินค้า!M:M),)</f>
        <v>0</v>
      </c>
      <c r="E79" s="23">
        <f t="shared" si="0"/>
        <v>0</v>
      </c>
    </row>
    <row r="80" spans="1:5" ht="12.75">
      <c r="A80" s="6"/>
      <c r="B80" s="9">
        <f>IFERROR(VLOOKUP(A80,ชื่อสินค้า!A:D,4,FALSE),)</f>
        <v>0</v>
      </c>
      <c r="C80" s="9">
        <f>IF(A80&lt;&gt;"",SUMIF(ซื้อสินค้า!B:B,A80,ซื้อสินค้า!E:E)-SUMIF(ขายสินค้า!B:B,A80,ขายสินค้า!E:E),)</f>
        <v>0</v>
      </c>
      <c r="D80" s="23">
        <f>IF(A80&lt;&gt;"",SUMIF(ซื้อสินค้า!B:B,A80,ซื้อสินค้า!M:M),)</f>
        <v>0</v>
      </c>
      <c r="E80" s="23">
        <f t="shared" si="0"/>
        <v>0</v>
      </c>
    </row>
    <row r="81" spans="1:5" ht="12.75">
      <c r="A81" s="6"/>
      <c r="B81" s="9">
        <f>IFERROR(VLOOKUP(A81,ชื่อสินค้า!A:D,4,FALSE),)</f>
        <v>0</v>
      </c>
      <c r="C81" s="9">
        <f>IF(A81&lt;&gt;"",SUMIF(ซื้อสินค้า!B:B,A81,ซื้อสินค้า!E:E)-SUMIF(ขายสินค้า!B:B,A81,ขายสินค้า!E:E),)</f>
        <v>0</v>
      </c>
      <c r="D81" s="23">
        <f>IF(A81&lt;&gt;"",SUMIF(ซื้อสินค้า!B:B,A81,ซื้อสินค้า!M:M),)</f>
        <v>0</v>
      </c>
      <c r="E81" s="23">
        <f t="shared" si="0"/>
        <v>0</v>
      </c>
    </row>
    <row r="82" spans="1:5" ht="12.75">
      <c r="A82" s="6"/>
      <c r="B82" s="9">
        <f>IFERROR(VLOOKUP(A82,ชื่อสินค้า!A:D,4,FALSE),)</f>
        <v>0</v>
      </c>
      <c r="C82" s="9">
        <f>IF(A82&lt;&gt;"",SUMIF(ซื้อสินค้า!B:B,A82,ซื้อสินค้า!E:E)-SUMIF(ขายสินค้า!B:B,A82,ขายสินค้า!E:E),)</f>
        <v>0</v>
      </c>
      <c r="D82" s="23">
        <f>IF(A82&lt;&gt;"",SUMIF(ซื้อสินค้า!B:B,A82,ซื้อสินค้า!M:M),)</f>
        <v>0</v>
      </c>
      <c r="E82" s="23">
        <f t="shared" si="0"/>
        <v>0</v>
      </c>
    </row>
    <row r="83" spans="1:5" ht="12.75">
      <c r="A83" s="6"/>
      <c r="B83" s="9">
        <f>IFERROR(VLOOKUP(A83,ชื่อสินค้า!A:D,4,FALSE),)</f>
        <v>0</v>
      </c>
      <c r="C83" s="9">
        <f>IF(A83&lt;&gt;"",SUMIF(ซื้อสินค้า!B:B,A83,ซื้อสินค้า!E:E)-SUMIF(ขายสินค้า!B:B,A83,ขายสินค้า!E:E),)</f>
        <v>0</v>
      </c>
      <c r="D83" s="23">
        <f>IF(A83&lt;&gt;"",SUMIF(ซื้อสินค้า!B:B,A83,ซื้อสินค้า!M:M),)</f>
        <v>0</v>
      </c>
      <c r="E83" s="23">
        <f t="shared" si="0"/>
        <v>0</v>
      </c>
    </row>
    <row r="84" spans="1:5" ht="12.75">
      <c r="A84" s="6"/>
      <c r="B84" s="9">
        <f>IFERROR(VLOOKUP(A84,ชื่อสินค้า!A:D,4,FALSE),)</f>
        <v>0</v>
      </c>
      <c r="C84" s="9">
        <f>IF(A84&lt;&gt;"",SUMIF(ซื้อสินค้า!B:B,A84,ซื้อสินค้า!E:E)-SUMIF(ขายสินค้า!B:B,A84,ขายสินค้า!E:E),)</f>
        <v>0</v>
      </c>
      <c r="D84" s="23">
        <f>IF(A84&lt;&gt;"",SUMIF(ซื้อสินค้า!B:B,A84,ซื้อสินค้า!M:M),)</f>
        <v>0</v>
      </c>
      <c r="E84" s="23">
        <f t="shared" si="0"/>
        <v>0</v>
      </c>
    </row>
    <row r="85" spans="1:5" ht="12.75">
      <c r="A85" s="6"/>
      <c r="B85" s="9">
        <f>IFERROR(VLOOKUP(A85,ชื่อสินค้า!A:D,4,FALSE),)</f>
        <v>0</v>
      </c>
      <c r="C85" s="9">
        <f>IF(A85&lt;&gt;"",SUMIF(ซื้อสินค้า!B:B,A85,ซื้อสินค้า!E:E)-SUMIF(ขายสินค้า!B:B,A85,ขายสินค้า!E:E),)</f>
        <v>0</v>
      </c>
      <c r="D85" s="23">
        <f>IF(A85&lt;&gt;"",SUMIF(ซื้อสินค้า!B:B,A85,ซื้อสินค้า!M:M),)</f>
        <v>0</v>
      </c>
      <c r="E85" s="23">
        <f t="shared" si="0"/>
        <v>0</v>
      </c>
    </row>
    <row r="86" spans="1:5" ht="12.75">
      <c r="A86" s="6"/>
      <c r="B86" s="9">
        <f>IFERROR(VLOOKUP(A86,ชื่อสินค้า!A:D,4,FALSE),)</f>
        <v>0</v>
      </c>
      <c r="C86" s="9">
        <f>IF(A86&lt;&gt;"",SUMIF(ซื้อสินค้า!B:B,A86,ซื้อสินค้า!E:E)-SUMIF(ขายสินค้า!B:B,A86,ขายสินค้า!E:E),)</f>
        <v>0</v>
      </c>
      <c r="D86" s="23">
        <f>IF(A86&lt;&gt;"",SUMIF(ซื้อสินค้า!B:B,A86,ซื้อสินค้า!M:M),)</f>
        <v>0</v>
      </c>
      <c r="E86" s="23">
        <f t="shared" si="0"/>
        <v>0</v>
      </c>
    </row>
    <row r="87" spans="1:5" ht="12.75">
      <c r="A87" s="6"/>
      <c r="B87" s="9">
        <f>IFERROR(VLOOKUP(A87,ชื่อสินค้า!A:D,4,FALSE),)</f>
        <v>0</v>
      </c>
      <c r="C87" s="9">
        <f>IF(A87&lt;&gt;"",SUMIF(ซื้อสินค้า!B:B,A87,ซื้อสินค้า!E:E)-SUMIF(ขายสินค้า!B:B,A87,ขายสินค้า!E:E),)</f>
        <v>0</v>
      </c>
      <c r="D87" s="23">
        <f>IF(A87&lt;&gt;"",SUMIF(ซื้อสินค้า!B:B,A87,ซื้อสินค้า!M:M),)</f>
        <v>0</v>
      </c>
      <c r="E87" s="23">
        <f t="shared" si="0"/>
        <v>0</v>
      </c>
    </row>
    <row r="88" spans="1:5" ht="12.75">
      <c r="A88" s="6"/>
      <c r="B88" s="9">
        <f>IFERROR(VLOOKUP(A88,ชื่อสินค้า!A:D,4,FALSE),)</f>
        <v>0</v>
      </c>
      <c r="C88" s="9">
        <f>IF(A88&lt;&gt;"",SUMIF(ซื้อสินค้า!B:B,A88,ซื้อสินค้า!E:E)-SUMIF(ขายสินค้า!B:B,A88,ขายสินค้า!E:E),)</f>
        <v>0</v>
      </c>
      <c r="D88" s="23">
        <f>IF(A88&lt;&gt;"",SUMIF(ซื้อสินค้า!B:B,A88,ซื้อสินค้า!M:M),)</f>
        <v>0</v>
      </c>
      <c r="E88" s="23">
        <f t="shared" si="0"/>
        <v>0</v>
      </c>
    </row>
    <row r="89" spans="1:5" ht="12.75">
      <c r="A89" s="6"/>
      <c r="B89" s="9">
        <f>IFERROR(VLOOKUP(A89,ชื่อสินค้า!A:D,4,FALSE),)</f>
        <v>0</v>
      </c>
      <c r="C89" s="9">
        <f>IF(A89&lt;&gt;"",SUMIF(ซื้อสินค้า!B:B,A89,ซื้อสินค้า!E:E)-SUMIF(ขายสินค้า!B:B,A89,ขายสินค้า!E:E),)</f>
        <v>0</v>
      </c>
      <c r="D89" s="23">
        <f>IF(A89&lt;&gt;"",SUMIF(ซื้อสินค้า!B:B,A89,ซื้อสินค้า!M:M),)</f>
        <v>0</v>
      </c>
      <c r="E89" s="23">
        <f t="shared" si="0"/>
        <v>0</v>
      </c>
    </row>
    <row r="90" spans="1:5" ht="12.75">
      <c r="A90" s="6"/>
      <c r="B90" s="9">
        <f>IFERROR(VLOOKUP(A90,ชื่อสินค้า!A:D,4,FALSE),)</f>
        <v>0</v>
      </c>
      <c r="C90" s="9">
        <f>IF(A90&lt;&gt;"",SUMIF(ซื้อสินค้า!B:B,A90,ซื้อสินค้า!E:E)-SUMIF(ขายสินค้า!B:B,A90,ขายสินค้า!E:E),)</f>
        <v>0</v>
      </c>
      <c r="D90" s="23">
        <f>IF(A90&lt;&gt;"",SUMIF(ซื้อสินค้า!B:B,A90,ซื้อสินค้า!M:M),)</f>
        <v>0</v>
      </c>
      <c r="E90" s="23">
        <f t="shared" si="0"/>
        <v>0</v>
      </c>
    </row>
    <row r="91" spans="1:5" ht="12.75">
      <c r="A91" s="6"/>
      <c r="B91" s="9">
        <f>IFERROR(VLOOKUP(A91,ชื่อสินค้า!A:D,4,FALSE),)</f>
        <v>0</v>
      </c>
      <c r="C91" s="9">
        <f>IF(A91&lt;&gt;"",SUMIF(ซื้อสินค้า!B:B,A91,ซื้อสินค้า!E:E)-SUMIF(ขายสินค้า!B:B,A91,ขายสินค้า!E:E),)</f>
        <v>0</v>
      </c>
      <c r="D91" s="23">
        <f>IF(A91&lt;&gt;"",SUMIF(ซื้อสินค้า!B:B,A91,ซื้อสินค้า!M:M),)</f>
        <v>0</v>
      </c>
      <c r="E91" s="23">
        <f t="shared" si="0"/>
        <v>0</v>
      </c>
    </row>
    <row r="92" spans="1:5" ht="12.75">
      <c r="A92" s="6"/>
      <c r="B92" s="9">
        <f>IFERROR(VLOOKUP(A92,ชื่อสินค้า!A:D,4,FALSE),)</f>
        <v>0</v>
      </c>
      <c r="C92" s="9">
        <f>IF(A92&lt;&gt;"",SUMIF(ซื้อสินค้า!B:B,A92,ซื้อสินค้า!E:E)-SUMIF(ขายสินค้า!B:B,A92,ขายสินค้า!E:E),)</f>
        <v>0</v>
      </c>
      <c r="D92" s="23">
        <f>IF(A92&lt;&gt;"",SUMIF(ซื้อสินค้า!B:B,A92,ซื้อสินค้า!M:M),)</f>
        <v>0</v>
      </c>
      <c r="E92" s="23">
        <f t="shared" si="0"/>
        <v>0</v>
      </c>
    </row>
    <row r="93" spans="1:5" ht="12.75">
      <c r="A93" s="6"/>
      <c r="B93" s="9">
        <f>IFERROR(VLOOKUP(A93,ชื่อสินค้า!A:D,4,FALSE),)</f>
        <v>0</v>
      </c>
      <c r="C93" s="9">
        <f>IF(A93&lt;&gt;"",SUMIF(ซื้อสินค้า!B:B,A93,ซื้อสินค้า!E:E)-SUMIF(ขายสินค้า!B:B,A93,ขายสินค้า!E:E),)</f>
        <v>0</v>
      </c>
      <c r="D93" s="23">
        <f>IF(A93&lt;&gt;"",SUMIF(ซื้อสินค้า!B:B,A93,ซื้อสินค้า!M:M),)</f>
        <v>0</v>
      </c>
      <c r="E93" s="23">
        <f t="shared" si="0"/>
        <v>0</v>
      </c>
    </row>
    <row r="94" spans="1:5" ht="12.75">
      <c r="A94" s="6"/>
      <c r="B94" s="9">
        <f>IFERROR(VLOOKUP(A94,ชื่อสินค้า!A:D,4,FALSE),)</f>
        <v>0</v>
      </c>
      <c r="C94" s="9">
        <f>IF(A94&lt;&gt;"",SUMIF(ซื้อสินค้า!B:B,A94,ซื้อสินค้า!E:E)-SUMIF(ขายสินค้า!B:B,A94,ขายสินค้า!E:E),)</f>
        <v>0</v>
      </c>
      <c r="D94" s="23">
        <f>IF(A94&lt;&gt;"",SUMIF(ซื้อสินค้า!B:B,A94,ซื้อสินค้า!M:M),)</f>
        <v>0</v>
      </c>
      <c r="E94" s="23">
        <f t="shared" si="0"/>
        <v>0</v>
      </c>
    </row>
    <row r="95" spans="1:5" ht="12.75">
      <c r="A95" s="6"/>
      <c r="B95" s="9">
        <f>IFERROR(VLOOKUP(A95,ชื่อสินค้า!A:D,4,FALSE),)</f>
        <v>0</v>
      </c>
      <c r="C95" s="9">
        <f>IF(A95&lt;&gt;"",SUMIF(ซื้อสินค้า!B:B,A95,ซื้อสินค้า!E:E)-SUMIF(ขายสินค้า!B:B,A95,ขายสินค้า!E:E),)</f>
        <v>0</v>
      </c>
      <c r="D95" s="23">
        <f>IF(A95&lt;&gt;"",SUMIF(ซื้อสินค้า!B:B,A95,ซื้อสินค้า!M:M),)</f>
        <v>0</v>
      </c>
      <c r="E95" s="23">
        <f t="shared" si="0"/>
        <v>0</v>
      </c>
    </row>
    <row r="96" spans="1:5" ht="12.75">
      <c r="A96" s="6"/>
      <c r="B96" s="9">
        <f>IFERROR(VLOOKUP(A96,ชื่อสินค้า!A:D,4,FALSE),)</f>
        <v>0</v>
      </c>
      <c r="C96" s="9">
        <f>IF(A96&lt;&gt;"",SUMIF(ซื้อสินค้า!B:B,A96,ซื้อสินค้า!E:E)-SUMIF(ขายสินค้า!B:B,A96,ขายสินค้า!E:E),)</f>
        <v>0</v>
      </c>
      <c r="D96" s="23">
        <f>IF(A96&lt;&gt;"",SUMIF(ซื้อสินค้า!B:B,A96,ซื้อสินค้า!M:M),)</f>
        <v>0</v>
      </c>
      <c r="E96" s="23">
        <f t="shared" si="0"/>
        <v>0</v>
      </c>
    </row>
    <row r="97" spans="1:5" ht="12.75">
      <c r="A97" s="6"/>
      <c r="B97" s="9">
        <f>IFERROR(VLOOKUP(A97,ชื่อสินค้า!A:D,4,FALSE),)</f>
        <v>0</v>
      </c>
      <c r="C97" s="9">
        <f>IF(A97&lt;&gt;"",SUMIF(ซื้อสินค้า!B:B,A97,ซื้อสินค้า!E:E)-SUMIF(ขายสินค้า!B:B,A97,ขายสินค้า!E:E),)</f>
        <v>0</v>
      </c>
      <c r="D97" s="23">
        <f>IF(A97&lt;&gt;"",SUMIF(ซื้อสินค้า!B:B,A97,ซื้อสินค้า!M:M),)</f>
        <v>0</v>
      </c>
      <c r="E97" s="23">
        <f t="shared" si="0"/>
        <v>0</v>
      </c>
    </row>
    <row r="98" spans="1:5" ht="12.75">
      <c r="A98" s="6"/>
      <c r="B98" s="9">
        <f>IFERROR(VLOOKUP(A98,ชื่อสินค้า!A:D,4,FALSE),)</f>
        <v>0</v>
      </c>
      <c r="C98" s="9">
        <f>IF(A98&lt;&gt;"",SUMIF(ซื้อสินค้า!B:B,A98,ซื้อสินค้า!E:E)-SUMIF(ขายสินค้า!B:B,A98,ขายสินค้า!E:E),)</f>
        <v>0</v>
      </c>
      <c r="D98" s="23">
        <f>IF(A98&lt;&gt;"",SUMIF(ซื้อสินค้า!B:B,A98,ซื้อสินค้า!M:M),)</f>
        <v>0</v>
      </c>
      <c r="E98" s="23">
        <f t="shared" si="0"/>
        <v>0</v>
      </c>
    </row>
    <row r="99" spans="1:5" ht="12.75">
      <c r="A99" s="6"/>
      <c r="B99" s="9">
        <f>IFERROR(VLOOKUP(A99,ชื่อสินค้า!A:D,4,FALSE),)</f>
        <v>0</v>
      </c>
      <c r="C99" s="9">
        <f>IF(A99&lt;&gt;"",SUMIF(ซื้อสินค้า!B:B,A99,ซื้อสินค้า!E:E)-SUMIF(ขายสินค้า!B:B,A99,ขายสินค้า!E:E),)</f>
        <v>0</v>
      </c>
      <c r="D99" s="23">
        <f>IF(A99&lt;&gt;"",SUMIF(ซื้อสินค้า!B:B,A99,ซื้อสินค้า!M:M),)</f>
        <v>0</v>
      </c>
      <c r="E99" s="23">
        <f t="shared" si="0"/>
        <v>0</v>
      </c>
    </row>
    <row r="100" spans="1:5" ht="12.75">
      <c r="A100" s="6"/>
      <c r="B100" s="9">
        <f>IFERROR(VLOOKUP(A100,ชื่อสินค้า!A:D,4,FALSE),)</f>
        <v>0</v>
      </c>
      <c r="C100" s="9">
        <f>IF(A100&lt;&gt;"",SUMIF(ซื้อสินค้า!B:B,A100,ซื้อสินค้า!E:E)-SUMIF(ขายสินค้า!B:B,A100,ขายสินค้า!E:E),)</f>
        <v>0</v>
      </c>
      <c r="D100" s="23">
        <f>IF(A100&lt;&gt;"",SUMIF(ซื้อสินค้า!B:B,A100,ซื้อสินค้า!M:M),)</f>
        <v>0</v>
      </c>
      <c r="E100" s="23">
        <f t="shared" si="0"/>
        <v>0</v>
      </c>
    </row>
    <row r="101" spans="1:5" ht="12.75">
      <c r="A101" s="6"/>
      <c r="B101" s="9">
        <f>IFERROR(VLOOKUP(A101,ชื่อสินค้า!A:D,4,FALSE),)</f>
        <v>0</v>
      </c>
      <c r="C101" s="9">
        <f>IF(A101&lt;&gt;"",SUMIF(ซื้อสินค้า!B:B,A101,ซื้อสินค้า!E:E)-SUMIF(ขายสินค้า!B:B,A101,ขายสินค้า!E:E),)</f>
        <v>0</v>
      </c>
      <c r="D101" s="23">
        <f>IF(A101&lt;&gt;"",SUMIF(ซื้อสินค้า!B:B,A101,ซื้อสินค้า!M:M),)</f>
        <v>0</v>
      </c>
      <c r="E101" s="23">
        <f t="shared" si="0"/>
        <v>0</v>
      </c>
    </row>
    <row r="102" spans="1:5" ht="12.75">
      <c r="A102" s="6"/>
      <c r="B102" s="9">
        <f>IFERROR(VLOOKUP(A102,ชื่อสินค้า!A:D,4,FALSE),)</f>
        <v>0</v>
      </c>
      <c r="C102" s="9">
        <f>IF(A102&lt;&gt;"",SUMIF(ซื้อสินค้า!B:B,A102,ซื้อสินค้า!E:E)-SUMIF(ขายสินค้า!B:B,A102,ขายสินค้า!E:E),)</f>
        <v>0</v>
      </c>
      <c r="D102" s="23">
        <f>IF(A102&lt;&gt;"",SUMIF(ซื้อสินค้า!B:B,A102,ซื้อสินค้า!M:M),)</f>
        <v>0</v>
      </c>
      <c r="E102" s="23">
        <f t="shared" si="0"/>
        <v>0</v>
      </c>
    </row>
    <row r="103" spans="1:5" ht="12.75">
      <c r="A103" s="6"/>
      <c r="B103" s="9">
        <f>IFERROR(VLOOKUP(A103,ชื่อสินค้า!A:D,4,FALSE),)</f>
        <v>0</v>
      </c>
      <c r="C103" s="9">
        <f>IF(A103&lt;&gt;"",SUMIF(ซื้อสินค้า!B:B,A103,ซื้อสินค้า!E:E)-SUMIF(ขายสินค้า!B:B,A103,ขายสินค้า!E:E),)</f>
        <v>0</v>
      </c>
      <c r="D103" s="23">
        <f>IF(A103&lt;&gt;"",SUMIF(ซื้อสินค้า!B:B,A103,ซื้อสินค้า!M:M),)</f>
        <v>0</v>
      </c>
      <c r="E103" s="23">
        <f t="shared" si="0"/>
        <v>0</v>
      </c>
    </row>
    <row r="104" spans="1:5" ht="12.75">
      <c r="A104" s="6"/>
      <c r="B104" s="9">
        <f>IFERROR(VLOOKUP(A104,ชื่อสินค้า!A:D,4,FALSE),)</f>
        <v>0</v>
      </c>
      <c r="C104" s="9">
        <f>IF(A104&lt;&gt;"",SUMIF(ซื้อสินค้า!B:B,A104,ซื้อสินค้า!E:E)-SUMIF(ขายสินค้า!B:B,A104,ขายสินค้า!E:E),)</f>
        <v>0</v>
      </c>
      <c r="D104" s="23">
        <f>IF(A104&lt;&gt;"",SUMIF(ซื้อสินค้า!B:B,A104,ซื้อสินค้า!M:M),)</f>
        <v>0</v>
      </c>
      <c r="E104" s="23">
        <f t="shared" si="0"/>
        <v>0</v>
      </c>
    </row>
    <row r="105" spans="1:5" ht="12.75">
      <c r="A105" s="6"/>
      <c r="B105" s="9">
        <f>IFERROR(VLOOKUP(A105,ชื่อสินค้า!A:D,4,FALSE),)</f>
        <v>0</v>
      </c>
      <c r="C105" s="9">
        <f>IF(A105&lt;&gt;"",SUMIF(ซื้อสินค้า!B:B,A105,ซื้อสินค้า!E:E)-SUMIF(ขายสินค้า!B:B,A105,ขายสินค้า!E:E),)</f>
        <v>0</v>
      </c>
      <c r="D105" s="23">
        <f>IF(A105&lt;&gt;"",SUMIF(ซื้อสินค้า!B:B,A105,ซื้อสินค้า!M:M),)</f>
        <v>0</v>
      </c>
      <c r="E105" s="23">
        <f t="shared" si="0"/>
        <v>0</v>
      </c>
    </row>
    <row r="106" spans="1:5" ht="12.75">
      <c r="A106" s="6"/>
      <c r="B106" s="9">
        <f>IFERROR(VLOOKUP(A106,ชื่อสินค้า!A:D,4,FALSE),)</f>
        <v>0</v>
      </c>
      <c r="C106" s="9">
        <f>IF(A106&lt;&gt;"",SUMIF(ซื้อสินค้า!B:B,A106,ซื้อสินค้า!E:E)-SUMIF(ขายสินค้า!B:B,A106,ขายสินค้า!E:E),)</f>
        <v>0</v>
      </c>
      <c r="D106" s="23">
        <f>IF(A106&lt;&gt;"",SUMIF(ซื้อสินค้า!B:B,A106,ซื้อสินค้า!M:M),)</f>
        <v>0</v>
      </c>
      <c r="E106" s="23">
        <f t="shared" si="0"/>
        <v>0</v>
      </c>
    </row>
    <row r="107" spans="1:5" ht="12.75">
      <c r="A107" s="6"/>
      <c r="B107" s="9">
        <f>IFERROR(VLOOKUP(A107,ชื่อสินค้า!A:D,4,FALSE),)</f>
        <v>0</v>
      </c>
      <c r="C107" s="9">
        <f>IF(A107&lt;&gt;"",SUMIF(ซื้อสินค้า!B:B,A107,ซื้อสินค้า!E:E)-SUMIF(ขายสินค้า!B:B,A107,ขายสินค้า!E:E),)</f>
        <v>0</v>
      </c>
      <c r="D107" s="23">
        <f>IF(A107&lt;&gt;"",SUMIF(ซื้อสินค้า!B:B,A107,ซื้อสินค้า!M:M),)</f>
        <v>0</v>
      </c>
      <c r="E107" s="23">
        <f t="shared" si="0"/>
        <v>0</v>
      </c>
    </row>
    <row r="108" spans="1:5" ht="12.75">
      <c r="A108" s="6"/>
      <c r="B108" s="9">
        <f>IFERROR(VLOOKUP(A108,ชื่อสินค้า!A:D,4,FALSE),)</f>
        <v>0</v>
      </c>
      <c r="C108" s="9">
        <f>IF(A108&lt;&gt;"",SUMIF(ซื้อสินค้า!B:B,A108,ซื้อสินค้า!E:E)-SUMIF(ขายสินค้า!B:B,A108,ขายสินค้า!E:E),)</f>
        <v>0</v>
      </c>
      <c r="D108" s="23">
        <f>IF(A108&lt;&gt;"",SUMIF(ซื้อสินค้า!B:B,A108,ซื้อสินค้า!M:M),)</f>
        <v>0</v>
      </c>
      <c r="E108" s="23">
        <f t="shared" si="0"/>
        <v>0</v>
      </c>
    </row>
    <row r="109" spans="1:5" ht="12.75">
      <c r="A109" s="6"/>
      <c r="B109" s="9">
        <f>IFERROR(VLOOKUP(A109,ชื่อสินค้า!A:D,4,FALSE),)</f>
        <v>0</v>
      </c>
      <c r="C109" s="9">
        <f>IF(A109&lt;&gt;"",SUMIF(ซื้อสินค้า!B:B,A109,ซื้อสินค้า!E:E)-SUMIF(ขายสินค้า!B:B,A109,ขายสินค้า!E:E),)</f>
        <v>0</v>
      </c>
      <c r="D109" s="23">
        <f>IF(A109&lt;&gt;"",SUMIF(ซื้อสินค้า!B:B,A109,ซื้อสินค้า!M:M),)</f>
        <v>0</v>
      </c>
      <c r="E109" s="23">
        <f t="shared" si="0"/>
        <v>0</v>
      </c>
    </row>
    <row r="110" spans="1:5" ht="12.75">
      <c r="A110" s="6"/>
      <c r="B110" s="9">
        <f>IFERROR(VLOOKUP(A110,ชื่อสินค้า!A:D,4,FALSE),)</f>
        <v>0</v>
      </c>
      <c r="C110" s="9">
        <f>IF(A110&lt;&gt;"",SUMIF(ซื้อสินค้า!B:B,A110,ซื้อสินค้า!E:E)-SUMIF(ขายสินค้า!B:B,A110,ขายสินค้า!E:E),)</f>
        <v>0</v>
      </c>
      <c r="D110" s="23">
        <f>IF(A110&lt;&gt;"",SUMIF(ซื้อสินค้า!B:B,A110,ซื้อสินค้า!M:M),)</f>
        <v>0</v>
      </c>
      <c r="E110" s="23">
        <f t="shared" si="0"/>
        <v>0</v>
      </c>
    </row>
    <row r="111" spans="1:5" ht="12.75">
      <c r="A111" s="6"/>
      <c r="B111" s="9">
        <f>IFERROR(VLOOKUP(A111,ชื่อสินค้า!A:D,4,FALSE),)</f>
        <v>0</v>
      </c>
      <c r="C111" s="9">
        <f>IF(A111&lt;&gt;"",SUMIF(ซื้อสินค้า!B:B,A111,ซื้อสินค้า!E:E)-SUMIF(ขายสินค้า!B:B,A111,ขายสินค้า!E:E),)</f>
        <v>0</v>
      </c>
      <c r="D111" s="23">
        <f>IF(A111&lt;&gt;"",SUMIF(ซื้อสินค้า!B:B,A111,ซื้อสินค้า!M:M),)</f>
        <v>0</v>
      </c>
      <c r="E111" s="23">
        <f t="shared" si="0"/>
        <v>0</v>
      </c>
    </row>
    <row r="112" spans="1:5" ht="12.75">
      <c r="A112" s="6"/>
      <c r="B112" s="9">
        <f>IFERROR(VLOOKUP(A112,ชื่อสินค้า!A:D,4,FALSE),)</f>
        <v>0</v>
      </c>
      <c r="C112" s="9">
        <f>IF(A112&lt;&gt;"",SUMIF(ซื้อสินค้า!B:B,A112,ซื้อสินค้า!E:E)-SUMIF(ขายสินค้า!B:B,A112,ขายสินค้า!E:E),)</f>
        <v>0</v>
      </c>
      <c r="D112" s="23">
        <f>IF(A112&lt;&gt;"",SUMIF(ซื้อสินค้า!B:B,A112,ซื้อสินค้า!M:M),)</f>
        <v>0</v>
      </c>
      <c r="E112" s="23">
        <f t="shared" si="0"/>
        <v>0</v>
      </c>
    </row>
    <row r="113" spans="1:5" ht="12.75">
      <c r="A113" s="6"/>
      <c r="B113" s="9">
        <f>IFERROR(VLOOKUP(A113,ชื่อสินค้า!A:D,4,FALSE),)</f>
        <v>0</v>
      </c>
      <c r="C113" s="9">
        <f>IF(A113&lt;&gt;"",SUMIF(ซื้อสินค้า!B:B,A113,ซื้อสินค้า!E:E)-SUMIF(ขายสินค้า!B:B,A113,ขายสินค้า!E:E),)</f>
        <v>0</v>
      </c>
      <c r="D113" s="23">
        <f>IF(A113&lt;&gt;"",SUMIF(ซื้อสินค้า!B:B,A113,ซื้อสินค้า!M:M),)</f>
        <v>0</v>
      </c>
      <c r="E113" s="23">
        <f t="shared" si="0"/>
        <v>0</v>
      </c>
    </row>
    <row r="114" spans="1:5" ht="12.75">
      <c r="A114" s="6"/>
      <c r="B114" s="9">
        <f>IFERROR(VLOOKUP(A114,ชื่อสินค้า!A:D,4,FALSE),)</f>
        <v>0</v>
      </c>
      <c r="C114" s="9">
        <f>IF(A114&lt;&gt;"",SUMIF(ซื้อสินค้า!B:B,A114,ซื้อสินค้า!E:E)-SUMIF(ขายสินค้า!B:B,A114,ขายสินค้า!E:E),)</f>
        <v>0</v>
      </c>
      <c r="D114" s="23">
        <f>IF(A114&lt;&gt;"",SUMIF(ซื้อสินค้า!B:B,A114,ซื้อสินค้า!M:M),)</f>
        <v>0</v>
      </c>
      <c r="E114" s="23">
        <f t="shared" si="0"/>
        <v>0</v>
      </c>
    </row>
    <row r="115" spans="1:5" ht="12.75">
      <c r="A115" s="6"/>
      <c r="B115" s="9">
        <f>IFERROR(VLOOKUP(A115,ชื่อสินค้า!A:D,4,FALSE),)</f>
        <v>0</v>
      </c>
      <c r="C115" s="9">
        <f>IF(A115&lt;&gt;"",SUMIF(ซื้อสินค้า!B:B,A115,ซื้อสินค้า!E:E)-SUMIF(ขายสินค้า!B:B,A115,ขายสินค้า!E:E),)</f>
        <v>0</v>
      </c>
      <c r="D115" s="23">
        <f>IF(A115&lt;&gt;"",SUMIF(ซื้อสินค้า!B:B,A115,ซื้อสินค้า!M:M),)</f>
        <v>0</v>
      </c>
      <c r="E115" s="23">
        <f t="shared" si="0"/>
        <v>0</v>
      </c>
    </row>
    <row r="116" spans="1:5" ht="12.75">
      <c r="A116" s="6"/>
      <c r="B116" s="9">
        <f>IFERROR(VLOOKUP(A116,ชื่อสินค้า!A:D,4,FALSE),)</f>
        <v>0</v>
      </c>
      <c r="C116" s="9">
        <f>IF(A116&lt;&gt;"",SUMIF(ซื้อสินค้า!B:B,A116,ซื้อสินค้า!E:E)-SUMIF(ขายสินค้า!B:B,A116,ขายสินค้า!E:E),)</f>
        <v>0</v>
      </c>
      <c r="D116" s="23">
        <f>IF(A116&lt;&gt;"",SUMIF(ซื้อสินค้า!B:B,A116,ซื้อสินค้า!M:M),)</f>
        <v>0</v>
      </c>
      <c r="E116" s="23">
        <f t="shared" si="0"/>
        <v>0</v>
      </c>
    </row>
    <row r="117" spans="1:5" ht="12.75">
      <c r="A117" s="6"/>
      <c r="B117" s="9">
        <f>IFERROR(VLOOKUP(A117,ชื่อสินค้า!A:D,4,FALSE),)</f>
        <v>0</v>
      </c>
      <c r="C117" s="9">
        <f>IF(A117&lt;&gt;"",SUMIF(ซื้อสินค้า!B:B,A117,ซื้อสินค้า!E:E)-SUMIF(ขายสินค้า!B:B,A117,ขายสินค้า!E:E),)</f>
        <v>0</v>
      </c>
      <c r="D117" s="23">
        <f>IF(A117&lt;&gt;"",SUMIF(ซื้อสินค้า!B:B,A117,ซื้อสินค้า!M:M),)</f>
        <v>0</v>
      </c>
      <c r="E117" s="23">
        <f t="shared" si="0"/>
        <v>0</v>
      </c>
    </row>
    <row r="118" spans="1:5" ht="12.75">
      <c r="A118" s="6"/>
      <c r="B118" s="9">
        <f>IFERROR(VLOOKUP(A118,ชื่อสินค้า!A:D,4,FALSE),)</f>
        <v>0</v>
      </c>
      <c r="C118" s="9">
        <f>IF(A118&lt;&gt;"",SUMIF(ซื้อสินค้า!B:B,A118,ซื้อสินค้า!E:E)-SUMIF(ขายสินค้า!B:B,A118,ขายสินค้า!E:E),)</f>
        <v>0</v>
      </c>
      <c r="D118" s="23">
        <f>IF(A118&lt;&gt;"",SUMIF(ซื้อสินค้า!B:B,A118,ซื้อสินค้า!M:M),)</f>
        <v>0</v>
      </c>
      <c r="E118" s="23">
        <f t="shared" si="0"/>
        <v>0</v>
      </c>
    </row>
    <row r="119" spans="1:5" ht="12.75">
      <c r="A119" s="6"/>
      <c r="B119" s="9">
        <f>IFERROR(VLOOKUP(A119,ชื่อสินค้า!A:D,4,FALSE),)</f>
        <v>0</v>
      </c>
      <c r="C119" s="9">
        <f>IF(A119&lt;&gt;"",SUMIF(ซื้อสินค้า!B:B,A119,ซื้อสินค้า!E:E)-SUMIF(ขายสินค้า!B:B,A119,ขายสินค้า!E:E),)</f>
        <v>0</v>
      </c>
      <c r="D119" s="23">
        <f>IF(A119&lt;&gt;"",SUMIF(ซื้อสินค้า!B:B,A119,ซื้อสินค้า!M:M),)</f>
        <v>0</v>
      </c>
      <c r="E119" s="23">
        <f t="shared" si="0"/>
        <v>0</v>
      </c>
    </row>
    <row r="120" spans="1:5" ht="12.75">
      <c r="A120" s="6"/>
      <c r="B120" s="9">
        <f>IFERROR(VLOOKUP(A120,ชื่อสินค้า!A:D,4,FALSE),)</f>
        <v>0</v>
      </c>
      <c r="C120" s="9">
        <f>IF(A120&lt;&gt;"",SUMIF(ซื้อสินค้า!B:B,A120,ซื้อสินค้า!E:E)-SUMIF(ขายสินค้า!B:B,A120,ขายสินค้า!E:E),)</f>
        <v>0</v>
      </c>
      <c r="D120" s="23">
        <f>IF(A120&lt;&gt;"",SUMIF(ซื้อสินค้า!B:B,A120,ซื้อสินค้า!M:M),)</f>
        <v>0</v>
      </c>
      <c r="E120" s="23">
        <f t="shared" si="0"/>
        <v>0</v>
      </c>
    </row>
    <row r="121" spans="1:5" ht="12.75">
      <c r="A121" s="6"/>
      <c r="B121" s="9">
        <f>IFERROR(VLOOKUP(A121,ชื่อสินค้า!A:D,4,FALSE),)</f>
        <v>0</v>
      </c>
      <c r="C121" s="9">
        <f>IF(A121&lt;&gt;"",SUMIF(ซื้อสินค้า!B:B,A121,ซื้อสินค้า!E:E)-SUMIF(ขายสินค้า!B:B,A121,ขายสินค้า!E:E),)</f>
        <v>0</v>
      </c>
      <c r="D121" s="23">
        <f>IF(A121&lt;&gt;"",SUMIF(ซื้อสินค้า!B:B,A121,ซื้อสินค้า!M:M),)</f>
        <v>0</v>
      </c>
      <c r="E121" s="23">
        <f t="shared" si="0"/>
        <v>0</v>
      </c>
    </row>
    <row r="122" spans="1:5" ht="12.75">
      <c r="A122" s="6"/>
      <c r="B122" s="9">
        <f>IFERROR(VLOOKUP(A122,ชื่อสินค้า!A:D,4,FALSE),)</f>
        <v>0</v>
      </c>
      <c r="C122" s="9">
        <f>IF(A122&lt;&gt;"",SUMIF(ซื้อสินค้า!B:B,A122,ซื้อสินค้า!E:E)-SUMIF(ขายสินค้า!B:B,A122,ขายสินค้า!E:E),)</f>
        <v>0</v>
      </c>
      <c r="D122" s="23">
        <f>IF(A122&lt;&gt;"",SUMIF(ซื้อสินค้า!B:B,A122,ซื้อสินค้า!M:M),)</f>
        <v>0</v>
      </c>
      <c r="E122" s="23">
        <f t="shared" si="0"/>
        <v>0</v>
      </c>
    </row>
    <row r="123" spans="1:5" ht="12.75">
      <c r="A123" s="6"/>
      <c r="B123" s="9">
        <f>IFERROR(VLOOKUP(A123,ชื่อสินค้า!A:D,4,FALSE),)</f>
        <v>0</v>
      </c>
      <c r="C123" s="9">
        <f>IF(A123&lt;&gt;"",SUMIF(ซื้อสินค้า!B:B,A123,ซื้อสินค้า!E:E)-SUMIF(ขายสินค้า!B:B,A123,ขายสินค้า!E:E),)</f>
        <v>0</v>
      </c>
      <c r="D123" s="23">
        <f>IF(A123&lt;&gt;"",SUMIF(ซื้อสินค้า!B:B,A123,ซื้อสินค้า!M:M),)</f>
        <v>0</v>
      </c>
      <c r="E123" s="23">
        <f t="shared" si="0"/>
        <v>0</v>
      </c>
    </row>
    <row r="124" spans="1:5" ht="12.75">
      <c r="A124" s="6"/>
      <c r="B124" s="9">
        <f>IFERROR(VLOOKUP(A124,ชื่อสินค้า!A:D,4,FALSE),)</f>
        <v>0</v>
      </c>
      <c r="C124" s="9">
        <f>IF(A124&lt;&gt;"",SUMIF(ซื้อสินค้า!B:B,A124,ซื้อสินค้า!E:E)-SUMIF(ขายสินค้า!B:B,A124,ขายสินค้า!E:E),)</f>
        <v>0</v>
      </c>
      <c r="D124" s="23">
        <f>IF(A124&lt;&gt;"",SUMIF(ซื้อสินค้า!B:B,A124,ซื้อสินค้า!M:M),)</f>
        <v>0</v>
      </c>
      <c r="E124" s="23">
        <f t="shared" si="0"/>
        <v>0</v>
      </c>
    </row>
    <row r="125" spans="1:5" ht="12.75">
      <c r="A125" s="6"/>
      <c r="B125" s="9">
        <f>IFERROR(VLOOKUP(A125,ชื่อสินค้า!A:D,4,FALSE),)</f>
        <v>0</v>
      </c>
      <c r="C125" s="9">
        <f>IF(A125&lt;&gt;"",SUMIF(ซื้อสินค้า!B:B,A125,ซื้อสินค้า!E:E)-SUMIF(ขายสินค้า!B:B,A125,ขายสินค้า!E:E),)</f>
        <v>0</v>
      </c>
      <c r="D125" s="23">
        <f>IF(A125&lt;&gt;"",SUMIF(ซื้อสินค้า!B:B,A125,ซื้อสินค้า!M:M),)</f>
        <v>0</v>
      </c>
      <c r="E125" s="23">
        <f t="shared" si="0"/>
        <v>0</v>
      </c>
    </row>
    <row r="126" spans="1:5" ht="12.75">
      <c r="A126" s="6"/>
      <c r="B126" s="9">
        <f>IFERROR(VLOOKUP(A126,ชื่อสินค้า!A:D,4,FALSE),)</f>
        <v>0</v>
      </c>
      <c r="C126" s="9">
        <f>IF(A126&lt;&gt;"",SUMIF(ซื้อสินค้า!B:B,A126,ซื้อสินค้า!E:E)-SUMIF(ขายสินค้า!B:B,A126,ขายสินค้า!E:E),)</f>
        <v>0</v>
      </c>
      <c r="D126" s="23">
        <f>IF(A126&lt;&gt;"",SUMIF(ซื้อสินค้า!B:B,A126,ซื้อสินค้า!M:M),)</f>
        <v>0</v>
      </c>
      <c r="E126" s="23">
        <f t="shared" si="0"/>
        <v>0</v>
      </c>
    </row>
    <row r="127" spans="1:5" ht="12.75">
      <c r="A127" s="6"/>
      <c r="B127" s="9">
        <f>IFERROR(VLOOKUP(A127,ชื่อสินค้า!A:D,4,FALSE),)</f>
        <v>0</v>
      </c>
      <c r="C127" s="9">
        <f>IF(A127&lt;&gt;"",SUMIF(ซื้อสินค้า!B:B,A127,ซื้อสินค้า!E:E)-SUMIF(ขายสินค้า!B:B,A127,ขายสินค้า!E:E),)</f>
        <v>0</v>
      </c>
      <c r="D127" s="23">
        <f>IF(A127&lt;&gt;"",SUMIF(ซื้อสินค้า!B:B,A127,ซื้อสินค้า!M:M),)</f>
        <v>0</v>
      </c>
      <c r="E127" s="23">
        <f t="shared" si="0"/>
        <v>0</v>
      </c>
    </row>
    <row r="128" spans="1:5" ht="12.75">
      <c r="A128" s="6"/>
      <c r="B128" s="9">
        <f>IFERROR(VLOOKUP(A128,ชื่อสินค้า!A:D,4,FALSE),)</f>
        <v>0</v>
      </c>
      <c r="C128" s="9">
        <f>IF(A128&lt;&gt;"",SUMIF(ซื้อสินค้า!B:B,A128,ซื้อสินค้า!E:E)-SUMIF(ขายสินค้า!B:B,A128,ขายสินค้า!E:E),)</f>
        <v>0</v>
      </c>
      <c r="D128" s="23">
        <f>IF(A128&lt;&gt;"",SUMIF(ซื้อสินค้า!B:B,A128,ซื้อสินค้า!M:M),)</f>
        <v>0</v>
      </c>
      <c r="E128" s="23">
        <f t="shared" si="0"/>
        <v>0</v>
      </c>
    </row>
    <row r="129" spans="1:5" ht="12.75">
      <c r="A129" s="6"/>
      <c r="B129" s="9">
        <f>IFERROR(VLOOKUP(A129,ชื่อสินค้า!A:D,4,FALSE),)</f>
        <v>0</v>
      </c>
      <c r="C129" s="9">
        <f>IF(A129&lt;&gt;"",SUMIF(ซื้อสินค้า!B:B,A129,ซื้อสินค้า!E:E)-SUMIF(ขายสินค้า!B:B,A129,ขายสินค้า!E:E),)</f>
        <v>0</v>
      </c>
      <c r="D129" s="23">
        <f>IF(A129&lt;&gt;"",SUMIF(ซื้อสินค้า!B:B,A129,ซื้อสินค้า!M:M),)</f>
        <v>0</v>
      </c>
      <c r="E129" s="23">
        <f t="shared" si="0"/>
        <v>0</v>
      </c>
    </row>
    <row r="130" spans="1:5" ht="12.75">
      <c r="A130" s="6"/>
      <c r="B130" s="9">
        <f>IFERROR(VLOOKUP(A130,ชื่อสินค้า!A:D,4,FALSE),)</f>
        <v>0</v>
      </c>
      <c r="C130" s="9">
        <f>IF(A130&lt;&gt;"",SUMIF(ซื้อสินค้า!B:B,A130,ซื้อสินค้า!E:E)-SUMIF(ขายสินค้า!B:B,A130,ขายสินค้า!E:E),)</f>
        <v>0</v>
      </c>
      <c r="D130" s="23">
        <f>IF(A130&lt;&gt;"",SUMIF(ซื้อสินค้า!B:B,A130,ซื้อสินค้า!M:M),)</f>
        <v>0</v>
      </c>
      <c r="E130" s="23">
        <f t="shared" si="0"/>
        <v>0</v>
      </c>
    </row>
    <row r="131" spans="1:5" ht="12.75">
      <c r="A131" s="6"/>
      <c r="B131" s="9">
        <f>IFERROR(VLOOKUP(A131,ชื่อสินค้า!A:D,4,FALSE),)</f>
        <v>0</v>
      </c>
      <c r="C131" s="9">
        <f>IF(A131&lt;&gt;"",SUMIF(ซื้อสินค้า!B:B,A131,ซื้อสินค้า!E:E)-SUMIF(ขายสินค้า!B:B,A131,ขายสินค้า!E:E),)</f>
        <v>0</v>
      </c>
      <c r="D131" s="23">
        <f>IF(A131&lt;&gt;"",SUMIF(ซื้อสินค้า!B:B,A131,ซื้อสินค้า!M:M),)</f>
        <v>0</v>
      </c>
      <c r="E131" s="23">
        <f t="shared" si="0"/>
        <v>0</v>
      </c>
    </row>
    <row r="132" spans="1:5" ht="12.75">
      <c r="A132" s="6"/>
      <c r="B132" s="9">
        <f>IFERROR(VLOOKUP(A132,ชื่อสินค้า!A:D,4,FALSE),)</f>
        <v>0</v>
      </c>
      <c r="C132" s="9">
        <f>IF(A132&lt;&gt;"",SUMIF(ซื้อสินค้า!B:B,A132,ซื้อสินค้า!E:E)-SUMIF(ขายสินค้า!B:B,A132,ขายสินค้า!E:E),)</f>
        <v>0</v>
      </c>
      <c r="D132" s="23">
        <f>IF(A132&lt;&gt;"",SUMIF(ซื้อสินค้า!B:B,A132,ซื้อสินค้า!M:M),)</f>
        <v>0</v>
      </c>
      <c r="E132" s="23">
        <f t="shared" si="0"/>
        <v>0</v>
      </c>
    </row>
    <row r="133" spans="1:5" ht="12.75">
      <c r="A133" s="6"/>
      <c r="B133" s="9">
        <f>IFERROR(VLOOKUP(A133,ชื่อสินค้า!A:D,4,FALSE),)</f>
        <v>0</v>
      </c>
      <c r="C133" s="9">
        <f>IF(A133&lt;&gt;"",SUMIF(ซื้อสินค้า!B:B,A133,ซื้อสินค้า!E:E)-SUMIF(ขายสินค้า!B:B,A133,ขายสินค้า!E:E),)</f>
        <v>0</v>
      </c>
      <c r="D133" s="23">
        <f>IF(A133&lt;&gt;"",SUMIF(ซื้อสินค้า!B:B,A133,ซื้อสินค้า!M:M),)</f>
        <v>0</v>
      </c>
      <c r="E133" s="23">
        <f t="shared" si="0"/>
        <v>0</v>
      </c>
    </row>
    <row r="134" spans="1:5" ht="12.75">
      <c r="A134" s="6"/>
      <c r="B134" s="9">
        <f>IFERROR(VLOOKUP(A134,ชื่อสินค้า!A:D,4,FALSE),)</f>
        <v>0</v>
      </c>
      <c r="C134" s="9">
        <f>IF(A134&lt;&gt;"",SUMIF(ซื้อสินค้า!B:B,A134,ซื้อสินค้า!E:E)-SUMIF(ขายสินค้า!B:B,A134,ขายสินค้า!E:E),)</f>
        <v>0</v>
      </c>
      <c r="D134" s="23">
        <f>IF(A134&lt;&gt;"",SUMIF(ซื้อสินค้า!B:B,A134,ซื้อสินค้า!M:M),)</f>
        <v>0</v>
      </c>
      <c r="E134" s="23">
        <f t="shared" si="0"/>
        <v>0</v>
      </c>
    </row>
    <row r="135" spans="1:5" ht="12.75">
      <c r="A135" s="6"/>
      <c r="B135" s="9">
        <f>IFERROR(VLOOKUP(A135,ชื่อสินค้า!A:D,4,FALSE),)</f>
        <v>0</v>
      </c>
      <c r="C135" s="9">
        <f>IF(A135&lt;&gt;"",SUMIF(ซื้อสินค้า!B:B,A135,ซื้อสินค้า!E:E)-SUMIF(ขายสินค้า!B:B,A135,ขายสินค้า!E:E),)</f>
        <v>0</v>
      </c>
      <c r="D135" s="23">
        <f>IF(A135&lt;&gt;"",SUMIF(ซื้อสินค้า!B:B,A135,ซื้อสินค้า!M:M),)</f>
        <v>0</v>
      </c>
      <c r="E135" s="23">
        <f t="shared" si="0"/>
        <v>0</v>
      </c>
    </row>
    <row r="136" spans="1:5" ht="12.75">
      <c r="A136" s="6"/>
      <c r="B136" s="9">
        <f>IFERROR(VLOOKUP(A136,ชื่อสินค้า!A:D,4,FALSE),)</f>
        <v>0</v>
      </c>
      <c r="C136" s="9">
        <f>IF(A136&lt;&gt;"",SUMIF(ซื้อสินค้า!B:B,A136,ซื้อสินค้า!E:E)-SUMIF(ขายสินค้า!B:B,A136,ขายสินค้า!E:E),)</f>
        <v>0</v>
      </c>
      <c r="D136" s="23">
        <f>IF(A136&lt;&gt;"",SUMIF(ซื้อสินค้า!B:B,A136,ซื้อสินค้า!M:M),)</f>
        <v>0</v>
      </c>
      <c r="E136" s="23">
        <f t="shared" si="0"/>
        <v>0</v>
      </c>
    </row>
    <row r="137" spans="1:5" ht="12.75">
      <c r="A137" s="6"/>
      <c r="B137" s="9">
        <f>IFERROR(VLOOKUP(A137,ชื่อสินค้า!A:D,4,FALSE),)</f>
        <v>0</v>
      </c>
      <c r="C137" s="9">
        <f>IF(A137&lt;&gt;"",SUMIF(ซื้อสินค้า!B:B,A137,ซื้อสินค้า!E:E)-SUMIF(ขายสินค้า!B:B,A137,ขายสินค้า!E:E),)</f>
        <v>0</v>
      </c>
      <c r="D137" s="23">
        <f>IF(A137&lt;&gt;"",SUMIF(ซื้อสินค้า!B:B,A137,ซื้อสินค้า!M:M),)</f>
        <v>0</v>
      </c>
      <c r="E137" s="23">
        <f t="shared" si="0"/>
        <v>0</v>
      </c>
    </row>
    <row r="138" spans="1:5" ht="12.75">
      <c r="A138" s="6"/>
      <c r="B138" s="9">
        <f>IFERROR(VLOOKUP(A138,ชื่อสินค้า!A:D,4,FALSE),)</f>
        <v>0</v>
      </c>
      <c r="C138" s="9">
        <f>IF(A138&lt;&gt;"",SUMIF(ซื้อสินค้า!B:B,A138,ซื้อสินค้า!E:E)-SUMIF(ขายสินค้า!B:B,A138,ขายสินค้า!E:E),)</f>
        <v>0</v>
      </c>
      <c r="D138" s="23">
        <f>IF(A138&lt;&gt;"",SUMIF(ซื้อสินค้า!B:B,A138,ซื้อสินค้า!M:M),)</f>
        <v>0</v>
      </c>
      <c r="E138" s="23">
        <f t="shared" si="0"/>
        <v>0</v>
      </c>
    </row>
    <row r="139" spans="1:5" ht="12.75">
      <c r="A139" s="6"/>
      <c r="B139" s="9">
        <f>IFERROR(VLOOKUP(A139,ชื่อสินค้า!A:D,4,FALSE),)</f>
        <v>0</v>
      </c>
      <c r="C139" s="9">
        <f>IF(A139&lt;&gt;"",SUMIF(ซื้อสินค้า!B:B,A139,ซื้อสินค้า!E:E)-SUMIF(ขายสินค้า!B:B,A139,ขายสินค้า!E:E),)</f>
        <v>0</v>
      </c>
      <c r="D139" s="23">
        <f>IF(A139&lt;&gt;"",SUMIF(ซื้อสินค้า!B:B,A139,ซื้อสินค้า!M:M),)</f>
        <v>0</v>
      </c>
      <c r="E139" s="23">
        <f t="shared" si="0"/>
        <v>0</v>
      </c>
    </row>
    <row r="140" spans="1:5" ht="12.75">
      <c r="A140" s="6"/>
      <c r="B140" s="9">
        <f>IFERROR(VLOOKUP(A140,ชื่อสินค้า!A:D,4,FALSE),)</f>
        <v>0</v>
      </c>
      <c r="C140" s="9">
        <f>IF(A140&lt;&gt;"",SUMIF(ซื้อสินค้า!B:B,A140,ซื้อสินค้า!E:E)-SUMIF(ขายสินค้า!B:B,A140,ขายสินค้า!E:E),)</f>
        <v>0</v>
      </c>
      <c r="D140" s="23">
        <f>IF(A140&lt;&gt;"",SUMIF(ซื้อสินค้า!B:B,A140,ซื้อสินค้า!M:M),)</f>
        <v>0</v>
      </c>
      <c r="E140" s="23">
        <f t="shared" si="0"/>
        <v>0</v>
      </c>
    </row>
    <row r="141" spans="1:5" ht="12.75">
      <c r="A141" s="6"/>
      <c r="B141" s="9">
        <f>IFERROR(VLOOKUP(A141,ชื่อสินค้า!A:D,4,FALSE),)</f>
        <v>0</v>
      </c>
      <c r="C141" s="9">
        <f>IF(A141&lt;&gt;"",SUMIF(ซื้อสินค้า!B:B,A141,ซื้อสินค้า!E:E)-SUMIF(ขายสินค้า!B:B,A141,ขายสินค้า!E:E),)</f>
        <v>0</v>
      </c>
      <c r="D141" s="23">
        <f>IF(A141&lt;&gt;"",SUMIF(ซื้อสินค้า!B:B,A141,ซื้อสินค้า!M:M),)</f>
        <v>0</v>
      </c>
      <c r="E141" s="23">
        <f t="shared" si="0"/>
        <v>0</v>
      </c>
    </row>
    <row r="142" spans="1:5" ht="12.75">
      <c r="A142" s="6"/>
      <c r="B142" s="9">
        <f>IFERROR(VLOOKUP(A142,ชื่อสินค้า!A:D,4,FALSE),)</f>
        <v>0</v>
      </c>
      <c r="C142" s="9">
        <f>IF(A142&lt;&gt;"",SUMIF(ซื้อสินค้า!B:B,A142,ซื้อสินค้า!E:E)-SUMIF(ขายสินค้า!B:B,A142,ขายสินค้า!E:E),)</f>
        <v>0</v>
      </c>
      <c r="D142" s="23">
        <f>IF(A142&lt;&gt;"",SUMIF(ซื้อสินค้า!B:B,A142,ซื้อสินค้า!M:M),)</f>
        <v>0</v>
      </c>
      <c r="E142" s="23">
        <f t="shared" si="0"/>
        <v>0</v>
      </c>
    </row>
    <row r="143" spans="1:5" ht="12.75">
      <c r="A143" s="6"/>
      <c r="B143" s="9">
        <f>IFERROR(VLOOKUP(A143,ชื่อสินค้า!A:D,4,FALSE),)</f>
        <v>0</v>
      </c>
      <c r="C143" s="9">
        <f>IF(A143&lt;&gt;"",SUMIF(ซื้อสินค้า!B:B,A143,ซื้อสินค้า!E:E)-SUMIF(ขายสินค้า!B:B,A143,ขายสินค้า!E:E),)</f>
        <v>0</v>
      </c>
      <c r="D143" s="23">
        <f>IF(A143&lt;&gt;"",SUMIF(ซื้อสินค้า!B:B,A143,ซื้อสินค้า!M:M),)</f>
        <v>0</v>
      </c>
      <c r="E143" s="23">
        <f t="shared" si="0"/>
        <v>0</v>
      </c>
    </row>
    <row r="144" spans="1:5" ht="12.75">
      <c r="A144" s="6"/>
      <c r="B144" s="9">
        <f>IFERROR(VLOOKUP(A144,ชื่อสินค้า!A:D,4,FALSE),)</f>
        <v>0</v>
      </c>
      <c r="C144" s="9">
        <f>IF(A144&lt;&gt;"",SUMIF(ซื้อสินค้า!B:B,A144,ซื้อสินค้า!E:E)-SUMIF(ขายสินค้า!B:B,A144,ขายสินค้า!E:E),)</f>
        <v>0</v>
      </c>
      <c r="D144" s="23">
        <f>IF(A144&lt;&gt;"",SUMIF(ซื้อสินค้า!B:B,A144,ซื้อสินค้า!M:M),)</f>
        <v>0</v>
      </c>
      <c r="E144" s="23">
        <f t="shared" si="0"/>
        <v>0</v>
      </c>
    </row>
    <row r="145" spans="1:5" ht="12.75">
      <c r="A145" s="6"/>
      <c r="B145" s="9">
        <f>IFERROR(VLOOKUP(A145,ชื่อสินค้า!A:D,4,FALSE),)</f>
        <v>0</v>
      </c>
      <c r="C145" s="9">
        <f>IF(A145&lt;&gt;"",SUMIF(ซื้อสินค้า!B:B,A145,ซื้อสินค้า!E:E)-SUMIF(ขายสินค้า!B:B,A145,ขายสินค้า!E:E),)</f>
        <v>0</v>
      </c>
      <c r="D145" s="23">
        <f>IF(A145&lt;&gt;"",SUMIF(ซื้อสินค้า!B:B,A145,ซื้อสินค้า!M:M),)</f>
        <v>0</v>
      </c>
      <c r="E145" s="23">
        <f t="shared" si="0"/>
        <v>0</v>
      </c>
    </row>
    <row r="146" spans="1:5" ht="12.75">
      <c r="A146" s="6"/>
      <c r="B146" s="9">
        <f>IFERROR(VLOOKUP(A146,ชื่อสินค้า!A:D,4,FALSE),)</f>
        <v>0</v>
      </c>
      <c r="C146" s="9">
        <f>IF(A146&lt;&gt;"",SUMIF(ซื้อสินค้า!B:B,A146,ซื้อสินค้า!E:E)-SUMIF(ขายสินค้า!B:B,A146,ขายสินค้า!E:E),)</f>
        <v>0</v>
      </c>
      <c r="D146" s="23">
        <f>IF(A146&lt;&gt;"",SUMIF(ซื้อสินค้า!B:B,A146,ซื้อสินค้า!M:M),)</f>
        <v>0</v>
      </c>
      <c r="E146" s="23">
        <f t="shared" si="0"/>
        <v>0</v>
      </c>
    </row>
    <row r="147" spans="1:5" ht="12.75">
      <c r="A147" s="6"/>
      <c r="B147" s="9">
        <f>IFERROR(VLOOKUP(A147,ชื่อสินค้า!A:D,4,FALSE),)</f>
        <v>0</v>
      </c>
      <c r="C147" s="9">
        <f>IF(A147&lt;&gt;"",SUMIF(ซื้อสินค้า!B:B,A147,ซื้อสินค้า!E:E)-SUMIF(ขายสินค้า!B:B,A147,ขายสินค้า!E:E),)</f>
        <v>0</v>
      </c>
      <c r="D147" s="23">
        <f>IF(A147&lt;&gt;"",SUMIF(ซื้อสินค้า!B:B,A147,ซื้อสินค้า!M:M),)</f>
        <v>0</v>
      </c>
      <c r="E147" s="23">
        <f t="shared" si="0"/>
        <v>0</v>
      </c>
    </row>
    <row r="148" spans="1:5" ht="12.75">
      <c r="A148" s="6"/>
      <c r="B148" s="9">
        <f>IFERROR(VLOOKUP(A148,ชื่อสินค้า!A:D,4,FALSE),)</f>
        <v>0</v>
      </c>
      <c r="C148" s="9">
        <f>IF(A148&lt;&gt;"",SUMIF(ซื้อสินค้า!B:B,A148,ซื้อสินค้า!E:E)-SUMIF(ขายสินค้า!B:B,A148,ขายสินค้า!E:E),)</f>
        <v>0</v>
      </c>
      <c r="D148" s="23">
        <f>IF(A148&lt;&gt;"",SUMIF(ซื้อสินค้า!B:B,A148,ซื้อสินค้า!M:M),)</f>
        <v>0</v>
      </c>
      <c r="E148" s="23">
        <f t="shared" si="0"/>
        <v>0</v>
      </c>
    </row>
    <row r="149" spans="1:5" ht="12.75">
      <c r="A149" s="6"/>
      <c r="B149" s="9">
        <f>IFERROR(VLOOKUP(A149,ชื่อสินค้า!A:D,4,FALSE),)</f>
        <v>0</v>
      </c>
      <c r="C149" s="9">
        <f>IF(A149&lt;&gt;"",SUMIF(ซื้อสินค้า!B:B,A149,ซื้อสินค้า!E:E)-SUMIF(ขายสินค้า!B:B,A149,ขายสินค้า!E:E),)</f>
        <v>0</v>
      </c>
      <c r="D149" s="23">
        <f>IF(A149&lt;&gt;"",SUMIF(ซื้อสินค้า!B:B,A149,ซื้อสินค้า!M:M),)</f>
        <v>0</v>
      </c>
      <c r="E149" s="23">
        <f t="shared" si="0"/>
        <v>0</v>
      </c>
    </row>
    <row r="150" spans="1:5" ht="12.75">
      <c r="A150" s="6"/>
      <c r="B150" s="9">
        <f>IFERROR(VLOOKUP(A150,ชื่อสินค้า!A:D,4,FALSE),)</f>
        <v>0</v>
      </c>
      <c r="C150" s="9">
        <f>IF(A150&lt;&gt;"",SUMIF(ซื้อสินค้า!B:B,A150,ซื้อสินค้า!E:E)-SUMIF(ขายสินค้า!B:B,A150,ขายสินค้า!E:E),)</f>
        <v>0</v>
      </c>
      <c r="D150" s="23">
        <f>IF(A150&lt;&gt;"",SUMIF(ซื้อสินค้า!B:B,A150,ซื้อสินค้า!M:M),)</f>
        <v>0</v>
      </c>
      <c r="E150" s="23">
        <f t="shared" si="0"/>
        <v>0</v>
      </c>
    </row>
    <row r="151" spans="1:5" ht="12.75">
      <c r="A151" s="6"/>
      <c r="B151" s="9">
        <f>IFERROR(VLOOKUP(A151,ชื่อสินค้า!A:D,4,FALSE),)</f>
        <v>0</v>
      </c>
      <c r="C151" s="9">
        <f>IF(A151&lt;&gt;"",SUMIF(ซื้อสินค้า!B:B,A151,ซื้อสินค้า!E:E)-SUMIF(ขายสินค้า!B:B,A151,ขายสินค้า!E:E),)</f>
        <v>0</v>
      </c>
      <c r="D151" s="23">
        <f>IF(A151&lt;&gt;"",SUMIF(ซื้อสินค้า!B:B,A151,ซื้อสินค้า!M:M),)</f>
        <v>0</v>
      </c>
      <c r="E151" s="23">
        <f t="shared" si="0"/>
        <v>0</v>
      </c>
    </row>
    <row r="152" spans="1:5" ht="12.75">
      <c r="A152" s="6"/>
      <c r="B152" s="9">
        <f>IFERROR(VLOOKUP(A152,ชื่อสินค้า!A:D,4,FALSE),)</f>
        <v>0</v>
      </c>
      <c r="C152" s="9">
        <f>IF(A152&lt;&gt;"",SUMIF(ซื้อสินค้า!B:B,A152,ซื้อสินค้า!E:E)-SUMIF(ขายสินค้า!B:B,A152,ขายสินค้า!E:E),)</f>
        <v>0</v>
      </c>
      <c r="D152" s="23">
        <f>IF(A152&lt;&gt;"",SUMIF(ซื้อสินค้า!B:B,A152,ซื้อสินค้า!M:M),)</f>
        <v>0</v>
      </c>
      <c r="E152" s="23">
        <f t="shared" si="0"/>
        <v>0</v>
      </c>
    </row>
    <row r="153" spans="1:5" ht="12.75">
      <c r="A153" s="6"/>
      <c r="B153" s="9">
        <f>IFERROR(VLOOKUP(A153,ชื่อสินค้า!A:D,4,FALSE),)</f>
        <v>0</v>
      </c>
      <c r="C153" s="9">
        <f>IF(A153&lt;&gt;"",SUMIF(ซื้อสินค้า!B:B,A153,ซื้อสินค้า!E:E)-SUMIF(ขายสินค้า!B:B,A153,ขายสินค้า!E:E),)</f>
        <v>0</v>
      </c>
      <c r="D153" s="23">
        <f>IF(A153&lt;&gt;"",SUMIF(ซื้อสินค้า!B:B,A153,ซื้อสินค้า!M:M),)</f>
        <v>0</v>
      </c>
      <c r="E153" s="23">
        <f t="shared" si="0"/>
        <v>0</v>
      </c>
    </row>
    <row r="154" spans="1:5" ht="12.75">
      <c r="A154" s="6"/>
      <c r="B154" s="9">
        <f>IFERROR(VLOOKUP(A154,ชื่อสินค้า!A:D,4,FALSE),)</f>
        <v>0</v>
      </c>
      <c r="C154" s="9">
        <f>IF(A154&lt;&gt;"",SUMIF(ซื้อสินค้า!B:B,A154,ซื้อสินค้า!E:E)-SUMIF(ขายสินค้า!B:B,A154,ขายสินค้า!E:E),)</f>
        <v>0</v>
      </c>
      <c r="D154" s="23">
        <f>IF(A154&lt;&gt;"",SUMIF(ซื้อสินค้า!B:B,A154,ซื้อสินค้า!M:M),)</f>
        <v>0</v>
      </c>
      <c r="E154" s="23">
        <f t="shared" si="0"/>
        <v>0</v>
      </c>
    </row>
    <row r="155" spans="1:5" ht="12.75">
      <c r="A155" s="6"/>
      <c r="B155" s="9">
        <f>IFERROR(VLOOKUP(A155,ชื่อสินค้า!A:D,4,FALSE),)</f>
        <v>0</v>
      </c>
      <c r="C155" s="9">
        <f>IF(A155&lt;&gt;"",SUMIF(ซื้อสินค้า!B:B,A155,ซื้อสินค้า!E:E)-SUMIF(ขายสินค้า!B:B,A155,ขายสินค้า!E:E),)</f>
        <v>0</v>
      </c>
      <c r="D155" s="23">
        <f>IF(A155&lt;&gt;"",SUMIF(ซื้อสินค้า!B:B,A155,ซื้อสินค้า!M:M),)</f>
        <v>0</v>
      </c>
      <c r="E155" s="23">
        <f t="shared" si="0"/>
        <v>0</v>
      </c>
    </row>
    <row r="156" spans="1:5" ht="12.75">
      <c r="A156" s="6"/>
      <c r="B156" s="9">
        <f>IFERROR(VLOOKUP(A156,ชื่อสินค้า!A:D,4,FALSE),)</f>
        <v>0</v>
      </c>
      <c r="C156" s="9">
        <f>IF(A156&lt;&gt;"",SUMIF(ซื้อสินค้า!B:B,A156,ซื้อสินค้า!E:E)-SUMIF(ขายสินค้า!B:B,A156,ขายสินค้า!E:E),)</f>
        <v>0</v>
      </c>
      <c r="D156" s="23">
        <f>IF(A156&lt;&gt;"",SUMIF(ซื้อสินค้า!B:B,A156,ซื้อสินค้า!M:M),)</f>
        <v>0</v>
      </c>
      <c r="E156" s="23">
        <f t="shared" si="0"/>
        <v>0</v>
      </c>
    </row>
    <row r="157" spans="1:5" ht="12.75">
      <c r="A157" s="6"/>
      <c r="B157" s="9">
        <f>IFERROR(VLOOKUP(A157,ชื่อสินค้า!A:D,4,FALSE),)</f>
        <v>0</v>
      </c>
      <c r="C157" s="9">
        <f>IF(A157&lt;&gt;"",SUMIF(ซื้อสินค้า!B:B,A157,ซื้อสินค้า!E:E)-SUMIF(ขายสินค้า!B:B,A157,ขายสินค้า!E:E),)</f>
        <v>0</v>
      </c>
      <c r="D157" s="23">
        <f>IF(A157&lt;&gt;"",SUMIF(ซื้อสินค้า!B:B,A157,ซื้อสินค้า!M:M),)</f>
        <v>0</v>
      </c>
      <c r="E157" s="23">
        <f t="shared" si="0"/>
        <v>0</v>
      </c>
    </row>
    <row r="158" spans="1:5" ht="12.75">
      <c r="A158" s="6"/>
      <c r="B158" s="9">
        <f>IFERROR(VLOOKUP(A158,ชื่อสินค้า!A:D,4,FALSE),)</f>
        <v>0</v>
      </c>
      <c r="C158" s="9">
        <f>IF(A158&lt;&gt;"",SUMIF(ซื้อสินค้า!B:B,A158,ซื้อสินค้า!E:E)-SUMIF(ขายสินค้า!B:B,A158,ขายสินค้า!E:E),)</f>
        <v>0</v>
      </c>
      <c r="D158" s="23">
        <f>IF(A158&lt;&gt;"",SUMIF(ซื้อสินค้า!B:B,A158,ซื้อสินค้า!M:M),)</f>
        <v>0</v>
      </c>
      <c r="E158" s="23">
        <f t="shared" si="0"/>
        <v>0</v>
      </c>
    </row>
    <row r="159" spans="1:5" ht="12.75">
      <c r="A159" s="6"/>
      <c r="B159" s="9">
        <f>IFERROR(VLOOKUP(A159,ชื่อสินค้า!A:D,4,FALSE),)</f>
        <v>0</v>
      </c>
      <c r="C159" s="9">
        <f>IF(A159&lt;&gt;"",SUMIF(ซื้อสินค้า!B:B,A159,ซื้อสินค้า!E:E)-SUMIF(ขายสินค้า!B:B,A159,ขายสินค้า!E:E),)</f>
        <v>0</v>
      </c>
      <c r="D159" s="23">
        <f>IF(A159&lt;&gt;"",SUMIF(ซื้อสินค้า!B:B,A159,ซื้อสินค้า!M:M),)</f>
        <v>0</v>
      </c>
      <c r="E159" s="23">
        <f t="shared" si="0"/>
        <v>0</v>
      </c>
    </row>
    <row r="160" spans="1:5" ht="12.75">
      <c r="A160" s="6"/>
      <c r="B160" s="9">
        <f>IFERROR(VLOOKUP(A160,ชื่อสินค้า!A:D,4,FALSE),)</f>
        <v>0</v>
      </c>
      <c r="C160" s="9">
        <f>IF(A160&lt;&gt;"",SUMIF(ซื้อสินค้า!B:B,A160,ซื้อสินค้า!E:E)-SUMIF(ขายสินค้า!B:B,A160,ขายสินค้า!E:E),)</f>
        <v>0</v>
      </c>
      <c r="D160" s="23">
        <f>IF(A160&lt;&gt;"",SUMIF(ซื้อสินค้า!B:B,A160,ซื้อสินค้า!M:M),)</f>
        <v>0</v>
      </c>
      <c r="E160" s="23">
        <f t="shared" si="0"/>
        <v>0</v>
      </c>
    </row>
    <row r="161" spans="1:5" ht="12.75">
      <c r="A161" s="6"/>
      <c r="B161" s="9">
        <f>IFERROR(VLOOKUP(A161,ชื่อสินค้า!A:D,4,FALSE),)</f>
        <v>0</v>
      </c>
      <c r="C161" s="9">
        <f>IF(A161&lt;&gt;"",SUMIF(ซื้อสินค้า!B:B,A161,ซื้อสินค้า!E:E)-SUMIF(ขายสินค้า!B:B,A161,ขายสินค้า!E:E),)</f>
        <v>0</v>
      </c>
      <c r="D161" s="23">
        <f>IF(A161&lt;&gt;"",SUMIF(ซื้อสินค้า!B:B,A161,ซื้อสินค้า!M:M),)</f>
        <v>0</v>
      </c>
      <c r="E161" s="23">
        <f t="shared" si="0"/>
        <v>0</v>
      </c>
    </row>
    <row r="162" spans="1:5" ht="12.75">
      <c r="A162" s="6"/>
      <c r="B162" s="9">
        <f>IFERROR(VLOOKUP(A162,ชื่อสินค้า!A:D,4,FALSE),)</f>
        <v>0</v>
      </c>
      <c r="C162" s="9">
        <f>IF(A162&lt;&gt;"",SUMIF(ซื้อสินค้า!B:B,A162,ซื้อสินค้า!E:E)-SUMIF(ขายสินค้า!B:B,A162,ขายสินค้า!E:E),)</f>
        <v>0</v>
      </c>
      <c r="D162" s="23">
        <f>IF(A162&lt;&gt;"",SUMIF(ซื้อสินค้า!B:B,A162,ซื้อสินค้า!M:M),)</f>
        <v>0</v>
      </c>
      <c r="E162" s="23">
        <f t="shared" si="0"/>
        <v>0</v>
      </c>
    </row>
    <row r="163" spans="1:5" ht="12.75">
      <c r="A163" s="6"/>
      <c r="B163" s="9">
        <f>IFERROR(VLOOKUP(A163,ชื่อสินค้า!A:D,4,FALSE),)</f>
        <v>0</v>
      </c>
      <c r="C163" s="9">
        <f>IF(A163&lt;&gt;"",SUMIF(ซื้อสินค้า!B:B,A163,ซื้อสินค้า!E:E)-SUMIF(ขายสินค้า!B:B,A163,ขายสินค้า!E:E),)</f>
        <v>0</v>
      </c>
      <c r="D163" s="23">
        <f>IF(A163&lt;&gt;"",SUMIF(ซื้อสินค้า!B:B,A163,ซื้อสินค้า!M:M),)</f>
        <v>0</v>
      </c>
      <c r="E163" s="23">
        <f t="shared" si="0"/>
        <v>0</v>
      </c>
    </row>
    <row r="164" spans="1:5" ht="12.75">
      <c r="A164" s="6"/>
      <c r="B164" s="9">
        <f>IFERROR(VLOOKUP(A164,ชื่อสินค้า!A:D,4,FALSE),)</f>
        <v>0</v>
      </c>
      <c r="C164" s="9">
        <f>IF(A164&lt;&gt;"",SUMIF(ซื้อสินค้า!B:B,A164,ซื้อสินค้า!E:E)-SUMIF(ขายสินค้า!B:B,A164,ขายสินค้า!E:E),)</f>
        <v>0</v>
      </c>
      <c r="D164" s="23">
        <f>IF(A164&lt;&gt;"",SUMIF(ซื้อสินค้า!B:B,A164,ซื้อสินค้า!M:M),)</f>
        <v>0</v>
      </c>
      <c r="E164" s="23">
        <f t="shared" si="0"/>
        <v>0</v>
      </c>
    </row>
    <row r="165" spans="1:5" ht="12.75">
      <c r="A165" s="6"/>
      <c r="B165" s="9">
        <f>IFERROR(VLOOKUP(A165,ชื่อสินค้า!A:D,4,FALSE),)</f>
        <v>0</v>
      </c>
      <c r="C165" s="9">
        <f>IF(A165&lt;&gt;"",SUMIF(ซื้อสินค้า!B:B,A165,ซื้อสินค้า!E:E)-SUMIF(ขายสินค้า!B:B,A165,ขายสินค้า!E:E),)</f>
        <v>0</v>
      </c>
      <c r="D165" s="23">
        <f>IF(A165&lt;&gt;"",SUMIF(ซื้อสินค้า!B:B,A165,ซื้อสินค้า!M:M),)</f>
        <v>0</v>
      </c>
      <c r="E165" s="23">
        <f t="shared" si="0"/>
        <v>0</v>
      </c>
    </row>
    <row r="166" spans="1:5" ht="12.75">
      <c r="A166" s="6"/>
      <c r="B166" s="9">
        <f>IFERROR(VLOOKUP(A166,ชื่อสินค้า!A:D,4,FALSE),)</f>
        <v>0</v>
      </c>
      <c r="C166" s="9">
        <f>IF(A166&lt;&gt;"",SUMIF(ซื้อสินค้า!B:B,A166,ซื้อสินค้า!E:E)-SUMIF(ขายสินค้า!B:B,A166,ขายสินค้า!E:E),)</f>
        <v>0</v>
      </c>
      <c r="D166" s="23">
        <f>IF(A166&lt;&gt;"",SUMIF(ซื้อสินค้า!B:B,A166,ซื้อสินค้า!M:M),)</f>
        <v>0</v>
      </c>
      <c r="E166" s="23">
        <f t="shared" si="0"/>
        <v>0</v>
      </c>
    </row>
    <row r="167" spans="1:5" ht="12.75">
      <c r="A167" s="6"/>
      <c r="B167" s="9">
        <f>IFERROR(VLOOKUP(A167,ชื่อสินค้า!A:D,4,FALSE),)</f>
        <v>0</v>
      </c>
      <c r="C167" s="9">
        <f>IF(A167&lt;&gt;"",SUMIF(ซื้อสินค้า!B:B,A167,ซื้อสินค้า!E:E)-SUMIF(ขายสินค้า!B:B,A167,ขายสินค้า!E:E),)</f>
        <v>0</v>
      </c>
      <c r="D167" s="23">
        <f>IF(A167&lt;&gt;"",SUMIF(ซื้อสินค้า!B:B,A167,ซื้อสินค้า!M:M),)</f>
        <v>0</v>
      </c>
      <c r="E167" s="23">
        <f t="shared" si="0"/>
        <v>0</v>
      </c>
    </row>
    <row r="168" spans="1:5" ht="12.75">
      <c r="A168" s="6"/>
      <c r="B168" s="9">
        <f>IFERROR(VLOOKUP(A168,ชื่อสินค้า!A:D,4,FALSE),)</f>
        <v>0</v>
      </c>
      <c r="C168" s="9">
        <f>IF(A168&lt;&gt;"",SUMIF(ซื้อสินค้า!B:B,A168,ซื้อสินค้า!E:E)-SUMIF(ขายสินค้า!B:B,A168,ขายสินค้า!E:E),)</f>
        <v>0</v>
      </c>
      <c r="D168" s="23">
        <f>IF(A168&lt;&gt;"",SUMIF(ซื้อสินค้า!B:B,A168,ซื้อสินค้า!M:M),)</f>
        <v>0</v>
      </c>
      <c r="E168" s="23">
        <f t="shared" si="0"/>
        <v>0</v>
      </c>
    </row>
    <row r="169" spans="1:5" ht="12.75">
      <c r="A169" s="6"/>
      <c r="B169" s="9">
        <f>IFERROR(VLOOKUP(A169,ชื่อสินค้า!A:D,4,FALSE),)</f>
        <v>0</v>
      </c>
      <c r="C169" s="9">
        <f>IF(A169&lt;&gt;"",SUMIF(ซื้อสินค้า!B:B,A169,ซื้อสินค้า!E:E)-SUMIF(ขายสินค้า!B:B,A169,ขายสินค้า!E:E),)</f>
        <v>0</v>
      </c>
      <c r="D169" s="23">
        <f>IF(A169&lt;&gt;"",SUMIF(ซื้อสินค้า!B:B,A169,ซื้อสินค้า!M:M),)</f>
        <v>0</v>
      </c>
      <c r="E169" s="23">
        <f t="shared" si="0"/>
        <v>0</v>
      </c>
    </row>
    <row r="170" spans="1:5" ht="12.75">
      <c r="A170" s="6"/>
      <c r="B170" s="9">
        <f>IFERROR(VLOOKUP(A170,ชื่อสินค้า!A:D,4,FALSE),)</f>
        <v>0</v>
      </c>
      <c r="C170" s="9">
        <f>IF(A170&lt;&gt;"",SUMIF(ซื้อสินค้า!B:B,A170,ซื้อสินค้า!E:E)-SUMIF(ขายสินค้า!B:B,A170,ขายสินค้า!E:E),)</f>
        <v>0</v>
      </c>
      <c r="D170" s="23">
        <f>IF(A170&lt;&gt;"",SUMIF(ซื้อสินค้า!B:B,A170,ซื้อสินค้า!M:M),)</f>
        <v>0</v>
      </c>
      <c r="E170" s="23">
        <f t="shared" si="0"/>
        <v>0</v>
      </c>
    </row>
    <row r="171" spans="1:5" ht="12.75">
      <c r="A171" s="6"/>
      <c r="B171" s="9">
        <f>IFERROR(VLOOKUP(A171,ชื่อสินค้า!A:D,4,FALSE),)</f>
        <v>0</v>
      </c>
      <c r="C171" s="9">
        <f>IF(A171&lt;&gt;"",SUMIF(ซื้อสินค้า!B:B,A171,ซื้อสินค้า!E:E)-SUMIF(ขายสินค้า!B:B,A171,ขายสินค้า!E:E),)</f>
        <v>0</v>
      </c>
      <c r="D171" s="23">
        <f>IF(A171&lt;&gt;"",SUMIF(ซื้อสินค้า!B:B,A171,ซื้อสินค้า!M:M),)</f>
        <v>0</v>
      </c>
      <c r="E171" s="23">
        <f t="shared" si="0"/>
        <v>0</v>
      </c>
    </row>
    <row r="172" spans="1:5" ht="12.75">
      <c r="A172" s="6"/>
      <c r="B172" s="9">
        <f>IFERROR(VLOOKUP(A172,ชื่อสินค้า!A:D,4,FALSE),)</f>
        <v>0</v>
      </c>
      <c r="C172" s="9">
        <f>IF(A172&lt;&gt;"",SUMIF(ซื้อสินค้า!B:B,A172,ซื้อสินค้า!E:E)-SUMIF(ขายสินค้า!B:B,A172,ขายสินค้า!E:E),)</f>
        <v>0</v>
      </c>
      <c r="D172" s="23">
        <f>IF(A172&lt;&gt;"",SUMIF(ซื้อสินค้า!B:B,A172,ซื้อสินค้า!M:M),)</f>
        <v>0</v>
      </c>
      <c r="E172" s="23">
        <f t="shared" si="0"/>
        <v>0</v>
      </c>
    </row>
    <row r="173" spans="1:5" ht="12.75">
      <c r="A173" s="6"/>
      <c r="B173" s="9">
        <f>IFERROR(VLOOKUP(A173,ชื่อสินค้า!A:D,4,FALSE),)</f>
        <v>0</v>
      </c>
      <c r="C173" s="9">
        <f>IF(A173&lt;&gt;"",SUMIF(ซื้อสินค้า!B:B,A173,ซื้อสินค้า!E:E)-SUMIF(ขายสินค้า!B:B,A173,ขายสินค้า!E:E),)</f>
        <v>0</v>
      </c>
      <c r="D173" s="23">
        <f>IF(A173&lt;&gt;"",SUMIF(ซื้อสินค้า!B:B,A173,ซื้อสินค้า!M:M),)</f>
        <v>0</v>
      </c>
      <c r="E173" s="23">
        <f t="shared" si="0"/>
        <v>0</v>
      </c>
    </row>
    <row r="174" spans="1:5" ht="12.75">
      <c r="A174" s="6"/>
      <c r="B174" s="9">
        <f>IFERROR(VLOOKUP(A174,ชื่อสินค้า!A:D,4,FALSE),)</f>
        <v>0</v>
      </c>
      <c r="C174" s="9">
        <f>IF(A174&lt;&gt;"",SUMIF(ซื้อสินค้า!B:B,A174,ซื้อสินค้า!E:E)-SUMIF(ขายสินค้า!B:B,A174,ขายสินค้า!E:E),)</f>
        <v>0</v>
      </c>
      <c r="D174" s="23">
        <f>IF(A174&lt;&gt;"",SUMIF(ซื้อสินค้า!B:B,A174,ซื้อสินค้า!M:M),)</f>
        <v>0</v>
      </c>
      <c r="E174" s="23">
        <f t="shared" si="0"/>
        <v>0</v>
      </c>
    </row>
    <row r="175" spans="1:5" ht="12.75">
      <c r="A175" s="6"/>
      <c r="B175" s="9">
        <f>IFERROR(VLOOKUP(A175,ชื่อสินค้า!A:D,4,FALSE),)</f>
        <v>0</v>
      </c>
      <c r="C175" s="9">
        <f>IF(A175&lt;&gt;"",SUMIF(ซื้อสินค้า!B:B,A175,ซื้อสินค้า!E:E)-SUMIF(ขายสินค้า!B:B,A175,ขายสินค้า!E:E),)</f>
        <v>0</v>
      </c>
      <c r="D175" s="23">
        <f>IF(A175&lt;&gt;"",SUMIF(ซื้อสินค้า!B:B,A175,ซื้อสินค้า!M:M),)</f>
        <v>0</v>
      </c>
      <c r="E175" s="23">
        <f t="shared" si="0"/>
        <v>0</v>
      </c>
    </row>
    <row r="176" spans="1:5" ht="12.75">
      <c r="A176" s="6"/>
      <c r="B176" s="9">
        <f>IFERROR(VLOOKUP(A176,ชื่อสินค้า!A:D,4,FALSE),)</f>
        <v>0</v>
      </c>
      <c r="C176" s="9">
        <f>IF(A176&lt;&gt;"",SUMIF(ซื้อสินค้า!B:B,A176,ซื้อสินค้า!E:E)-SUMIF(ขายสินค้า!B:B,A176,ขายสินค้า!E:E),)</f>
        <v>0</v>
      </c>
      <c r="D176" s="23">
        <f>IF(A176&lt;&gt;"",SUMIF(ซื้อสินค้า!B:B,A176,ซื้อสินค้า!M:M),)</f>
        <v>0</v>
      </c>
      <c r="E176" s="23">
        <f t="shared" si="0"/>
        <v>0</v>
      </c>
    </row>
    <row r="177" spans="1:5" ht="12.75">
      <c r="A177" s="6"/>
      <c r="B177" s="9">
        <f>IFERROR(VLOOKUP(A177,ชื่อสินค้า!A:D,4,FALSE),)</f>
        <v>0</v>
      </c>
      <c r="C177" s="9">
        <f>IF(A177&lt;&gt;"",SUMIF(ซื้อสินค้า!B:B,A177,ซื้อสินค้า!E:E)-SUMIF(ขายสินค้า!B:B,A177,ขายสินค้า!E:E),)</f>
        <v>0</v>
      </c>
      <c r="D177" s="23">
        <f>IF(A177&lt;&gt;"",SUMIF(ซื้อสินค้า!B:B,A177,ซื้อสินค้า!M:M),)</f>
        <v>0</v>
      </c>
      <c r="E177" s="23">
        <f t="shared" si="0"/>
        <v>0</v>
      </c>
    </row>
    <row r="178" spans="1:5" ht="12.75">
      <c r="A178" s="6"/>
      <c r="B178" s="9">
        <f>IFERROR(VLOOKUP(A178,ชื่อสินค้า!A:D,4,FALSE),)</f>
        <v>0</v>
      </c>
      <c r="C178" s="9">
        <f>IF(A178&lt;&gt;"",SUMIF(ซื้อสินค้า!B:B,A178,ซื้อสินค้า!E:E)-SUMIF(ขายสินค้า!B:B,A178,ขายสินค้า!E:E),)</f>
        <v>0</v>
      </c>
      <c r="D178" s="23">
        <f>IF(A178&lt;&gt;"",SUMIF(ซื้อสินค้า!B:B,A178,ซื้อสินค้า!M:M),)</f>
        <v>0</v>
      </c>
      <c r="E178" s="23">
        <f t="shared" si="0"/>
        <v>0</v>
      </c>
    </row>
    <row r="179" spans="1:5" ht="12.75">
      <c r="A179" s="6"/>
      <c r="B179" s="9">
        <f>IFERROR(VLOOKUP(A179,ชื่อสินค้า!A:D,4,FALSE),)</f>
        <v>0</v>
      </c>
      <c r="C179" s="9">
        <f>IF(A179&lt;&gt;"",SUMIF(ซื้อสินค้า!B:B,A179,ซื้อสินค้า!E:E)-SUMIF(ขายสินค้า!B:B,A179,ขายสินค้า!E:E),)</f>
        <v>0</v>
      </c>
      <c r="D179" s="23">
        <f>IF(A179&lt;&gt;"",SUMIF(ซื้อสินค้า!B:B,A179,ซื้อสินค้า!M:M),)</f>
        <v>0</v>
      </c>
      <c r="E179" s="23">
        <f t="shared" si="0"/>
        <v>0</v>
      </c>
    </row>
    <row r="180" spans="1:5" ht="12.75">
      <c r="A180" s="6"/>
      <c r="B180" s="9">
        <f>IFERROR(VLOOKUP(A180,ชื่อสินค้า!A:D,4,FALSE),)</f>
        <v>0</v>
      </c>
      <c r="C180" s="9">
        <f>IF(A180&lt;&gt;"",SUMIF(ซื้อสินค้า!B:B,A180,ซื้อสินค้า!E:E)-SUMIF(ขายสินค้า!B:B,A180,ขายสินค้า!E:E),)</f>
        <v>0</v>
      </c>
      <c r="D180" s="23">
        <f>IF(A180&lt;&gt;"",SUMIF(ซื้อสินค้า!B:B,A180,ซื้อสินค้า!M:M),)</f>
        <v>0</v>
      </c>
      <c r="E180" s="23">
        <f t="shared" si="0"/>
        <v>0</v>
      </c>
    </row>
    <row r="181" spans="1:5" ht="12.75">
      <c r="A181" s="6"/>
      <c r="B181" s="9">
        <f>IFERROR(VLOOKUP(A181,ชื่อสินค้า!A:D,4,FALSE),)</f>
        <v>0</v>
      </c>
      <c r="C181" s="9">
        <f>IF(A181&lt;&gt;"",SUMIF(ซื้อสินค้า!B:B,A181,ซื้อสินค้า!E:E)-SUMIF(ขายสินค้า!B:B,A181,ขายสินค้า!E:E),)</f>
        <v>0</v>
      </c>
      <c r="D181" s="23">
        <f>IF(A181&lt;&gt;"",SUMIF(ซื้อสินค้า!B:B,A181,ซื้อสินค้า!M:M),)</f>
        <v>0</v>
      </c>
      <c r="E181" s="23">
        <f t="shared" si="0"/>
        <v>0</v>
      </c>
    </row>
    <row r="182" spans="1:5" ht="12.75">
      <c r="A182" s="6"/>
      <c r="B182" s="9">
        <f>IFERROR(VLOOKUP(A182,ชื่อสินค้า!A:D,4,FALSE),)</f>
        <v>0</v>
      </c>
      <c r="C182" s="9">
        <f>IF(A182&lt;&gt;"",SUMIF(ซื้อสินค้า!B:B,A182,ซื้อสินค้า!E:E)-SUMIF(ขายสินค้า!B:B,A182,ขายสินค้า!E:E),)</f>
        <v>0</v>
      </c>
      <c r="D182" s="23">
        <f>IF(A182&lt;&gt;"",SUMIF(ซื้อสินค้า!B:B,A182,ซื้อสินค้า!M:M),)</f>
        <v>0</v>
      </c>
      <c r="E182" s="23">
        <f t="shared" si="0"/>
        <v>0</v>
      </c>
    </row>
    <row r="183" spans="1:5" ht="12.75">
      <c r="A183" s="6"/>
      <c r="B183" s="9">
        <f>IFERROR(VLOOKUP(A183,ชื่อสินค้า!A:D,4,FALSE),)</f>
        <v>0</v>
      </c>
      <c r="C183" s="9">
        <f>IF(A183&lt;&gt;"",SUMIF(ซื้อสินค้า!B:B,A183,ซื้อสินค้า!E:E)-SUMIF(ขายสินค้า!B:B,A183,ขายสินค้า!E:E),)</f>
        <v>0</v>
      </c>
      <c r="D183" s="23">
        <f>IF(A183&lt;&gt;"",SUMIF(ซื้อสินค้า!B:B,A183,ซื้อสินค้า!M:M),)</f>
        <v>0</v>
      </c>
      <c r="E183" s="23">
        <f t="shared" si="0"/>
        <v>0</v>
      </c>
    </row>
    <row r="184" spans="1:5" ht="12.75">
      <c r="A184" s="6"/>
      <c r="B184" s="9">
        <f>IFERROR(VLOOKUP(A184,ชื่อสินค้า!A:D,4,FALSE),)</f>
        <v>0</v>
      </c>
      <c r="C184" s="9">
        <f>IF(A184&lt;&gt;"",SUMIF(ซื้อสินค้า!B:B,A184,ซื้อสินค้า!E:E)-SUMIF(ขายสินค้า!B:B,A184,ขายสินค้า!E:E),)</f>
        <v>0</v>
      </c>
      <c r="D184" s="23">
        <f>IF(A184&lt;&gt;"",SUMIF(ซื้อสินค้า!B:B,A184,ซื้อสินค้า!M:M),)</f>
        <v>0</v>
      </c>
      <c r="E184" s="23">
        <f t="shared" si="0"/>
        <v>0</v>
      </c>
    </row>
    <row r="185" spans="1:5" ht="12.75">
      <c r="A185" s="6"/>
      <c r="B185" s="9">
        <f>IFERROR(VLOOKUP(A185,ชื่อสินค้า!A:D,4,FALSE),)</f>
        <v>0</v>
      </c>
      <c r="C185" s="9">
        <f>IF(A185&lt;&gt;"",SUMIF(ซื้อสินค้า!B:B,A185,ซื้อสินค้า!E:E)-SUMIF(ขายสินค้า!B:B,A185,ขายสินค้า!E:E),)</f>
        <v>0</v>
      </c>
      <c r="D185" s="23">
        <f>IF(A185&lt;&gt;"",SUMIF(ซื้อสินค้า!B:B,A185,ซื้อสินค้า!M:M),)</f>
        <v>0</v>
      </c>
      <c r="E185" s="23">
        <f t="shared" si="0"/>
        <v>0</v>
      </c>
    </row>
    <row r="186" spans="1:5" ht="12.75">
      <c r="A186" s="6"/>
      <c r="B186" s="9">
        <f>IFERROR(VLOOKUP(A186,ชื่อสินค้า!A:D,4,FALSE),)</f>
        <v>0</v>
      </c>
      <c r="C186" s="9">
        <f>IF(A186&lt;&gt;"",SUMIF(ซื้อสินค้า!B:B,A186,ซื้อสินค้า!E:E)-SUMIF(ขายสินค้า!B:B,A186,ขายสินค้า!E:E),)</f>
        <v>0</v>
      </c>
      <c r="D186" s="23">
        <f>IF(A186&lt;&gt;"",SUMIF(ซื้อสินค้า!B:B,A186,ซื้อสินค้า!M:M),)</f>
        <v>0</v>
      </c>
      <c r="E186" s="23">
        <f t="shared" si="0"/>
        <v>0</v>
      </c>
    </row>
    <row r="187" spans="1:5" ht="12.75">
      <c r="A187" s="6"/>
      <c r="B187" s="9">
        <f>IFERROR(VLOOKUP(A187,ชื่อสินค้า!A:D,4,FALSE),)</f>
        <v>0</v>
      </c>
      <c r="C187" s="9">
        <f>IF(A187&lt;&gt;"",SUMIF(ซื้อสินค้า!B:B,A187,ซื้อสินค้า!E:E)-SUMIF(ขายสินค้า!B:B,A187,ขายสินค้า!E:E),)</f>
        <v>0</v>
      </c>
      <c r="D187" s="23">
        <f>IF(A187&lt;&gt;"",SUMIF(ซื้อสินค้า!B:B,A187,ซื้อสินค้า!M:M),)</f>
        <v>0</v>
      </c>
      <c r="E187" s="23">
        <f t="shared" si="0"/>
        <v>0</v>
      </c>
    </row>
    <row r="188" spans="1:5" ht="12.75">
      <c r="A188" s="6"/>
      <c r="B188" s="9">
        <f>IFERROR(VLOOKUP(A188,ชื่อสินค้า!A:D,4,FALSE),)</f>
        <v>0</v>
      </c>
      <c r="C188" s="9">
        <f>IF(A188&lt;&gt;"",SUMIF(ซื้อสินค้า!B:B,A188,ซื้อสินค้า!E:E)-SUMIF(ขายสินค้า!B:B,A188,ขายสินค้า!E:E),)</f>
        <v>0</v>
      </c>
      <c r="D188" s="23">
        <f>IF(A188&lt;&gt;"",SUMIF(ซื้อสินค้า!B:B,A188,ซื้อสินค้า!M:M),)</f>
        <v>0</v>
      </c>
      <c r="E188" s="23">
        <f t="shared" si="0"/>
        <v>0</v>
      </c>
    </row>
    <row r="189" spans="1:5" ht="12.75">
      <c r="A189" s="6"/>
      <c r="B189" s="9">
        <f>IFERROR(VLOOKUP(A189,ชื่อสินค้า!A:D,4,FALSE),)</f>
        <v>0</v>
      </c>
      <c r="C189" s="9">
        <f>IF(A189&lt;&gt;"",SUMIF(ซื้อสินค้า!B:B,A189,ซื้อสินค้า!E:E)-SUMIF(ขายสินค้า!B:B,A189,ขายสินค้า!E:E),)</f>
        <v>0</v>
      </c>
      <c r="D189" s="23">
        <f>IF(A189&lt;&gt;"",SUMIF(ซื้อสินค้า!B:B,A189,ซื้อสินค้า!M:M),)</f>
        <v>0</v>
      </c>
      <c r="E189" s="23">
        <f t="shared" si="0"/>
        <v>0</v>
      </c>
    </row>
    <row r="190" spans="1:5" ht="12.75">
      <c r="A190" s="6"/>
      <c r="B190" s="9">
        <f>IFERROR(VLOOKUP(A190,ชื่อสินค้า!A:D,4,FALSE),)</f>
        <v>0</v>
      </c>
      <c r="C190" s="9">
        <f>IF(A190&lt;&gt;"",SUMIF(ซื้อสินค้า!B:B,A190,ซื้อสินค้า!E:E)-SUMIF(ขายสินค้า!B:B,A190,ขายสินค้า!E:E),)</f>
        <v>0</v>
      </c>
      <c r="D190" s="23">
        <f>IF(A190&lt;&gt;"",SUMIF(ซื้อสินค้า!B:B,A190,ซื้อสินค้า!M:M),)</f>
        <v>0</v>
      </c>
      <c r="E190" s="23">
        <f t="shared" si="0"/>
        <v>0</v>
      </c>
    </row>
    <row r="191" spans="1:5" ht="12.75">
      <c r="A191" s="6"/>
      <c r="B191" s="9">
        <f>IFERROR(VLOOKUP(A191,ชื่อสินค้า!A:D,4,FALSE),)</f>
        <v>0</v>
      </c>
      <c r="C191" s="9">
        <f>IF(A191&lt;&gt;"",SUMIF(ซื้อสินค้า!B:B,A191,ซื้อสินค้า!E:E)-SUMIF(ขายสินค้า!B:B,A191,ขายสินค้า!E:E),)</f>
        <v>0</v>
      </c>
      <c r="D191" s="23">
        <f>IF(A191&lt;&gt;"",SUMIF(ซื้อสินค้า!B:B,A191,ซื้อสินค้า!M:M),)</f>
        <v>0</v>
      </c>
      <c r="E191" s="23">
        <f t="shared" si="0"/>
        <v>0</v>
      </c>
    </row>
    <row r="192" spans="1:5" ht="12.75">
      <c r="A192" s="6"/>
      <c r="B192" s="9">
        <f>IFERROR(VLOOKUP(A192,ชื่อสินค้า!A:D,4,FALSE),)</f>
        <v>0</v>
      </c>
      <c r="C192" s="9">
        <f>IF(A192&lt;&gt;"",SUMIF(ซื้อสินค้า!B:B,A192,ซื้อสินค้า!E:E)-SUMIF(ขายสินค้า!B:B,A192,ขายสินค้า!E:E),)</f>
        <v>0</v>
      </c>
      <c r="D192" s="23">
        <f>IF(A192&lt;&gt;"",SUMIF(ซื้อสินค้า!B:B,A192,ซื้อสินค้า!M:M),)</f>
        <v>0</v>
      </c>
      <c r="E192" s="23">
        <f t="shared" si="0"/>
        <v>0</v>
      </c>
    </row>
    <row r="193" spans="1:5" ht="12.75">
      <c r="A193" s="6"/>
      <c r="B193" s="9">
        <f>IFERROR(VLOOKUP(A193,ชื่อสินค้า!A:D,4,FALSE),)</f>
        <v>0</v>
      </c>
      <c r="C193" s="9">
        <f>IF(A193&lt;&gt;"",SUMIF(ซื้อสินค้า!B:B,A193,ซื้อสินค้า!E:E)-SUMIF(ขายสินค้า!B:B,A193,ขายสินค้า!E:E),)</f>
        <v>0</v>
      </c>
      <c r="D193" s="23">
        <f>IF(A193&lt;&gt;"",SUMIF(ซื้อสินค้า!B:B,A193,ซื้อสินค้า!M:M),)</f>
        <v>0</v>
      </c>
      <c r="E193" s="23">
        <f t="shared" si="0"/>
        <v>0</v>
      </c>
    </row>
    <row r="194" spans="1:5" ht="12.75">
      <c r="A194" s="6"/>
      <c r="B194" s="9">
        <f>IFERROR(VLOOKUP(A194,ชื่อสินค้า!A:D,4,FALSE),)</f>
        <v>0</v>
      </c>
      <c r="C194" s="9">
        <f>IF(A194&lt;&gt;"",SUMIF(ซื้อสินค้า!B:B,A194,ซื้อสินค้า!E:E)-SUMIF(ขายสินค้า!B:B,A194,ขายสินค้า!E:E),)</f>
        <v>0</v>
      </c>
      <c r="D194" s="23">
        <f>IF(A194&lt;&gt;"",SUMIF(ซื้อสินค้า!B:B,A194,ซื้อสินค้า!M:M),)</f>
        <v>0</v>
      </c>
      <c r="E194" s="23">
        <f t="shared" si="0"/>
        <v>0</v>
      </c>
    </row>
    <row r="195" spans="1:5" ht="12.75">
      <c r="A195" s="6"/>
      <c r="B195" s="9">
        <f>IFERROR(VLOOKUP(A195,ชื่อสินค้า!A:D,4,FALSE),)</f>
        <v>0</v>
      </c>
      <c r="C195" s="9">
        <f>IF(A195&lt;&gt;"",SUMIF(ซื้อสินค้า!B:B,A195,ซื้อสินค้า!E:E)-SUMIF(ขายสินค้า!B:B,A195,ขายสินค้า!E:E),)</f>
        <v>0</v>
      </c>
      <c r="D195" s="23">
        <f>IF(A195&lt;&gt;"",SUMIF(ซื้อสินค้า!B:B,A195,ซื้อสินค้า!M:M),)</f>
        <v>0</v>
      </c>
      <c r="E195" s="23">
        <f t="shared" si="0"/>
        <v>0</v>
      </c>
    </row>
    <row r="196" spans="1:5" ht="12.75">
      <c r="A196" s="6"/>
      <c r="B196" s="9">
        <f>IFERROR(VLOOKUP(A196,ชื่อสินค้า!A:D,4,FALSE),)</f>
        <v>0</v>
      </c>
      <c r="C196" s="9">
        <f>IF(A196&lt;&gt;"",SUMIF(ซื้อสินค้า!B:B,A196,ซื้อสินค้า!E:E)-SUMIF(ขายสินค้า!B:B,A196,ขายสินค้า!E:E),)</f>
        <v>0</v>
      </c>
      <c r="D196" s="23">
        <f>IF(A196&lt;&gt;"",SUMIF(ซื้อสินค้า!B:B,A196,ซื้อสินค้า!M:M),)</f>
        <v>0</v>
      </c>
      <c r="E196" s="23">
        <f t="shared" si="0"/>
        <v>0</v>
      </c>
    </row>
    <row r="197" spans="1:5" ht="12.75">
      <c r="A197" s="6"/>
      <c r="B197" s="9">
        <f>IFERROR(VLOOKUP(A197,ชื่อสินค้า!A:D,4,FALSE),)</f>
        <v>0</v>
      </c>
      <c r="C197" s="9">
        <f>IF(A197&lt;&gt;"",SUMIF(ซื้อสินค้า!B:B,A197,ซื้อสินค้า!E:E)-SUMIF(ขายสินค้า!B:B,A197,ขายสินค้า!E:E),)</f>
        <v>0</v>
      </c>
      <c r="D197" s="23">
        <f>IF(A197&lt;&gt;"",SUMIF(ซื้อสินค้า!B:B,A197,ซื้อสินค้า!M:M),)</f>
        <v>0</v>
      </c>
      <c r="E197" s="23">
        <f t="shared" si="0"/>
        <v>0</v>
      </c>
    </row>
    <row r="198" spans="1:5" ht="12.75">
      <c r="A198" s="6"/>
      <c r="B198" s="9">
        <f>IFERROR(VLOOKUP(A198,ชื่อสินค้า!A:D,4,FALSE),)</f>
        <v>0</v>
      </c>
      <c r="C198" s="9">
        <f>IF(A198&lt;&gt;"",SUMIF(ซื้อสินค้า!B:B,A198,ซื้อสินค้า!E:E)-SUMIF(ขายสินค้า!B:B,A198,ขายสินค้า!E:E),)</f>
        <v>0</v>
      </c>
      <c r="D198" s="23">
        <f>IF(A198&lt;&gt;"",SUMIF(ซื้อสินค้า!B:B,A198,ซื้อสินค้า!M:M),)</f>
        <v>0</v>
      </c>
      <c r="E198" s="23">
        <f t="shared" si="0"/>
        <v>0</v>
      </c>
    </row>
    <row r="199" spans="1:5" ht="12.75">
      <c r="A199" s="6"/>
      <c r="B199" s="9">
        <f>IFERROR(VLOOKUP(A199,ชื่อสินค้า!A:D,4,FALSE),)</f>
        <v>0</v>
      </c>
      <c r="C199" s="9">
        <f>IF(A199&lt;&gt;"",SUMIF(ซื้อสินค้า!B:B,A199,ซื้อสินค้า!E:E)-SUMIF(ขายสินค้า!B:B,A199,ขายสินค้า!E:E),)</f>
        <v>0</v>
      </c>
      <c r="D199" s="23">
        <f>IF(A199&lt;&gt;"",SUMIF(ซื้อสินค้า!B:B,A199,ซื้อสินค้า!M:M),)</f>
        <v>0</v>
      </c>
      <c r="E199" s="23">
        <f t="shared" si="0"/>
        <v>0</v>
      </c>
    </row>
    <row r="200" spans="1:5" ht="12.75">
      <c r="A200" s="6"/>
      <c r="B200" s="9">
        <f>IFERROR(VLOOKUP(A200,ชื่อสินค้า!A:D,4,FALSE),)</f>
        <v>0</v>
      </c>
      <c r="C200" s="9">
        <f>IF(A200&lt;&gt;"",SUMIF(ซื้อสินค้า!B:B,A200,ซื้อสินค้า!E:E)-SUMIF(ขายสินค้า!B:B,A200,ขายสินค้า!E:E),)</f>
        <v>0</v>
      </c>
      <c r="D200" s="23">
        <f>IF(A200&lt;&gt;"",SUMIF(ซื้อสินค้า!B:B,A200,ซื้อสินค้า!M:M),)</f>
        <v>0</v>
      </c>
      <c r="E200" s="23">
        <f t="shared" si="0"/>
        <v>0</v>
      </c>
    </row>
    <row r="201" spans="1:5" ht="12.75">
      <c r="A201" s="6"/>
      <c r="B201" s="9">
        <f>IFERROR(VLOOKUP(A201,ชื่อสินค้า!A:D,4,FALSE),)</f>
        <v>0</v>
      </c>
      <c r="C201" s="9">
        <f>IF(A201&lt;&gt;"",SUMIF(ซื้อสินค้า!B:B,A201,ซื้อสินค้า!E:E)-SUMIF(ขายสินค้า!B:B,A201,ขายสินค้า!E:E),)</f>
        <v>0</v>
      </c>
      <c r="D201" s="23">
        <f>IF(A201&lt;&gt;"",SUMIF(ซื้อสินค้า!B:B,A201,ซื้อสินค้า!M:M),)</f>
        <v>0</v>
      </c>
      <c r="E201" s="23">
        <f t="shared" si="0"/>
        <v>0</v>
      </c>
    </row>
    <row r="202" spans="1:5" ht="12.75">
      <c r="A202" s="6"/>
      <c r="B202" s="9">
        <f>IFERROR(VLOOKUP(A202,ชื่อสินค้า!A:D,4,FALSE),)</f>
        <v>0</v>
      </c>
      <c r="C202" s="9">
        <f>IF(A202&lt;&gt;"",SUMIF(ซื้อสินค้า!B:B,A202,ซื้อสินค้า!E:E)-SUMIF(ขายสินค้า!B:B,A202,ขายสินค้า!E:E),)</f>
        <v>0</v>
      </c>
      <c r="D202" s="23">
        <f>IF(A202&lt;&gt;"",SUMIF(ซื้อสินค้า!B:B,A202,ซื้อสินค้า!M:M),)</f>
        <v>0</v>
      </c>
      <c r="E202" s="23">
        <f t="shared" si="0"/>
        <v>0</v>
      </c>
    </row>
    <row r="203" spans="1:5" ht="12.75">
      <c r="A203" s="6"/>
      <c r="B203" s="9">
        <f>IFERROR(VLOOKUP(A203,ชื่อสินค้า!A:D,4,FALSE),)</f>
        <v>0</v>
      </c>
      <c r="C203" s="9">
        <f>IF(A203&lt;&gt;"",SUMIF(ซื้อสินค้า!B:B,A203,ซื้อสินค้า!E:E)-SUMIF(ขายสินค้า!B:B,A203,ขายสินค้า!E:E),)</f>
        <v>0</v>
      </c>
      <c r="D203" s="23">
        <f>IF(A203&lt;&gt;"",SUMIF(ซื้อสินค้า!B:B,A203,ซื้อสินค้า!M:M),)</f>
        <v>0</v>
      </c>
      <c r="E203" s="23">
        <f t="shared" si="0"/>
        <v>0</v>
      </c>
    </row>
    <row r="204" spans="1:5" ht="12.75">
      <c r="A204" s="6"/>
      <c r="B204" s="9">
        <f>IFERROR(VLOOKUP(A204,ชื่อสินค้า!A:D,4,FALSE),)</f>
        <v>0</v>
      </c>
      <c r="C204" s="9">
        <f>IF(A204&lt;&gt;"",SUMIF(ซื้อสินค้า!B:B,A204,ซื้อสินค้า!E:E)-SUMIF(ขายสินค้า!B:B,A204,ขายสินค้า!E:E),)</f>
        <v>0</v>
      </c>
      <c r="D204" s="23">
        <f>IF(A204&lt;&gt;"",SUMIF(ซื้อสินค้า!B:B,A204,ซื้อสินค้า!M:M),)</f>
        <v>0</v>
      </c>
      <c r="E204" s="23">
        <f t="shared" si="0"/>
        <v>0</v>
      </c>
    </row>
    <row r="205" spans="1:5" ht="12.75">
      <c r="A205" s="6"/>
      <c r="B205" s="9">
        <f>IFERROR(VLOOKUP(A205,ชื่อสินค้า!A:D,4,FALSE),)</f>
        <v>0</v>
      </c>
      <c r="C205" s="9">
        <f>IF(A205&lt;&gt;"",SUMIF(ซื้อสินค้า!B:B,A205,ซื้อสินค้า!E:E)-SUMIF(ขายสินค้า!B:B,A205,ขายสินค้า!E:E),)</f>
        <v>0</v>
      </c>
      <c r="D205" s="23">
        <f>IF(A205&lt;&gt;"",SUMIF(ซื้อสินค้า!B:B,A205,ซื้อสินค้า!M:M),)</f>
        <v>0</v>
      </c>
      <c r="E205" s="23">
        <f t="shared" si="0"/>
        <v>0</v>
      </c>
    </row>
    <row r="206" spans="1:5" ht="12.75">
      <c r="A206" s="6"/>
      <c r="B206" s="9">
        <f>IFERROR(VLOOKUP(A206,ชื่อสินค้า!A:D,4,FALSE),)</f>
        <v>0</v>
      </c>
      <c r="C206" s="9">
        <f>IF(A206&lt;&gt;"",SUMIF(ซื้อสินค้า!B:B,A206,ซื้อสินค้า!E:E)-SUMIF(ขายสินค้า!B:B,A206,ขายสินค้า!E:E),)</f>
        <v>0</v>
      </c>
      <c r="D206" s="23">
        <f>IF(A206&lt;&gt;"",SUMIF(ซื้อสินค้า!B:B,A206,ซื้อสินค้า!M:M),)</f>
        <v>0</v>
      </c>
      <c r="E206" s="23">
        <f t="shared" si="0"/>
        <v>0</v>
      </c>
    </row>
    <row r="207" spans="1:5" ht="12.75">
      <c r="A207" s="6"/>
      <c r="B207" s="9">
        <f>IFERROR(VLOOKUP(A207,ชื่อสินค้า!A:D,4,FALSE),)</f>
        <v>0</v>
      </c>
      <c r="C207" s="9">
        <f>IF(A207&lt;&gt;"",SUMIF(ซื้อสินค้า!B:B,A207,ซื้อสินค้า!E:E)-SUMIF(ขายสินค้า!B:B,A207,ขายสินค้า!E:E),)</f>
        <v>0</v>
      </c>
      <c r="D207" s="23">
        <f>IF(A207&lt;&gt;"",SUMIF(ซื้อสินค้า!B:B,A207,ซื้อสินค้า!M:M),)</f>
        <v>0</v>
      </c>
      <c r="E207" s="23">
        <f t="shared" si="0"/>
        <v>0</v>
      </c>
    </row>
    <row r="208" spans="1:5" ht="12.75">
      <c r="A208" s="6"/>
      <c r="B208" s="9">
        <f>IFERROR(VLOOKUP(A208,ชื่อสินค้า!A:D,4,FALSE),)</f>
        <v>0</v>
      </c>
      <c r="C208" s="9">
        <f>IF(A208&lt;&gt;"",SUMIF(ซื้อสินค้า!B:B,A208,ซื้อสินค้า!E:E)-SUMIF(ขายสินค้า!B:B,A208,ขายสินค้า!E:E),)</f>
        <v>0</v>
      </c>
      <c r="D208" s="23">
        <f>IF(A208&lt;&gt;"",SUMIF(ซื้อสินค้า!B:B,A208,ซื้อสินค้า!M:M),)</f>
        <v>0</v>
      </c>
      <c r="E208" s="23">
        <f t="shared" si="0"/>
        <v>0</v>
      </c>
    </row>
    <row r="209" spans="1:5" ht="12.75">
      <c r="A209" s="6"/>
      <c r="B209" s="9">
        <f>IFERROR(VLOOKUP(A209,ชื่อสินค้า!A:D,4,FALSE),)</f>
        <v>0</v>
      </c>
      <c r="C209" s="9">
        <f>IF(A209&lt;&gt;"",SUMIF(ซื้อสินค้า!B:B,A209,ซื้อสินค้า!E:E)-SUMIF(ขายสินค้า!B:B,A209,ขายสินค้า!E:E),)</f>
        <v>0</v>
      </c>
      <c r="D209" s="23">
        <f>IF(A209&lt;&gt;"",SUMIF(ซื้อสินค้า!B:B,A209,ซื้อสินค้า!M:M),)</f>
        <v>0</v>
      </c>
      <c r="E209" s="23">
        <f t="shared" si="0"/>
        <v>0</v>
      </c>
    </row>
    <row r="210" spans="1:5" ht="12.75">
      <c r="A210" s="6"/>
      <c r="B210" s="9">
        <f>IFERROR(VLOOKUP(A210,ชื่อสินค้า!A:D,4,FALSE),)</f>
        <v>0</v>
      </c>
      <c r="C210" s="9">
        <f>IF(A210&lt;&gt;"",SUMIF(ซื้อสินค้า!B:B,A210,ซื้อสินค้า!E:E)-SUMIF(ขายสินค้า!B:B,A210,ขายสินค้า!E:E),)</f>
        <v>0</v>
      </c>
      <c r="D210" s="23">
        <f>IF(A210&lt;&gt;"",SUMIF(ซื้อสินค้า!B:B,A210,ซื้อสินค้า!M:M),)</f>
        <v>0</v>
      </c>
      <c r="E210" s="23">
        <f t="shared" si="0"/>
        <v>0</v>
      </c>
    </row>
    <row r="211" spans="1:5" ht="12.75">
      <c r="A211" s="6"/>
      <c r="B211" s="9">
        <f>IFERROR(VLOOKUP(A211,ชื่อสินค้า!A:D,4,FALSE),)</f>
        <v>0</v>
      </c>
      <c r="C211" s="9">
        <f>IF(A211&lt;&gt;"",SUMIF(ซื้อสินค้า!B:B,A211,ซื้อสินค้า!E:E)-SUMIF(ขายสินค้า!B:B,A211,ขายสินค้า!E:E),)</f>
        <v>0</v>
      </c>
      <c r="D211" s="23">
        <f>IF(A211&lt;&gt;"",SUMIF(ซื้อสินค้า!B:B,A211,ซื้อสินค้า!M:M),)</f>
        <v>0</v>
      </c>
      <c r="E211" s="23">
        <f t="shared" si="0"/>
        <v>0</v>
      </c>
    </row>
    <row r="212" spans="1:5" ht="12.75">
      <c r="A212" s="6"/>
      <c r="B212" s="9">
        <f>IFERROR(VLOOKUP(A212,ชื่อสินค้า!A:D,4,FALSE),)</f>
        <v>0</v>
      </c>
      <c r="C212" s="9">
        <f>IF(A212&lt;&gt;"",SUMIF(ซื้อสินค้า!B:B,A212,ซื้อสินค้า!E:E)-SUMIF(ขายสินค้า!B:B,A212,ขายสินค้า!E:E),)</f>
        <v>0</v>
      </c>
      <c r="D212" s="23">
        <f>IF(A212&lt;&gt;"",SUMIF(ซื้อสินค้า!B:B,A212,ซื้อสินค้า!M:M),)</f>
        <v>0</v>
      </c>
      <c r="E212" s="23">
        <f t="shared" si="0"/>
        <v>0</v>
      </c>
    </row>
    <row r="213" spans="1:5" ht="12.75">
      <c r="A213" s="6"/>
      <c r="B213" s="9">
        <f>IFERROR(VLOOKUP(A213,ชื่อสินค้า!A:D,4,FALSE),)</f>
        <v>0</v>
      </c>
      <c r="C213" s="9">
        <f>IF(A213&lt;&gt;"",SUMIF(ซื้อสินค้า!B:B,A213,ซื้อสินค้า!E:E)-SUMIF(ขายสินค้า!B:B,A213,ขายสินค้า!E:E),)</f>
        <v>0</v>
      </c>
      <c r="D213" s="23">
        <f>IF(A213&lt;&gt;"",SUMIF(ซื้อสินค้า!B:B,A213,ซื้อสินค้า!M:M),)</f>
        <v>0</v>
      </c>
      <c r="E213" s="23">
        <f t="shared" si="0"/>
        <v>0</v>
      </c>
    </row>
    <row r="214" spans="1:5" ht="12.75">
      <c r="A214" s="6"/>
      <c r="B214" s="9">
        <f>IFERROR(VLOOKUP(A214,ชื่อสินค้า!A:D,4,FALSE),)</f>
        <v>0</v>
      </c>
      <c r="C214" s="9">
        <f>IF(A214&lt;&gt;"",SUMIF(ซื้อสินค้า!B:B,A214,ซื้อสินค้า!E:E)-SUMIF(ขายสินค้า!B:B,A214,ขายสินค้า!E:E),)</f>
        <v>0</v>
      </c>
      <c r="D214" s="23">
        <f>IF(A214&lt;&gt;"",SUMIF(ซื้อสินค้า!B:B,A214,ซื้อสินค้า!M:M),)</f>
        <v>0</v>
      </c>
      <c r="E214" s="23">
        <f t="shared" si="0"/>
        <v>0</v>
      </c>
    </row>
    <row r="215" spans="1:5" ht="12.75">
      <c r="A215" s="6"/>
      <c r="B215" s="9">
        <f>IFERROR(VLOOKUP(A215,ชื่อสินค้า!A:D,4,FALSE),)</f>
        <v>0</v>
      </c>
      <c r="C215" s="9">
        <f>IF(A215&lt;&gt;"",SUMIF(ซื้อสินค้า!B:B,A215,ซื้อสินค้า!E:E)-SUMIF(ขายสินค้า!B:B,A215,ขายสินค้า!E:E),)</f>
        <v>0</v>
      </c>
      <c r="D215" s="23">
        <f>IF(A215&lt;&gt;"",SUMIF(ซื้อสินค้า!B:B,A215,ซื้อสินค้า!M:M),)</f>
        <v>0</v>
      </c>
      <c r="E215" s="23">
        <f t="shared" si="0"/>
        <v>0</v>
      </c>
    </row>
    <row r="216" spans="1:5" ht="12.75">
      <c r="A216" s="6"/>
      <c r="B216" s="9">
        <f>IFERROR(VLOOKUP(A216,ชื่อสินค้า!A:D,4,FALSE),)</f>
        <v>0</v>
      </c>
      <c r="C216" s="9">
        <f>IF(A216&lt;&gt;"",SUMIF(ซื้อสินค้า!B:B,A216,ซื้อสินค้า!E:E)-SUMIF(ขายสินค้า!B:B,A216,ขายสินค้า!E:E),)</f>
        <v>0</v>
      </c>
      <c r="D216" s="23">
        <f>IF(A216&lt;&gt;"",SUMIF(ซื้อสินค้า!B:B,A216,ซื้อสินค้า!M:M),)</f>
        <v>0</v>
      </c>
      <c r="E216" s="23">
        <f t="shared" si="0"/>
        <v>0</v>
      </c>
    </row>
    <row r="217" spans="1:5" ht="12.75">
      <c r="A217" s="6"/>
      <c r="B217" s="9">
        <f>IFERROR(VLOOKUP(A217,ชื่อสินค้า!A:D,4,FALSE),)</f>
        <v>0</v>
      </c>
      <c r="C217" s="9">
        <f>IF(A217&lt;&gt;"",SUMIF(ซื้อสินค้า!B:B,A217,ซื้อสินค้า!E:E)-SUMIF(ขายสินค้า!B:B,A217,ขายสินค้า!E:E),)</f>
        <v>0</v>
      </c>
      <c r="D217" s="23">
        <f>IF(A217&lt;&gt;"",SUMIF(ซื้อสินค้า!B:B,A217,ซื้อสินค้า!M:M),)</f>
        <v>0</v>
      </c>
      <c r="E217" s="23">
        <f t="shared" si="0"/>
        <v>0</v>
      </c>
    </row>
    <row r="218" spans="1:5" ht="12.75">
      <c r="A218" s="6"/>
      <c r="B218" s="9">
        <f>IFERROR(VLOOKUP(A218,ชื่อสินค้า!A:D,4,FALSE),)</f>
        <v>0</v>
      </c>
      <c r="C218" s="9">
        <f>IF(A218&lt;&gt;"",SUMIF(ซื้อสินค้า!B:B,A218,ซื้อสินค้า!E:E)-SUMIF(ขายสินค้า!B:B,A218,ขายสินค้า!E:E),)</f>
        <v>0</v>
      </c>
      <c r="D218" s="23">
        <f>IF(A218&lt;&gt;"",SUMIF(ซื้อสินค้า!B:B,A218,ซื้อสินค้า!M:M),)</f>
        <v>0</v>
      </c>
      <c r="E218" s="23">
        <f t="shared" si="0"/>
        <v>0</v>
      </c>
    </row>
    <row r="219" spans="1:5" ht="12.75">
      <c r="A219" s="6"/>
      <c r="B219" s="9">
        <f>IFERROR(VLOOKUP(A219,ชื่อสินค้า!A:D,4,FALSE),)</f>
        <v>0</v>
      </c>
      <c r="C219" s="9">
        <f>IF(A219&lt;&gt;"",SUMIF(ซื้อสินค้า!B:B,A219,ซื้อสินค้า!E:E)-SUMIF(ขายสินค้า!B:B,A219,ขายสินค้า!E:E),)</f>
        <v>0</v>
      </c>
      <c r="D219" s="23">
        <f>IF(A219&lt;&gt;"",SUMIF(ซื้อสินค้า!B:B,A219,ซื้อสินค้า!M:M),)</f>
        <v>0</v>
      </c>
      <c r="E219" s="23">
        <f t="shared" si="0"/>
        <v>0</v>
      </c>
    </row>
    <row r="220" spans="1:5" ht="12.75">
      <c r="A220" s="6"/>
      <c r="B220" s="9">
        <f>IFERROR(VLOOKUP(A220,ชื่อสินค้า!A:D,4,FALSE),)</f>
        <v>0</v>
      </c>
      <c r="C220" s="9">
        <f>IF(A220&lt;&gt;"",SUMIF(ซื้อสินค้า!B:B,A220,ซื้อสินค้า!E:E)-SUMIF(ขายสินค้า!B:B,A220,ขายสินค้า!E:E),)</f>
        <v>0</v>
      </c>
      <c r="D220" s="23">
        <f>IF(A220&lt;&gt;"",SUMIF(ซื้อสินค้า!B:B,A220,ซื้อสินค้า!M:M),)</f>
        <v>0</v>
      </c>
      <c r="E220" s="23">
        <f t="shared" si="0"/>
        <v>0</v>
      </c>
    </row>
    <row r="221" spans="1:5" ht="12.75">
      <c r="A221" s="6"/>
      <c r="B221" s="9">
        <f>IFERROR(VLOOKUP(A221,ชื่อสินค้า!A:D,4,FALSE),)</f>
        <v>0</v>
      </c>
      <c r="C221" s="9">
        <f>IF(A221&lt;&gt;"",SUMIF(ซื้อสินค้า!B:B,A221,ซื้อสินค้า!E:E)-SUMIF(ขายสินค้า!B:B,A221,ขายสินค้า!E:E),)</f>
        <v>0</v>
      </c>
      <c r="D221" s="23">
        <f>IF(A221&lt;&gt;"",SUMIF(ซื้อสินค้า!B:B,A221,ซื้อสินค้า!M:M),)</f>
        <v>0</v>
      </c>
      <c r="E221" s="23">
        <f t="shared" si="0"/>
        <v>0</v>
      </c>
    </row>
    <row r="222" spans="1:5" ht="12.75">
      <c r="A222" s="6"/>
      <c r="B222" s="9">
        <f>IFERROR(VLOOKUP(A222,ชื่อสินค้า!A:D,4,FALSE),)</f>
        <v>0</v>
      </c>
      <c r="C222" s="9">
        <f>IF(A222&lt;&gt;"",SUMIF(ซื้อสินค้า!B:B,A222,ซื้อสินค้า!E:E)-SUMIF(ขายสินค้า!B:B,A222,ขายสินค้า!E:E),)</f>
        <v>0</v>
      </c>
      <c r="D222" s="23">
        <f>IF(A222&lt;&gt;"",SUMIF(ซื้อสินค้า!B:B,A222,ซื้อสินค้า!M:M),)</f>
        <v>0</v>
      </c>
      <c r="E222" s="23">
        <f t="shared" si="0"/>
        <v>0</v>
      </c>
    </row>
    <row r="223" spans="1:5" ht="12.75">
      <c r="A223" s="6"/>
      <c r="B223" s="9">
        <f>IFERROR(VLOOKUP(A223,ชื่อสินค้า!A:D,4,FALSE),)</f>
        <v>0</v>
      </c>
      <c r="C223" s="9">
        <f>IF(A223&lt;&gt;"",SUMIF(ซื้อสินค้า!B:B,A223,ซื้อสินค้า!E:E)-SUMIF(ขายสินค้า!B:B,A223,ขายสินค้า!E:E),)</f>
        <v>0</v>
      </c>
      <c r="D223" s="23">
        <f>IF(A223&lt;&gt;"",SUMIF(ซื้อสินค้า!B:B,A223,ซื้อสินค้า!M:M),)</f>
        <v>0</v>
      </c>
      <c r="E223" s="23">
        <f t="shared" si="0"/>
        <v>0</v>
      </c>
    </row>
    <row r="224" spans="1:5" ht="12.75">
      <c r="A224" s="6"/>
      <c r="B224" s="9">
        <f>IFERROR(VLOOKUP(A224,ชื่อสินค้า!A:D,4,FALSE),)</f>
        <v>0</v>
      </c>
      <c r="C224" s="9">
        <f>IF(A224&lt;&gt;"",SUMIF(ซื้อสินค้า!B:B,A224,ซื้อสินค้า!E:E)-SUMIF(ขายสินค้า!B:B,A224,ขายสินค้า!E:E),)</f>
        <v>0</v>
      </c>
      <c r="D224" s="23">
        <f>IF(A224&lt;&gt;"",SUMIF(ซื้อสินค้า!B:B,A224,ซื้อสินค้า!M:M),)</f>
        <v>0</v>
      </c>
      <c r="E224" s="23">
        <f t="shared" si="0"/>
        <v>0</v>
      </c>
    </row>
    <row r="225" spans="1:5" ht="12.75">
      <c r="A225" s="6"/>
      <c r="B225" s="9">
        <f>IFERROR(VLOOKUP(A225,ชื่อสินค้า!A:D,4,FALSE),)</f>
        <v>0</v>
      </c>
      <c r="C225" s="9">
        <f>IF(A225&lt;&gt;"",SUMIF(ซื้อสินค้า!B:B,A225,ซื้อสินค้า!E:E)-SUMIF(ขายสินค้า!B:B,A225,ขายสินค้า!E:E),)</f>
        <v>0</v>
      </c>
      <c r="D225" s="23">
        <f>IF(A225&lt;&gt;"",SUMIF(ซื้อสินค้า!B:B,A225,ซื้อสินค้า!M:M),)</f>
        <v>0</v>
      </c>
      <c r="E225" s="23">
        <f t="shared" si="0"/>
        <v>0</v>
      </c>
    </row>
    <row r="226" spans="1:5" ht="12.75">
      <c r="A226" s="6"/>
      <c r="B226" s="9">
        <f>IFERROR(VLOOKUP(A226,ชื่อสินค้า!A:D,4,FALSE),)</f>
        <v>0</v>
      </c>
      <c r="C226" s="9">
        <f>IF(A226&lt;&gt;"",SUMIF(ซื้อสินค้า!B:B,A226,ซื้อสินค้า!E:E)-SUMIF(ขายสินค้า!B:B,A226,ขายสินค้า!E:E),)</f>
        <v>0</v>
      </c>
      <c r="D226" s="23">
        <f>IF(A226&lt;&gt;"",SUMIF(ซื้อสินค้า!B:B,A226,ซื้อสินค้า!M:M),)</f>
        <v>0</v>
      </c>
      <c r="E226" s="23">
        <f t="shared" si="0"/>
        <v>0</v>
      </c>
    </row>
    <row r="227" spans="1:5" ht="12.75">
      <c r="A227" s="6"/>
      <c r="B227" s="9">
        <f>IFERROR(VLOOKUP(A227,ชื่อสินค้า!A:D,4,FALSE),)</f>
        <v>0</v>
      </c>
      <c r="C227" s="9">
        <f>IF(A227&lt;&gt;"",SUMIF(ซื้อสินค้า!B:B,A227,ซื้อสินค้า!E:E)-SUMIF(ขายสินค้า!B:B,A227,ขายสินค้า!E:E),)</f>
        <v>0</v>
      </c>
      <c r="D227" s="23">
        <f>IF(A227&lt;&gt;"",SUMIF(ซื้อสินค้า!B:B,A227,ซื้อสินค้า!M:M),)</f>
        <v>0</v>
      </c>
      <c r="E227" s="23">
        <f t="shared" si="0"/>
        <v>0</v>
      </c>
    </row>
    <row r="228" spans="1:5" ht="12.75">
      <c r="A228" s="6"/>
      <c r="B228" s="9">
        <f>IFERROR(VLOOKUP(A228,ชื่อสินค้า!A:D,4,FALSE),)</f>
        <v>0</v>
      </c>
      <c r="C228" s="9">
        <f>IF(A228&lt;&gt;"",SUMIF(ซื้อสินค้า!B:B,A228,ซื้อสินค้า!E:E)-SUMIF(ขายสินค้า!B:B,A228,ขายสินค้า!E:E),)</f>
        <v>0</v>
      </c>
      <c r="D228" s="23">
        <f>IF(A228&lt;&gt;"",SUMIF(ซื้อสินค้า!B:B,A228,ซื้อสินค้า!M:M),)</f>
        <v>0</v>
      </c>
      <c r="E228" s="23">
        <f t="shared" si="0"/>
        <v>0</v>
      </c>
    </row>
    <row r="229" spans="1:5" ht="12.75">
      <c r="A229" s="6"/>
      <c r="B229" s="9">
        <f>IFERROR(VLOOKUP(A229,ชื่อสินค้า!A:D,4,FALSE),)</f>
        <v>0</v>
      </c>
      <c r="C229" s="9">
        <f>IF(A229&lt;&gt;"",SUMIF(ซื้อสินค้า!B:B,A229,ซื้อสินค้า!E:E)-SUMIF(ขายสินค้า!B:B,A229,ขายสินค้า!E:E),)</f>
        <v>0</v>
      </c>
      <c r="D229" s="23">
        <f>IF(A229&lt;&gt;"",SUMIF(ซื้อสินค้า!B:B,A229,ซื้อสินค้า!M:M),)</f>
        <v>0</v>
      </c>
      <c r="E229" s="23">
        <f t="shared" si="0"/>
        <v>0</v>
      </c>
    </row>
    <row r="230" spans="1:5" ht="12.75">
      <c r="A230" s="6"/>
      <c r="B230" s="9">
        <f>IFERROR(VLOOKUP(A230,ชื่อสินค้า!A:D,4,FALSE),)</f>
        <v>0</v>
      </c>
      <c r="C230" s="9">
        <f>IF(A230&lt;&gt;"",SUMIF(ซื้อสินค้า!B:B,A230,ซื้อสินค้า!E:E)-SUMIF(ขายสินค้า!B:B,A230,ขายสินค้า!E:E),)</f>
        <v>0</v>
      </c>
      <c r="D230" s="23">
        <f>IF(A230&lt;&gt;"",SUMIF(ซื้อสินค้า!B:B,A230,ซื้อสินค้า!M:M),)</f>
        <v>0</v>
      </c>
      <c r="E230" s="23">
        <f t="shared" si="0"/>
        <v>0</v>
      </c>
    </row>
    <row r="231" spans="1:5" ht="12.75">
      <c r="A231" s="6"/>
      <c r="B231" s="9">
        <f>IFERROR(VLOOKUP(A231,ชื่อสินค้า!A:D,4,FALSE),)</f>
        <v>0</v>
      </c>
      <c r="C231" s="9">
        <f>IF(A231&lt;&gt;"",SUMIF(ซื้อสินค้า!B:B,A231,ซื้อสินค้า!E:E)-SUMIF(ขายสินค้า!B:B,A231,ขายสินค้า!E:E),)</f>
        <v>0</v>
      </c>
      <c r="D231" s="23">
        <f>IF(A231&lt;&gt;"",SUMIF(ซื้อสินค้า!B:B,A231,ซื้อสินค้า!M:M),)</f>
        <v>0</v>
      </c>
      <c r="E231" s="23">
        <f t="shared" si="0"/>
        <v>0</v>
      </c>
    </row>
    <row r="232" spans="1:5" ht="12.75">
      <c r="A232" s="6"/>
      <c r="B232" s="9">
        <f>IFERROR(VLOOKUP(A232,ชื่อสินค้า!A:D,4,FALSE),)</f>
        <v>0</v>
      </c>
      <c r="C232" s="9">
        <f>IF(A232&lt;&gt;"",SUMIF(ซื้อสินค้า!B:B,A232,ซื้อสินค้า!E:E)-SUMIF(ขายสินค้า!B:B,A232,ขายสินค้า!E:E),)</f>
        <v>0</v>
      </c>
      <c r="D232" s="23">
        <f>IF(A232&lt;&gt;"",SUMIF(ซื้อสินค้า!B:B,A232,ซื้อสินค้า!M:M),)</f>
        <v>0</v>
      </c>
      <c r="E232" s="23">
        <f t="shared" si="0"/>
        <v>0</v>
      </c>
    </row>
    <row r="233" spans="1:5" ht="12.75">
      <c r="A233" s="6"/>
      <c r="B233" s="9">
        <f>IFERROR(VLOOKUP(A233,ชื่อสินค้า!A:D,4,FALSE),)</f>
        <v>0</v>
      </c>
      <c r="C233" s="9">
        <f>IF(A233&lt;&gt;"",SUMIF(ซื้อสินค้า!B:B,A233,ซื้อสินค้า!E:E)-SUMIF(ขายสินค้า!B:B,A233,ขายสินค้า!E:E),)</f>
        <v>0</v>
      </c>
      <c r="D233" s="23">
        <f>IF(A233&lt;&gt;"",SUMIF(ซื้อสินค้า!B:B,A233,ซื้อสินค้า!M:M),)</f>
        <v>0</v>
      </c>
      <c r="E233" s="23">
        <f t="shared" si="0"/>
        <v>0</v>
      </c>
    </row>
    <row r="234" spans="1:5" ht="12.75">
      <c r="A234" s="6"/>
      <c r="B234" s="9">
        <f>IFERROR(VLOOKUP(A234,ชื่อสินค้า!A:D,4,FALSE),)</f>
        <v>0</v>
      </c>
      <c r="C234" s="9">
        <f>IF(A234&lt;&gt;"",SUMIF(ซื้อสินค้า!B:B,A234,ซื้อสินค้า!E:E)-SUMIF(ขายสินค้า!B:B,A234,ขายสินค้า!E:E),)</f>
        <v>0</v>
      </c>
      <c r="D234" s="23">
        <f>IF(A234&lt;&gt;"",SUMIF(ซื้อสินค้า!B:B,A234,ซื้อสินค้า!M:M),)</f>
        <v>0</v>
      </c>
      <c r="E234" s="23">
        <f t="shared" si="0"/>
        <v>0</v>
      </c>
    </row>
    <row r="235" spans="1:5" ht="12.75">
      <c r="A235" s="6"/>
      <c r="B235" s="9">
        <f>IFERROR(VLOOKUP(A235,ชื่อสินค้า!A:D,4,FALSE),)</f>
        <v>0</v>
      </c>
      <c r="C235" s="9">
        <f>IF(A235&lt;&gt;"",SUMIF(ซื้อสินค้า!B:B,A235,ซื้อสินค้า!E:E)-SUMIF(ขายสินค้า!B:B,A235,ขายสินค้า!E:E),)</f>
        <v>0</v>
      </c>
      <c r="D235" s="23">
        <f>IF(A235&lt;&gt;"",SUMIF(ซื้อสินค้า!B:B,A235,ซื้อสินค้า!M:M),)</f>
        <v>0</v>
      </c>
      <c r="E235" s="23">
        <f t="shared" si="0"/>
        <v>0</v>
      </c>
    </row>
    <row r="236" spans="1:5" ht="12.75">
      <c r="A236" s="6"/>
      <c r="B236" s="9">
        <f>IFERROR(VLOOKUP(A236,ชื่อสินค้า!A:D,4,FALSE),)</f>
        <v>0</v>
      </c>
      <c r="C236" s="9">
        <f>IF(A236&lt;&gt;"",SUMIF(ซื้อสินค้า!B:B,A236,ซื้อสินค้า!E:E)-SUMIF(ขายสินค้า!B:B,A236,ขายสินค้า!E:E),)</f>
        <v>0</v>
      </c>
      <c r="D236" s="23">
        <f>IF(A236&lt;&gt;"",SUMIF(ซื้อสินค้า!B:B,A236,ซื้อสินค้า!M:M),)</f>
        <v>0</v>
      </c>
      <c r="E236" s="23">
        <f t="shared" si="0"/>
        <v>0</v>
      </c>
    </row>
    <row r="237" spans="1:5" ht="12.75">
      <c r="A237" s="6"/>
      <c r="B237" s="9">
        <f>IFERROR(VLOOKUP(A237,ชื่อสินค้า!A:D,4,FALSE),)</f>
        <v>0</v>
      </c>
      <c r="C237" s="9">
        <f>IF(A237&lt;&gt;"",SUMIF(ซื้อสินค้า!B:B,A237,ซื้อสินค้า!E:E)-SUMIF(ขายสินค้า!B:B,A237,ขายสินค้า!E:E),)</f>
        <v>0</v>
      </c>
      <c r="D237" s="23">
        <f>IF(A237&lt;&gt;"",SUMIF(ซื้อสินค้า!B:B,A237,ซื้อสินค้า!M:M),)</f>
        <v>0</v>
      </c>
      <c r="E237" s="23">
        <f t="shared" si="0"/>
        <v>0</v>
      </c>
    </row>
    <row r="238" spans="1:5" ht="12.75">
      <c r="A238" s="6"/>
      <c r="B238" s="9">
        <f>IFERROR(VLOOKUP(A238,ชื่อสินค้า!A:D,4,FALSE),)</f>
        <v>0</v>
      </c>
      <c r="C238" s="9">
        <f>IF(A238&lt;&gt;"",SUMIF(ซื้อสินค้า!B:B,A238,ซื้อสินค้า!E:E)-SUMIF(ขายสินค้า!B:B,A238,ขายสินค้า!E:E),)</f>
        <v>0</v>
      </c>
      <c r="D238" s="23">
        <f>IF(A238&lt;&gt;"",SUMIF(ซื้อสินค้า!B:B,A238,ซื้อสินค้า!M:M),)</f>
        <v>0</v>
      </c>
      <c r="E238" s="23">
        <f t="shared" si="0"/>
        <v>0</v>
      </c>
    </row>
    <row r="239" spans="1:5" ht="12.75">
      <c r="A239" s="6"/>
      <c r="B239" s="9">
        <f>IFERROR(VLOOKUP(A239,ชื่อสินค้า!A:D,4,FALSE),)</f>
        <v>0</v>
      </c>
      <c r="C239" s="9">
        <f>IF(A239&lt;&gt;"",SUMIF(ซื้อสินค้า!B:B,A239,ซื้อสินค้า!E:E)-SUMIF(ขายสินค้า!B:B,A239,ขายสินค้า!E:E),)</f>
        <v>0</v>
      </c>
      <c r="D239" s="23">
        <f>IF(A239&lt;&gt;"",SUMIF(ซื้อสินค้า!B:B,A239,ซื้อสินค้า!M:M),)</f>
        <v>0</v>
      </c>
      <c r="E239" s="23">
        <f t="shared" si="0"/>
        <v>0</v>
      </c>
    </row>
    <row r="240" spans="1:5" ht="12.75">
      <c r="A240" s="6"/>
      <c r="B240" s="9">
        <f>IFERROR(VLOOKUP(A240,ชื่อสินค้า!A:D,4,FALSE),)</f>
        <v>0</v>
      </c>
      <c r="C240" s="9">
        <f>IF(A240&lt;&gt;"",SUMIF(ซื้อสินค้า!B:B,A240,ซื้อสินค้า!E:E)-SUMIF(ขายสินค้า!B:B,A240,ขายสินค้า!E:E),)</f>
        <v>0</v>
      </c>
      <c r="D240" s="23">
        <f>IF(A240&lt;&gt;"",SUMIF(ซื้อสินค้า!B:B,A240,ซื้อสินค้า!M:M),)</f>
        <v>0</v>
      </c>
      <c r="E240" s="23">
        <f t="shared" si="0"/>
        <v>0</v>
      </c>
    </row>
    <row r="241" spans="1:5" ht="12.75">
      <c r="A241" s="6"/>
      <c r="B241" s="9">
        <f>IFERROR(VLOOKUP(A241,ชื่อสินค้า!A:D,4,FALSE),)</f>
        <v>0</v>
      </c>
      <c r="C241" s="9">
        <f>IF(A241&lt;&gt;"",SUMIF(ซื้อสินค้า!B:B,A241,ซื้อสินค้า!E:E)-SUMIF(ขายสินค้า!B:B,A241,ขายสินค้า!E:E),)</f>
        <v>0</v>
      </c>
      <c r="D241" s="23">
        <f>IF(A241&lt;&gt;"",SUMIF(ซื้อสินค้า!B:B,A241,ซื้อสินค้า!M:M),)</f>
        <v>0</v>
      </c>
      <c r="E241" s="23">
        <f t="shared" si="0"/>
        <v>0</v>
      </c>
    </row>
    <row r="242" spans="1:5" ht="12.75">
      <c r="A242" s="6"/>
      <c r="B242" s="9">
        <f>IFERROR(VLOOKUP(A242,ชื่อสินค้า!A:D,4,FALSE),)</f>
        <v>0</v>
      </c>
      <c r="C242" s="9">
        <f>IF(A242&lt;&gt;"",SUMIF(ซื้อสินค้า!B:B,A242,ซื้อสินค้า!E:E)-SUMIF(ขายสินค้า!B:B,A242,ขายสินค้า!E:E),)</f>
        <v>0</v>
      </c>
      <c r="D242" s="23">
        <f>IF(A242&lt;&gt;"",SUMIF(ซื้อสินค้า!B:B,A242,ซื้อสินค้า!M:M),)</f>
        <v>0</v>
      </c>
      <c r="E242" s="23">
        <f t="shared" si="0"/>
        <v>0</v>
      </c>
    </row>
    <row r="243" spans="1:5" ht="12.75">
      <c r="A243" s="6"/>
      <c r="B243" s="9">
        <f>IFERROR(VLOOKUP(A243,ชื่อสินค้า!A:D,4,FALSE),)</f>
        <v>0</v>
      </c>
      <c r="C243" s="9">
        <f>IF(A243&lt;&gt;"",SUMIF(ซื้อสินค้า!B:B,A243,ซื้อสินค้า!E:E)-SUMIF(ขายสินค้า!B:B,A243,ขายสินค้า!E:E),)</f>
        <v>0</v>
      </c>
      <c r="D243" s="23">
        <f>IF(A243&lt;&gt;"",SUMIF(ซื้อสินค้า!B:B,A243,ซื้อสินค้า!M:M),)</f>
        <v>0</v>
      </c>
      <c r="E243" s="23">
        <f t="shared" si="0"/>
        <v>0</v>
      </c>
    </row>
    <row r="244" spans="1:5" ht="12.75">
      <c r="A244" s="6"/>
      <c r="B244" s="9">
        <f>IFERROR(VLOOKUP(A244,ชื่อสินค้า!A:D,4,FALSE),)</f>
        <v>0</v>
      </c>
      <c r="C244" s="9">
        <f>IF(A244&lt;&gt;"",SUMIF(ซื้อสินค้า!B:B,A244,ซื้อสินค้า!E:E)-SUMIF(ขายสินค้า!B:B,A244,ขายสินค้า!E:E),)</f>
        <v>0</v>
      </c>
      <c r="D244" s="23">
        <f>IF(A244&lt;&gt;"",SUMIF(ซื้อสินค้า!B:B,A244,ซื้อสินค้า!M:M),)</f>
        <v>0</v>
      </c>
      <c r="E244" s="23">
        <f t="shared" si="0"/>
        <v>0</v>
      </c>
    </row>
    <row r="245" spans="1:5" ht="12.75">
      <c r="A245" s="6"/>
      <c r="B245" s="9">
        <f>IFERROR(VLOOKUP(A245,ชื่อสินค้า!A:D,4,FALSE),)</f>
        <v>0</v>
      </c>
      <c r="C245" s="9">
        <f>IF(A245&lt;&gt;"",SUMIF(ซื้อสินค้า!B:B,A245,ซื้อสินค้า!E:E)-SUMIF(ขายสินค้า!B:B,A245,ขายสินค้า!E:E),)</f>
        <v>0</v>
      </c>
      <c r="D245" s="23">
        <f>IF(A245&lt;&gt;"",SUMIF(ซื้อสินค้า!B:B,A245,ซื้อสินค้า!M:M),)</f>
        <v>0</v>
      </c>
      <c r="E245" s="23">
        <f t="shared" si="0"/>
        <v>0</v>
      </c>
    </row>
    <row r="246" spans="1:5" ht="12.75">
      <c r="A246" s="6"/>
      <c r="B246" s="9">
        <f>IFERROR(VLOOKUP(A246,ชื่อสินค้า!A:D,4,FALSE),)</f>
        <v>0</v>
      </c>
      <c r="C246" s="9">
        <f>IF(A246&lt;&gt;"",SUMIF(ซื้อสินค้า!B:B,A246,ซื้อสินค้า!E:E)-SUMIF(ขายสินค้า!B:B,A246,ขายสินค้า!E:E),)</f>
        <v>0</v>
      </c>
      <c r="D246" s="23">
        <f>IF(A246&lt;&gt;"",SUMIF(ซื้อสินค้า!B:B,A246,ซื้อสินค้า!M:M),)</f>
        <v>0</v>
      </c>
      <c r="E246" s="23">
        <f t="shared" si="0"/>
        <v>0</v>
      </c>
    </row>
    <row r="247" spans="1:5" ht="12.75">
      <c r="A247" s="6"/>
      <c r="B247" s="9">
        <f>IFERROR(VLOOKUP(A247,ชื่อสินค้า!A:D,4,FALSE),)</f>
        <v>0</v>
      </c>
      <c r="C247" s="9">
        <f>IF(A247&lt;&gt;"",SUMIF(ซื้อสินค้า!B:B,A247,ซื้อสินค้า!E:E)-SUMIF(ขายสินค้า!B:B,A247,ขายสินค้า!E:E),)</f>
        <v>0</v>
      </c>
      <c r="D247" s="23">
        <f>IF(A247&lt;&gt;"",SUMIF(ซื้อสินค้า!B:B,A247,ซื้อสินค้า!M:M),)</f>
        <v>0</v>
      </c>
      <c r="E247" s="23">
        <f t="shared" si="0"/>
        <v>0</v>
      </c>
    </row>
    <row r="248" spans="1:5" ht="12.75">
      <c r="A248" s="6"/>
      <c r="B248" s="9">
        <f>IFERROR(VLOOKUP(A248,ชื่อสินค้า!A:D,4,FALSE),)</f>
        <v>0</v>
      </c>
      <c r="C248" s="9">
        <f>IF(A248&lt;&gt;"",SUMIF(ซื้อสินค้า!B:B,A248,ซื้อสินค้า!E:E)-SUMIF(ขายสินค้า!B:B,A248,ขายสินค้า!E:E),)</f>
        <v>0</v>
      </c>
      <c r="D248" s="23">
        <f>IF(A248&lt;&gt;"",SUMIF(ซื้อสินค้า!B:B,A248,ซื้อสินค้า!M:M),)</f>
        <v>0</v>
      </c>
      <c r="E248" s="23">
        <f t="shared" si="0"/>
        <v>0</v>
      </c>
    </row>
    <row r="249" spans="1:5" ht="12.75">
      <c r="A249" s="6"/>
      <c r="B249" s="9">
        <f>IFERROR(VLOOKUP(A249,ชื่อสินค้า!A:D,4,FALSE),)</f>
        <v>0</v>
      </c>
      <c r="C249" s="9">
        <f>IF(A249&lt;&gt;"",SUMIF(ซื้อสินค้า!B:B,A249,ซื้อสินค้า!E:E)-SUMIF(ขายสินค้า!B:B,A249,ขายสินค้า!E:E),)</f>
        <v>0</v>
      </c>
      <c r="D249" s="23">
        <f>IF(A249&lt;&gt;"",SUMIF(ซื้อสินค้า!B:B,A249,ซื้อสินค้า!M:M),)</f>
        <v>0</v>
      </c>
      <c r="E249" s="23">
        <f t="shared" si="0"/>
        <v>0</v>
      </c>
    </row>
    <row r="250" spans="1:5" ht="12.75">
      <c r="A250" s="6"/>
      <c r="B250" s="9">
        <f>IFERROR(VLOOKUP(A250,ชื่อสินค้า!A:D,4,FALSE),)</f>
        <v>0</v>
      </c>
      <c r="C250" s="9">
        <f>IF(A250&lt;&gt;"",SUMIF(ซื้อสินค้า!B:B,A250,ซื้อสินค้า!E:E)-SUMIF(ขายสินค้า!B:B,A250,ขายสินค้า!E:E),)</f>
        <v>0</v>
      </c>
      <c r="D250" s="23">
        <f>IF(A250&lt;&gt;"",SUMIF(ซื้อสินค้า!B:B,A250,ซื้อสินค้า!M:M),)</f>
        <v>0</v>
      </c>
      <c r="E250" s="23">
        <f t="shared" si="0"/>
        <v>0</v>
      </c>
    </row>
    <row r="251" spans="1:5" ht="12.75">
      <c r="A251" s="6"/>
      <c r="B251" s="9">
        <f>IFERROR(VLOOKUP(A251,ชื่อสินค้า!A:D,4,FALSE),)</f>
        <v>0</v>
      </c>
      <c r="C251" s="9">
        <f>IF(A251&lt;&gt;"",SUMIF(ซื้อสินค้า!B:B,A251,ซื้อสินค้า!E:E)-SUMIF(ขายสินค้า!B:B,A251,ขายสินค้า!E:E),)</f>
        <v>0</v>
      </c>
      <c r="D251" s="23">
        <f>IF(A251&lt;&gt;"",SUMIF(ซื้อสินค้า!B:B,A251,ซื้อสินค้า!M:M),)</f>
        <v>0</v>
      </c>
      <c r="E251" s="23">
        <f t="shared" si="0"/>
        <v>0</v>
      </c>
    </row>
    <row r="252" spans="1:5" ht="12.75">
      <c r="A252" s="6"/>
      <c r="B252" s="9">
        <f>IFERROR(VLOOKUP(A252,ชื่อสินค้า!A:D,4,FALSE),)</f>
        <v>0</v>
      </c>
      <c r="C252" s="9">
        <f>IF(A252&lt;&gt;"",SUMIF(ซื้อสินค้า!B:B,A252,ซื้อสินค้า!E:E)-SUMIF(ขายสินค้า!B:B,A252,ขายสินค้า!E:E),)</f>
        <v>0</v>
      </c>
      <c r="D252" s="23">
        <f>IF(A252&lt;&gt;"",SUMIF(ซื้อสินค้า!B:B,A252,ซื้อสินค้า!M:M),)</f>
        <v>0</v>
      </c>
      <c r="E252" s="23">
        <f t="shared" si="0"/>
        <v>0</v>
      </c>
    </row>
    <row r="253" spans="1:5" ht="12.75">
      <c r="A253" s="6"/>
      <c r="B253" s="9">
        <f>IFERROR(VLOOKUP(A253,ชื่อสินค้า!A:D,4,FALSE),)</f>
        <v>0</v>
      </c>
      <c r="C253" s="9">
        <f>IF(A253&lt;&gt;"",SUMIF(ซื้อสินค้า!B:B,A253,ซื้อสินค้า!E:E)-SUMIF(ขายสินค้า!B:B,A253,ขายสินค้า!E:E),)</f>
        <v>0</v>
      </c>
      <c r="D253" s="23">
        <f>IF(A253&lt;&gt;"",SUMIF(ซื้อสินค้า!B:B,A253,ซื้อสินค้า!M:M),)</f>
        <v>0</v>
      </c>
      <c r="E253" s="23">
        <f t="shared" si="0"/>
        <v>0</v>
      </c>
    </row>
    <row r="254" spans="1:5" ht="12.75">
      <c r="A254" s="6"/>
      <c r="B254" s="9">
        <f>IFERROR(VLOOKUP(A254,ชื่อสินค้า!A:D,4,FALSE),)</f>
        <v>0</v>
      </c>
      <c r="C254" s="9">
        <f>IF(A254&lt;&gt;"",SUMIF(ซื้อสินค้า!B:B,A254,ซื้อสินค้า!E:E)-SUMIF(ขายสินค้า!B:B,A254,ขายสินค้า!E:E),)</f>
        <v>0</v>
      </c>
      <c r="D254" s="23">
        <f>IF(A254&lt;&gt;"",SUMIF(ซื้อสินค้า!B:B,A254,ซื้อสินค้า!M:M),)</f>
        <v>0</v>
      </c>
      <c r="E254" s="23">
        <f t="shared" si="0"/>
        <v>0</v>
      </c>
    </row>
    <row r="255" spans="1:5" ht="12.75">
      <c r="A255" s="6"/>
      <c r="B255" s="9">
        <f>IFERROR(VLOOKUP(A255,ชื่อสินค้า!A:D,4,FALSE),)</f>
        <v>0</v>
      </c>
      <c r="C255" s="9">
        <f>IF(A255&lt;&gt;"",SUMIF(ซื้อสินค้า!B:B,A255,ซื้อสินค้า!E:E)-SUMIF(ขายสินค้า!B:B,A255,ขายสินค้า!E:E),)</f>
        <v>0</v>
      </c>
      <c r="D255" s="23">
        <f>IF(A255&lt;&gt;"",SUMIF(ซื้อสินค้า!B:B,A255,ซื้อสินค้า!M:M),)</f>
        <v>0</v>
      </c>
      <c r="E255" s="23">
        <f t="shared" si="0"/>
        <v>0</v>
      </c>
    </row>
    <row r="256" spans="1:5" ht="12.75">
      <c r="A256" s="6"/>
      <c r="B256" s="9">
        <f>IFERROR(VLOOKUP(A256,ชื่อสินค้า!A:D,4,FALSE),)</f>
        <v>0</v>
      </c>
      <c r="C256" s="9">
        <f>IF(A256&lt;&gt;"",SUMIF(ซื้อสินค้า!B:B,A256,ซื้อสินค้า!E:E)-SUMIF(ขายสินค้า!B:B,A256,ขายสินค้า!E:E),)</f>
        <v>0</v>
      </c>
      <c r="D256" s="23">
        <f>IF(A256&lt;&gt;"",SUMIF(ซื้อสินค้า!B:B,A256,ซื้อสินค้า!M:M),)</f>
        <v>0</v>
      </c>
      <c r="E256" s="23">
        <f t="shared" si="0"/>
        <v>0</v>
      </c>
    </row>
    <row r="257" spans="1:5" ht="12.75">
      <c r="A257" s="6"/>
      <c r="B257" s="9">
        <f>IFERROR(VLOOKUP(A257,ชื่อสินค้า!A:D,4,FALSE),)</f>
        <v>0</v>
      </c>
      <c r="C257" s="9">
        <f>IF(A257&lt;&gt;"",SUMIF(ซื้อสินค้า!B:B,A257,ซื้อสินค้า!E:E)-SUMIF(ขายสินค้า!B:B,A257,ขายสินค้า!E:E),)</f>
        <v>0</v>
      </c>
      <c r="D257" s="23">
        <f>IF(A257&lt;&gt;"",SUMIF(ซื้อสินค้า!B:B,A257,ซื้อสินค้า!M:M),)</f>
        <v>0</v>
      </c>
      <c r="E257" s="23">
        <f t="shared" ref="E257:E511" si="1">IFERROR(IF(A257&lt;&gt;"",D257/C257,),0)</f>
        <v>0</v>
      </c>
    </row>
    <row r="258" spans="1:5" ht="12.75">
      <c r="A258" s="6"/>
      <c r="B258" s="9">
        <f>IFERROR(VLOOKUP(A258,ชื่อสินค้า!A:D,4,FALSE),)</f>
        <v>0</v>
      </c>
      <c r="C258" s="9">
        <f>IF(A258&lt;&gt;"",SUMIF(ซื้อสินค้า!B:B,A258,ซื้อสินค้า!E:E)-SUMIF(ขายสินค้า!B:B,A258,ขายสินค้า!E:E),)</f>
        <v>0</v>
      </c>
      <c r="D258" s="23">
        <f>IF(A258&lt;&gt;"",SUMIF(ซื้อสินค้า!B:B,A258,ซื้อสินค้า!M:M),)</f>
        <v>0</v>
      </c>
      <c r="E258" s="23">
        <f t="shared" si="1"/>
        <v>0</v>
      </c>
    </row>
    <row r="259" spans="1:5" ht="12.75">
      <c r="A259" s="6"/>
      <c r="B259" s="9">
        <f>IFERROR(VLOOKUP(A259,ชื่อสินค้า!A:D,4,FALSE),)</f>
        <v>0</v>
      </c>
      <c r="C259" s="9">
        <f>IF(A259&lt;&gt;"",SUMIF(ซื้อสินค้า!B:B,A259,ซื้อสินค้า!E:E)-SUMIF(ขายสินค้า!B:B,A259,ขายสินค้า!E:E),)</f>
        <v>0</v>
      </c>
      <c r="D259" s="23">
        <f>IF(A259&lt;&gt;"",SUMIF(ซื้อสินค้า!B:B,A259,ซื้อสินค้า!M:M),)</f>
        <v>0</v>
      </c>
      <c r="E259" s="23">
        <f t="shared" si="1"/>
        <v>0</v>
      </c>
    </row>
    <row r="260" spans="1:5" ht="12.75">
      <c r="A260" s="6"/>
      <c r="B260" s="9">
        <f>IFERROR(VLOOKUP(A260,ชื่อสินค้า!A:D,4,FALSE),)</f>
        <v>0</v>
      </c>
      <c r="C260" s="9">
        <f>IF(A260&lt;&gt;"",SUMIF(ซื้อสินค้า!B:B,A260,ซื้อสินค้า!E:E)-SUMIF(ขายสินค้า!B:B,A260,ขายสินค้า!E:E),)</f>
        <v>0</v>
      </c>
      <c r="D260" s="23">
        <f>IF(A260&lt;&gt;"",SUMIF(ซื้อสินค้า!B:B,A260,ซื้อสินค้า!M:M),)</f>
        <v>0</v>
      </c>
      <c r="E260" s="23">
        <f t="shared" si="1"/>
        <v>0</v>
      </c>
    </row>
    <row r="261" spans="1:5" ht="12.75">
      <c r="A261" s="6"/>
      <c r="B261" s="9">
        <f>IFERROR(VLOOKUP(A261,ชื่อสินค้า!A:D,4,FALSE),)</f>
        <v>0</v>
      </c>
      <c r="C261" s="9">
        <f>IF(A261&lt;&gt;"",SUMIF(ซื้อสินค้า!B:B,A261,ซื้อสินค้า!E:E)-SUMIF(ขายสินค้า!B:B,A261,ขายสินค้า!E:E),)</f>
        <v>0</v>
      </c>
      <c r="D261" s="23">
        <f>IF(A261&lt;&gt;"",SUMIF(ซื้อสินค้า!B:B,A261,ซื้อสินค้า!M:M),)</f>
        <v>0</v>
      </c>
      <c r="E261" s="23">
        <f t="shared" si="1"/>
        <v>0</v>
      </c>
    </row>
    <row r="262" spans="1:5" ht="12.75">
      <c r="A262" s="6"/>
      <c r="B262" s="9">
        <f>IFERROR(VLOOKUP(A262,ชื่อสินค้า!A:D,4,FALSE),)</f>
        <v>0</v>
      </c>
      <c r="C262" s="9">
        <f>IF(A262&lt;&gt;"",SUMIF(ซื้อสินค้า!B:B,A262,ซื้อสินค้า!E:E)-SUMIF(ขายสินค้า!B:B,A262,ขายสินค้า!E:E),)</f>
        <v>0</v>
      </c>
      <c r="D262" s="23">
        <f>IF(A262&lt;&gt;"",SUMIF(ซื้อสินค้า!B:B,A262,ซื้อสินค้า!M:M),)</f>
        <v>0</v>
      </c>
      <c r="E262" s="23">
        <f t="shared" si="1"/>
        <v>0</v>
      </c>
    </row>
    <row r="263" spans="1:5" ht="12.75">
      <c r="A263" s="6"/>
      <c r="B263" s="9">
        <f>IFERROR(VLOOKUP(A263,ชื่อสินค้า!A:D,4,FALSE),)</f>
        <v>0</v>
      </c>
      <c r="C263" s="9">
        <f>IF(A263&lt;&gt;"",SUMIF(ซื้อสินค้า!B:B,A263,ซื้อสินค้า!E:E)-SUMIF(ขายสินค้า!B:B,A263,ขายสินค้า!E:E),)</f>
        <v>0</v>
      </c>
      <c r="D263" s="23">
        <f>IF(A263&lt;&gt;"",SUMIF(ซื้อสินค้า!B:B,A263,ซื้อสินค้า!M:M),)</f>
        <v>0</v>
      </c>
      <c r="E263" s="23">
        <f t="shared" si="1"/>
        <v>0</v>
      </c>
    </row>
    <row r="264" spans="1:5" ht="12.75">
      <c r="A264" s="6"/>
      <c r="B264" s="9">
        <f>IFERROR(VLOOKUP(A264,ชื่อสินค้า!A:D,4,FALSE),)</f>
        <v>0</v>
      </c>
      <c r="C264" s="9">
        <f>IF(A264&lt;&gt;"",SUMIF(ซื้อสินค้า!B:B,A264,ซื้อสินค้า!E:E)-SUMIF(ขายสินค้า!B:B,A264,ขายสินค้า!E:E),)</f>
        <v>0</v>
      </c>
      <c r="D264" s="23">
        <f>IF(A264&lt;&gt;"",SUMIF(ซื้อสินค้า!B:B,A264,ซื้อสินค้า!M:M),)</f>
        <v>0</v>
      </c>
      <c r="E264" s="23">
        <f t="shared" si="1"/>
        <v>0</v>
      </c>
    </row>
    <row r="265" spans="1:5" ht="12.75">
      <c r="A265" s="6"/>
      <c r="B265" s="9">
        <f>IFERROR(VLOOKUP(A265,ชื่อสินค้า!A:D,4,FALSE),)</f>
        <v>0</v>
      </c>
      <c r="C265" s="9">
        <f>IF(A265&lt;&gt;"",SUMIF(ซื้อสินค้า!B:B,A265,ซื้อสินค้า!E:E)-SUMIF(ขายสินค้า!B:B,A265,ขายสินค้า!E:E),)</f>
        <v>0</v>
      </c>
      <c r="D265" s="23">
        <f>IF(A265&lt;&gt;"",SUMIF(ซื้อสินค้า!B:B,A265,ซื้อสินค้า!M:M),)</f>
        <v>0</v>
      </c>
      <c r="E265" s="23">
        <f t="shared" si="1"/>
        <v>0</v>
      </c>
    </row>
    <row r="266" spans="1:5" ht="12.75">
      <c r="A266" s="6"/>
      <c r="B266" s="9">
        <f>IFERROR(VLOOKUP(A266,ชื่อสินค้า!A:D,4,FALSE),)</f>
        <v>0</v>
      </c>
      <c r="C266" s="9">
        <f>IF(A266&lt;&gt;"",SUMIF(ซื้อสินค้า!B:B,A266,ซื้อสินค้า!E:E)-SUMIF(ขายสินค้า!B:B,A266,ขายสินค้า!E:E),)</f>
        <v>0</v>
      </c>
      <c r="D266" s="23">
        <f>IF(A266&lt;&gt;"",SUMIF(ซื้อสินค้า!B:B,A266,ซื้อสินค้า!M:M),)</f>
        <v>0</v>
      </c>
      <c r="E266" s="23">
        <f t="shared" si="1"/>
        <v>0</v>
      </c>
    </row>
    <row r="267" spans="1:5" ht="12.75">
      <c r="A267" s="6"/>
      <c r="B267" s="9">
        <f>IFERROR(VLOOKUP(A267,ชื่อสินค้า!A:D,4,FALSE),)</f>
        <v>0</v>
      </c>
      <c r="C267" s="9">
        <f>IF(A267&lt;&gt;"",SUMIF(ซื้อสินค้า!B:B,A267,ซื้อสินค้า!E:E)-SUMIF(ขายสินค้า!B:B,A267,ขายสินค้า!E:E),)</f>
        <v>0</v>
      </c>
      <c r="D267" s="23">
        <f>IF(A267&lt;&gt;"",SUMIF(ซื้อสินค้า!B:B,A267,ซื้อสินค้า!M:M),)</f>
        <v>0</v>
      </c>
      <c r="E267" s="23">
        <f t="shared" si="1"/>
        <v>0</v>
      </c>
    </row>
    <row r="268" spans="1:5" ht="12.75">
      <c r="A268" s="6"/>
      <c r="B268" s="9">
        <f>IFERROR(VLOOKUP(A268,ชื่อสินค้า!A:D,4,FALSE),)</f>
        <v>0</v>
      </c>
      <c r="C268" s="9">
        <f>IF(A268&lt;&gt;"",SUMIF(ซื้อสินค้า!B:B,A268,ซื้อสินค้า!E:E)-SUMIF(ขายสินค้า!B:B,A268,ขายสินค้า!E:E),)</f>
        <v>0</v>
      </c>
      <c r="D268" s="23">
        <f>IF(A268&lt;&gt;"",SUMIF(ซื้อสินค้า!B:B,A268,ซื้อสินค้า!M:M),)</f>
        <v>0</v>
      </c>
      <c r="E268" s="23">
        <f t="shared" si="1"/>
        <v>0</v>
      </c>
    </row>
    <row r="269" spans="1:5" ht="12.75">
      <c r="A269" s="6"/>
      <c r="B269" s="9">
        <f>IFERROR(VLOOKUP(A269,ชื่อสินค้า!A:D,4,FALSE),)</f>
        <v>0</v>
      </c>
      <c r="C269" s="9">
        <f>IF(A269&lt;&gt;"",SUMIF(ซื้อสินค้า!B:B,A269,ซื้อสินค้า!E:E)-SUMIF(ขายสินค้า!B:B,A269,ขายสินค้า!E:E),)</f>
        <v>0</v>
      </c>
      <c r="D269" s="23">
        <f>IF(A269&lt;&gt;"",SUMIF(ซื้อสินค้า!B:B,A269,ซื้อสินค้า!M:M),)</f>
        <v>0</v>
      </c>
      <c r="E269" s="23">
        <f t="shared" si="1"/>
        <v>0</v>
      </c>
    </row>
    <row r="270" spans="1:5" ht="12.75">
      <c r="A270" s="6"/>
      <c r="B270" s="9">
        <f>IFERROR(VLOOKUP(A270,ชื่อสินค้า!A:D,4,FALSE),)</f>
        <v>0</v>
      </c>
      <c r="C270" s="9">
        <f>IF(A270&lt;&gt;"",SUMIF(ซื้อสินค้า!B:B,A270,ซื้อสินค้า!E:E)-SUMIF(ขายสินค้า!B:B,A270,ขายสินค้า!E:E),)</f>
        <v>0</v>
      </c>
      <c r="D270" s="23">
        <f>IF(A270&lt;&gt;"",SUMIF(ซื้อสินค้า!B:B,A270,ซื้อสินค้า!M:M),)</f>
        <v>0</v>
      </c>
      <c r="E270" s="23">
        <f t="shared" si="1"/>
        <v>0</v>
      </c>
    </row>
    <row r="271" spans="1:5" ht="12.75">
      <c r="A271" s="6"/>
      <c r="B271" s="9">
        <f>IFERROR(VLOOKUP(A271,ชื่อสินค้า!A:D,4,FALSE),)</f>
        <v>0</v>
      </c>
      <c r="C271" s="9">
        <f>IF(A271&lt;&gt;"",SUMIF(ซื้อสินค้า!B:B,A271,ซื้อสินค้า!E:E)-SUMIF(ขายสินค้า!B:B,A271,ขายสินค้า!E:E),)</f>
        <v>0</v>
      </c>
      <c r="D271" s="23">
        <f>IF(A271&lt;&gt;"",SUMIF(ซื้อสินค้า!B:B,A271,ซื้อสินค้า!M:M),)</f>
        <v>0</v>
      </c>
      <c r="E271" s="23">
        <f t="shared" si="1"/>
        <v>0</v>
      </c>
    </row>
    <row r="272" spans="1:5" ht="12.75">
      <c r="A272" s="6"/>
      <c r="B272" s="9">
        <f>IFERROR(VLOOKUP(A272,ชื่อสินค้า!A:D,4,FALSE),)</f>
        <v>0</v>
      </c>
      <c r="C272" s="9">
        <f>IF(A272&lt;&gt;"",SUMIF(ซื้อสินค้า!B:B,A272,ซื้อสินค้า!E:E)-SUMIF(ขายสินค้า!B:B,A272,ขายสินค้า!E:E),)</f>
        <v>0</v>
      </c>
      <c r="D272" s="23">
        <f>IF(A272&lt;&gt;"",SUMIF(ซื้อสินค้า!B:B,A272,ซื้อสินค้า!M:M),)</f>
        <v>0</v>
      </c>
      <c r="E272" s="23">
        <f t="shared" si="1"/>
        <v>0</v>
      </c>
    </row>
    <row r="273" spans="1:5" ht="12.75">
      <c r="A273" s="6"/>
      <c r="B273" s="9">
        <f>IFERROR(VLOOKUP(A273,ชื่อสินค้า!A:D,4,FALSE),)</f>
        <v>0</v>
      </c>
      <c r="C273" s="9">
        <f>IF(A273&lt;&gt;"",SUMIF(ซื้อสินค้า!B:B,A273,ซื้อสินค้า!E:E)-SUMIF(ขายสินค้า!B:B,A273,ขายสินค้า!E:E),)</f>
        <v>0</v>
      </c>
      <c r="D273" s="23">
        <f>IF(A273&lt;&gt;"",SUMIF(ซื้อสินค้า!B:B,A273,ซื้อสินค้า!M:M),)</f>
        <v>0</v>
      </c>
      <c r="E273" s="23">
        <f t="shared" si="1"/>
        <v>0</v>
      </c>
    </row>
    <row r="274" spans="1:5" ht="12.75">
      <c r="A274" s="6"/>
      <c r="B274" s="9">
        <f>IFERROR(VLOOKUP(A274,ชื่อสินค้า!A:D,4,FALSE),)</f>
        <v>0</v>
      </c>
      <c r="C274" s="9">
        <f>IF(A274&lt;&gt;"",SUMIF(ซื้อสินค้า!B:B,A274,ซื้อสินค้า!E:E)-SUMIF(ขายสินค้า!B:B,A274,ขายสินค้า!E:E),)</f>
        <v>0</v>
      </c>
      <c r="D274" s="23">
        <f>IF(A274&lt;&gt;"",SUMIF(ซื้อสินค้า!B:B,A274,ซื้อสินค้า!M:M),)</f>
        <v>0</v>
      </c>
      <c r="E274" s="23">
        <f t="shared" si="1"/>
        <v>0</v>
      </c>
    </row>
    <row r="275" spans="1:5" ht="12.75">
      <c r="A275" s="6"/>
      <c r="B275" s="9">
        <f>IFERROR(VLOOKUP(A275,ชื่อสินค้า!A:D,4,FALSE),)</f>
        <v>0</v>
      </c>
      <c r="C275" s="9">
        <f>IF(A275&lt;&gt;"",SUMIF(ซื้อสินค้า!B:B,A275,ซื้อสินค้า!E:E)-SUMIF(ขายสินค้า!B:B,A275,ขายสินค้า!E:E),)</f>
        <v>0</v>
      </c>
      <c r="D275" s="23">
        <f>IF(A275&lt;&gt;"",SUMIF(ซื้อสินค้า!B:B,A275,ซื้อสินค้า!M:M),)</f>
        <v>0</v>
      </c>
      <c r="E275" s="23">
        <f t="shared" si="1"/>
        <v>0</v>
      </c>
    </row>
    <row r="276" spans="1:5" ht="12.75">
      <c r="A276" s="6"/>
      <c r="B276" s="9">
        <f>IFERROR(VLOOKUP(A276,ชื่อสินค้า!A:D,4,FALSE),)</f>
        <v>0</v>
      </c>
      <c r="C276" s="9">
        <f>IF(A276&lt;&gt;"",SUMIF(ซื้อสินค้า!B:B,A276,ซื้อสินค้า!E:E)-SUMIF(ขายสินค้า!B:B,A276,ขายสินค้า!E:E),)</f>
        <v>0</v>
      </c>
      <c r="D276" s="23">
        <f>IF(A276&lt;&gt;"",SUMIF(ซื้อสินค้า!B:B,A276,ซื้อสินค้า!M:M),)</f>
        <v>0</v>
      </c>
      <c r="E276" s="23">
        <f t="shared" si="1"/>
        <v>0</v>
      </c>
    </row>
    <row r="277" spans="1:5" ht="12.75">
      <c r="A277" s="6"/>
      <c r="B277" s="9">
        <f>IFERROR(VLOOKUP(A277,ชื่อสินค้า!A:D,4,FALSE),)</f>
        <v>0</v>
      </c>
      <c r="C277" s="9">
        <f>IF(A277&lt;&gt;"",SUMIF(ซื้อสินค้า!B:B,A277,ซื้อสินค้า!E:E)-SUMIF(ขายสินค้า!B:B,A277,ขายสินค้า!E:E),)</f>
        <v>0</v>
      </c>
      <c r="D277" s="23">
        <f>IF(A277&lt;&gt;"",SUMIF(ซื้อสินค้า!B:B,A277,ซื้อสินค้า!M:M),)</f>
        <v>0</v>
      </c>
      <c r="E277" s="23">
        <f t="shared" si="1"/>
        <v>0</v>
      </c>
    </row>
    <row r="278" spans="1:5" ht="12.75">
      <c r="A278" s="6"/>
      <c r="B278" s="9">
        <f>IFERROR(VLOOKUP(A278,ชื่อสินค้า!A:D,4,FALSE),)</f>
        <v>0</v>
      </c>
      <c r="C278" s="9">
        <f>IF(A278&lt;&gt;"",SUMIF(ซื้อสินค้า!B:B,A278,ซื้อสินค้า!E:E)-SUMIF(ขายสินค้า!B:B,A278,ขายสินค้า!E:E),)</f>
        <v>0</v>
      </c>
      <c r="D278" s="23">
        <f>IF(A278&lt;&gt;"",SUMIF(ซื้อสินค้า!B:B,A278,ซื้อสินค้า!M:M),)</f>
        <v>0</v>
      </c>
      <c r="E278" s="23">
        <f t="shared" si="1"/>
        <v>0</v>
      </c>
    </row>
    <row r="279" spans="1:5" ht="12.75">
      <c r="A279" s="6"/>
      <c r="B279" s="9">
        <f>IFERROR(VLOOKUP(A279,ชื่อสินค้า!A:D,4,FALSE),)</f>
        <v>0</v>
      </c>
      <c r="C279" s="9">
        <f>IF(A279&lt;&gt;"",SUMIF(ซื้อสินค้า!B:B,A279,ซื้อสินค้า!E:E)-SUMIF(ขายสินค้า!B:B,A279,ขายสินค้า!E:E),)</f>
        <v>0</v>
      </c>
      <c r="D279" s="23">
        <f>IF(A279&lt;&gt;"",SUMIF(ซื้อสินค้า!B:B,A279,ซื้อสินค้า!M:M),)</f>
        <v>0</v>
      </c>
      <c r="E279" s="23">
        <f t="shared" si="1"/>
        <v>0</v>
      </c>
    </row>
    <row r="280" spans="1:5" ht="12.75">
      <c r="A280" s="6"/>
      <c r="B280" s="9">
        <f>IFERROR(VLOOKUP(A280,ชื่อสินค้า!A:D,4,FALSE),)</f>
        <v>0</v>
      </c>
      <c r="C280" s="9">
        <f>IF(A280&lt;&gt;"",SUMIF(ซื้อสินค้า!B:B,A280,ซื้อสินค้า!E:E)-SUMIF(ขายสินค้า!B:B,A280,ขายสินค้า!E:E),)</f>
        <v>0</v>
      </c>
      <c r="D280" s="23">
        <f>IF(A280&lt;&gt;"",SUMIF(ซื้อสินค้า!B:B,A280,ซื้อสินค้า!M:M),)</f>
        <v>0</v>
      </c>
      <c r="E280" s="23">
        <f t="shared" si="1"/>
        <v>0</v>
      </c>
    </row>
    <row r="281" spans="1:5" ht="12.75">
      <c r="A281" s="6"/>
      <c r="B281" s="9">
        <f>IFERROR(VLOOKUP(A281,ชื่อสินค้า!A:D,4,FALSE),)</f>
        <v>0</v>
      </c>
      <c r="C281" s="9">
        <f>IF(A281&lt;&gt;"",SUMIF(ซื้อสินค้า!B:B,A281,ซื้อสินค้า!E:E)-SUMIF(ขายสินค้า!B:B,A281,ขายสินค้า!E:E),)</f>
        <v>0</v>
      </c>
      <c r="D281" s="23">
        <f>IF(A281&lt;&gt;"",SUMIF(ซื้อสินค้า!B:B,A281,ซื้อสินค้า!M:M),)</f>
        <v>0</v>
      </c>
      <c r="E281" s="23">
        <f t="shared" si="1"/>
        <v>0</v>
      </c>
    </row>
    <row r="282" spans="1:5" ht="12.75">
      <c r="A282" s="6"/>
      <c r="B282" s="9">
        <f>IFERROR(VLOOKUP(A282,ชื่อสินค้า!A:D,4,FALSE),)</f>
        <v>0</v>
      </c>
      <c r="C282" s="9">
        <f>IF(A282&lt;&gt;"",SUMIF(ซื้อสินค้า!B:B,A282,ซื้อสินค้า!E:E)-SUMIF(ขายสินค้า!B:B,A282,ขายสินค้า!E:E),)</f>
        <v>0</v>
      </c>
      <c r="D282" s="23">
        <f>IF(A282&lt;&gt;"",SUMIF(ซื้อสินค้า!B:B,A282,ซื้อสินค้า!M:M),)</f>
        <v>0</v>
      </c>
      <c r="E282" s="23">
        <f t="shared" si="1"/>
        <v>0</v>
      </c>
    </row>
    <row r="283" spans="1:5" ht="12.75">
      <c r="A283" s="6"/>
      <c r="B283" s="9">
        <f>IFERROR(VLOOKUP(A283,ชื่อสินค้า!A:D,4,FALSE),)</f>
        <v>0</v>
      </c>
      <c r="C283" s="9">
        <f>IF(A283&lt;&gt;"",SUMIF(ซื้อสินค้า!B:B,A283,ซื้อสินค้า!E:E)-SUMIF(ขายสินค้า!B:B,A283,ขายสินค้า!E:E),)</f>
        <v>0</v>
      </c>
      <c r="D283" s="23">
        <f>IF(A283&lt;&gt;"",SUMIF(ซื้อสินค้า!B:B,A283,ซื้อสินค้า!M:M),)</f>
        <v>0</v>
      </c>
      <c r="E283" s="23">
        <f t="shared" si="1"/>
        <v>0</v>
      </c>
    </row>
    <row r="284" spans="1:5" ht="12.75">
      <c r="A284" s="6"/>
      <c r="B284" s="9">
        <f>IFERROR(VLOOKUP(A284,ชื่อสินค้า!A:D,4,FALSE),)</f>
        <v>0</v>
      </c>
      <c r="C284" s="9">
        <f>IF(A284&lt;&gt;"",SUMIF(ซื้อสินค้า!B:B,A284,ซื้อสินค้า!E:E)-SUMIF(ขายสินค้า!B:B,A284,ขายสินค้า!E:E),)</f>
        <v>0</v>
      </c>
      <c r="D284" s="23">
        <f>IF(A284&lt;&gt;"",SUMIF(ซื้อสินค้า!B:B,A284,ซื้อสินค้า!M:M),)</f>
        <v>0</v>
      </c>
      <c r="E284" s="23">
        <f t="shared" si="1"/>
        <v>0</v>
      </c>
    </row>
    <row r="285" spans="1:5" ht="12.75">
      <c r="A285" s="6"/>
      <c r="B285" s="9">
        <f>IFERROR(VLOOKUP(A285,ชื่อสินค้า!A:D,4,FALSE),)</f>
        <v>0</v>
      </c>
      <c r="C285" s="9">
        <f>IF(A285&lt;&gt;"",SUMIF(ซื้อสินค้า!B:B,A285,ซื้อสินค้า!E:E)-SUMIF(ขายสินค้า!B:B,A285,ขายสินค้า!E:E),)</f>
        <v>0</v>
      </c>
      <c r="D285" s="23">
        <f>IF(A285&lt;&gt;"",SUMIF(ซื้อสินค้า!B:B,A285,ซื้อสินค้า!M:M),)</f>
        <v>0</v>
      </c>
      <c r="E285" s="23">
        <f t="shared" si="1"/>
        <v>0</v>
      </c>
    </row>
    <row r="286" spans="1:5" ht="12.75">
      <c r="A286" s="6"/>
      <c r="B286" s="9">
        <f>IFERROR(VLOOKUP(A286,ชื่อสินค้า!A:D,4,FALSE),)</f>
        <v>0</v>
      </c>
      <c r="C286" s="9">
        <f>IF(A286&lt;&gt;"",SUMIF(ซื้อสินค้า!B:B,A286,ซื้อสินค้า!E:E)-SUMIF(ขายสินค้า!B:B,A286,ขายสินค้า!E:E),)</f>
        <v>0</v>
      </c>
      <c r="D286" s="23">
        <f>IF(A286&lt;&gt;"",SUMIF(ซื้อสินค้า!B:B,A286,ซื้อสินค้า!M:M),)</f>
        <v>0</v>
      </c>
      <c r="E286" s="23">
        <f t="shared" si="1"/>
        <v>0</v>
      </c>
    </row>
    <row r="287" spans="1:5" ht="12.75">
      <c r="A287" s="6"/>
      <c r="B287" s="9">
        <f>IFERROR(VLOOKUP(A287,ชื่อสินค้า!A:D,4,FALSE),)</f>
        <v>0</v>
      </c>
      <c r="C287" s="9">
        <f>IF(A287&lt;&gt;"",SUMIF(ซื้อสินค้า!B:B,A287,ซื้อสินค้า!E:E)-SUMIF(ขายสินค้า!B:B,A287,ขายสินค้า!E:E),)</f>
        <v>0</v>
      </c>
      <c r="D287" s="23">
        <f>IF(A287&lt;&gt;"",SUMIF(ซื้อสินค้า!B:B,A287,ซื้อสินค้า!M:M),)</f>
        <v>0</v>
      </c>
      <c r="E287" s="23">
        <f t="shared" si="1"/>
        <v>0</v>
      </c>
    </row>
    <row r="288" spans="1:5" ht="12.75">
      <c r="A288" s="6"/>
      <c r="B288" s="9">
        <f>IFERROR(VLOOKUP(A288,ชื่อสินค้า!A:D,4,FALSE),)</f>
        <v>0</v>
      </c>
      <c r="C288" s="9">
        <f>IF(A288&lt;&gt;"",SUMIF(ซื้อสินค้า!B:B,A288,ซื้อสินค้า!E:E)-SUMIF(ขายสินค้า!B:B,A288,ขายสินค้า!E:E),)</f>
        <v>0</v>
      </c>
      <c r="D288" s="23">
        <f>IF(A288&lt;&gt;"",SUMIF(ซื้อสินค้า!B:B,A288,ซื้อสินค้า!M:M),)</f>
        <v>0</v>
      </c>
      <c r="E288" s="23">
        <f t="shared" si="1"/>
        <v>0</v>
      </c>
    </row>
    <row r="289" spans="1:5" ht="12.75">
      <c r="A289" s="6"/>
      <c r="B289" s="9">
        <f>IFERROR(VLOOKUP(A289,ชื่อสินค้า!A:D,4,FALSE),)</f>
        <v>0</v>
      </c>
      <c r="C289" s="9">
        <f>IF(A289&lt;&gt;"",SUMIF(ซื้อสินค้า!B:B,A289,ซื้อสินค้า!E:E)-SUMIF(ขายสินค้า!B:B,A289,ขายสินค้า!E:E),)</f>
        <v>0</v>
      </c>
      <c r="D289" s="23">
        <f>IF(A289&lt;&gt;"",SUMIF(ซื้อสินค้า!B:B,A289,ซื้อสินค้า!M:M),)</f>
        <v>0</v>
      </c>
      <c r="E289" s="23">
        <f t="shared" si="1"/>
        <v>0</v>
      </c>
    </row>
    <row r="290" spans="1:5" ht="12.75">
      <c r="A290" s="6"/>
      <c r="B290" s="9">
        <f>IFERROR(VLOOKUP(A290,ชื่อสินค้า!A:D,4,FALSE),)</f>
        <v>0</v>
      </c>
      <c r="C290" s="9">
        <f>IF(A290&lt;&gt;"",SUMIF(ซื้อสินค้า!B:B,A290,ซื้อสินค้า!E:E)-SUMIF(ขายสินค้า!B:B,A290,ขายสินค้า!E:E),)</f>
        <v>0</v>
      </c>
      <c r="D290" s="23">
        <f>IF(A290&lt;&gt;"",SUMIF(ซื้อสินค้า!B:B,A290,ซื้อสินค้า!M:M),)</f>
        <v>0</v>
      </c>
      <c r="E290" s="23">
        <f t="shared" si="1"/>
        <v>0</v>
      </c>
    </row>
    <row r="291" spans="1:5" ht="12.75">
      <c r="A291" s="6"/>
      <c r="B291" s="9">
        <f>IFERROR(VLOOKUP(A291,ชื่อสินค้า!A:D,4,FALSE),)</f>
        <v>0</v>
      </c>
      <c r="C291" s="9">
        <f>IF(A291&lt;&gt;"",SUMIF(ซื้อสินค้า!B:B,A291,ซื้อสินค้า!E:E)-SUMIF(ขายสินค้า!B:B,A291,ขายสินค้า!E:E),)</f>
        <v>0</v>
      </c>
      <c r="D291" s="23">
        <f>IF(A291&lt;&gt;"",SUMIF(ซื้อสินค้า!B:B,A291,ซื้อสินค้า!M:M),)</f>
        <v>0</v>
      </c>
      <c r="E291" s="23">
        <f t="shared" si="1"/>
        <v>0</v>
      </c>
    </row>
    <row r="292" spans="1:5" ht="12.75">
      <c r="A292" s="6"/>
      <c r="B292" s="9">
        <f>IFERROR(VLOOKUP(A292,ชื่อสินค้า!A:D,4,FALSE),)</f>
        <v>0</v>
      </c>
      <c r="C292" s="9">
        <f>IF(A292&lt;&gt;"",SUMIF(ซื้อสินค้า!B:B,A292,ซื้อสินค้า!E:E)-SUMIF(ขายสินค้า!B:B,A292,ขายสินค้า!E:E),)</f>
        <v>0</v>
      </c>
      <c r="D292" s="23">
        <f>IF(A292&lt;&gt;"",SUMIF(ซื้อสินค้า!B:B,A292,ซื้อสินค้า!M:M),)</f>
        <v>0</v>
      </c>
      <c r="E292" s="23">
        <f t="shared" si="1"/>
        <v>0</v>
      </c>
    </row>
    <row r="293" spans="1:5" ht="12.75">
      <c r="A293" s="6"/>
      <c r="B293" s="9">
        <f>IFERROR(VLOOKUP(A293,ชื่อสินค้า!A:D,4,FALSE),)</f>
        <v>0</v>
      </c>
      <c r="C293" s="9">
        <f>IF(A293&lt;&gt;"",SUMIF(ซื้อสินค้า!B:B,A293,ซื้อสินค้า!E:E)-SUMIF(ขายสินค้า!B:B,A293,ขายสินค้า!E:E),)</f>
        <v>0</v>
      </c>
      <c r="D293" s="23">
        <f>IF(A293&lt;&gt;"",SUMIF(ซื้อสินค้า!B:B,A293,ซื้อสินค้า!M:M),)</f>
        <v>0</v>
      </c>
      <c r="E293" s="23">
        <f t="shared" si="1"/>
        <v>0</v>
      </c>
    </row>
    <row r="294" spans="1:5" ht="12.75">
      <c r="A294" s="6"/>
      <c r="B294" s="9">
        <f>IFERROR(VLOOKUP(A294,ชื่อสินค้า!A:D,4,FALSE),)</f>
        <v>0</v>
      </c>
      <c r="C294" s="9">
        <f>IF(A294&lt;&gt;"",SUMIF(ซื้อสินค้า!B:B,A294,ซื้อสินค้า!E:E)-SUMIF(ขายสินค้า!B:B,A294,ขายสินค้า!E:E),)</f>
        <v>0</v>
      </c>
      <c r="D294" s="23">
        <f>IF(A294&lt;&gt;"",SUMIF(ซื้อสินค้า!B:B,A294,ซื้อสินค้า!M:M),)</f>
        <v>0</v>
      </c>
      <c r="E294" s="23">
        <f t="shared" si="1"/>
        <v>0</v>
      </c>
    </row>
    <row r="295" spans="1:5" ht="12.75">
      <c r="A295" s="6"/>
      <c r="B295" s="9">
        <f>IFERROR(VLOOKUP(A295,ชื่อสินค้า!A:D,4,FALSE),)</f>
        <v>0</v>
      </c>
      <c r="C295" s="9">
        <f>IF(A295&lt;&gt;"",SUMIF(ซื้อสินค้า!B:B,A295,ซื้อสินค้า!E:E)-SUMIF(ขายสินค้า!B:B,A295,ขายสินค้า!E:E),)</f>
        <v>0</v>
      </c>
      <c r="D295" s="23">
        <f>IF(A295&lt;&gt;"",SUMIF(ซื้อสินค้า!B:B,A295,ซื้อสินค้า!M:M),)</f>
        <v>0</v>
      </c>
      <c r="E295" s="23">
        <f t="shared" si="1"/>
        <v>0</v>
      </c>
    </row>
    <row r="296" spans="1:5" ht="12.75">
      <c r="A296" s="6"/>
      <c r="B296" s="9">
        <f>IFERROR(VLOOKUP(A296,ชื่อสินค้า!A:D,4,FALSE),)</f>
        <v>0</v>
      </c>
      <c r="C296" s="9">
        <f>IF(A296&lt;&gt;"",SUMIF(ซื้อสินค้า!B:B,A296,ซื้อสินค้า!E:E)-SUMIF(ขายสินค้า!B:B,A296,ขายสินค้า!E:E),)</f>
        <v>0</v>
      </c>
      <c r="D296" s="23">
        <f>IF(A296&lt;&gt;"",SUMIF(ซื้อสินค้า!B:B,A296,ซื้อสินค้า!M:M),)</f>
        <v>0</v>
      </c>
      <c r="E296" s="23">
        <f t="shared" si="1"/>
        <v>0</v>
      </c>
    </row>
    <row r="297" spans="1:5" ht="12.75">
      <c r="A297" s="6"/>
      <c r="B297" s="9">
        <f>IFERROR(VLOOKUP(A297,ชื่อสินค้า!A:D,4,FALSE),)</f>
        <v>0</v>
      </c>
      <c r="C297" s="9">
        <f>IF(A297&lt;&gt;"",SUMIF(ซื้อสินค้า!B:B,A297,ซื้อสินค้า!E:E)-SUMIF(ขายสินค้า!B:B,A297,ขายสินค้า!E:E),)</f>
        <v>0</v>
      </c>
      <c r="D297" s="23">
        <f>IF(A297&lt;&gt;"",SUMIF(ซื้อสินค้า!B:B,A297,ซื้อสินค้า!M:M),)</f>
        <v>0</v>
      </c>
      <c r="E297" s="23">
        <f t="shared" si="1"/>
        <v>0</v>
      </c>
    </row>
    <row r="298" spans="1:5" ht="12.75">
      <c r="A298" s="6"/>
      <c r="B298" s="9">
        <f>IFERROR(VLOOKUP(A298,ชื่อสินค้า!A:D,4,FALSE),)</f>
        <v>0</v>
      </c>
      <c r="C298" s="9">
        <f>IF(A298&lt;&gt;"",SUMIF(ซื้อสินค้า!B:B,A298,ซื้อสินค้า!E:E)-SUMIF(ขายสินค้า!B:B,A298,ขายสินค้า!E:E),)</f>
        <v>0</v>
      </c>
      <c r="D298" s="23">
        <f>IF(A298&lt;&gt;"",SUMIF(ซื้อสินค้า!B:B,A298,ซื้อสินค้า!M:M),)</f>
        <v>0</v>
      </c>
      <c r="E298" s="23">
        <f t="shared" si="1"/>
        <v>0</v>
      </c>
    </row>
    <row r="299" spans="1:5" ht="12.75">
      <c r="A299" s="6"/>
      <c r="B299" s="9">
        <f>IFERROR(VLOOKUP(A299,ชื่อสินค้า!A:D,4,FALSE),)</f>
        <v>0</v>
      </c>
      <c r="C299" s="9">
        <f>IF(A299&lt;&gt;"",SUMIF(ซื้อสินค้า!B:B,A299,ซื้อสินค้า!E:E)-SUMIF(ขายสินค้า!B:B,A299,ขายสินค้า!E:E),)</f>
        <v>0</v>
      </c>
      <c r="D299" s="23">
        <f>IF(A299&lt;&gt;"",SUMIF(ซื้อสินค้า!B:B,A299,ซื้อสินค้า!M:M),)</f>
        <v>0</v>
      </c>
      <c r="E299" s="23">
        <f t="shared" si="1"/>
        <v>0</v>
      </c>
    </row>
    <row r="300" spans="1:5" ht="12.75">
      <c r="A300" s="6"/>
      <c r="B300" s="9">
        <f>IFERROR(VLOOKUP(A300,ชื่อสินค้า!A:D,4,FALSE),)</f>
        <v>0</v>
      </c>
      <c r="C300" s="9">
        <f>IF(A300&lt;&gt;"",SUMIF(ซื้อสินค้า!B:B,A300,ซื้อสินค้า!E:E)-SUMIF(ขายสินค้า!B:B,A300,ขายสินค้า!E:E),)</f>
        <v>0</v>
      </c>
      <c r="D300" s="23">
        <f>IF(A300&lt;&gt;"",SUMIF(ซื้อสินค้า!B:B,A300,ซื้อสินค้า!M:M),)</f>
        <v>0</v>
      </c>
      <c r="E300" s="23">
        <f t="shared" si="1"/>
        <v>0</v>
      </c>
    </row>
    <row r="301" spans="1:5" ht="12.75">
      <c r="A301" s="6"/>
      <c r="B301" s="9">
        <f>IFERROR(VLOOKUP(A301,ชื่อสินค้า!A:D,4,FALSE),)</f>
        <v>0</v>
      </c>
      <c r="C301" s="9">
        <f>IF(A301&lt;&gt;"",SUMIF(ซื้อสินค้า!B:B,A301,ซื้อสินค้า!E:E)-SUMIF(ขายสินค้า!B:B,A301,ขายสินค้า!E:E),)</f>
        <v>0</v>
      </c>
      <c r="D301" s="23">
        <f>IF(A301&lt;&gt;"",SUMIF(ซื้อสินค้า!B:B,A301,ซื้อสินค้า!M:M),)</f>
        <v>0</v>
      </c>
      <c r="E301" s="23">
        <f t="shared" si="1"/>
        <v>0</v>
      </c>
    </row>
    <row r="302" spans="1:5" ht="12.75">
      <c r="A302" s="6"/>
      <c r="B302" s="9">
        <f>IFERROR(VLOOKUP(A302,ชื่อสินค้า!A:D,4,FALSE),)</f>
        <v>0</v>
      </c>
      <c r="C302" s="9">
        <f>IF(A302&lt;&gt;"",SUMIF(ซื้อสินค้า!B:B,A302,ซื้อสินค้า!E:E)-SUMIF(ขายสินค้า!B:B,A302,ขายสินค้า!E:E),)</f>
        <v>0</v>
      </c>
      <c r="D302" s="23">
        <f>IF(A302&lt;&gt;"",SUMIF(ซื้อสินค้า!B:B,A302,ซื้อสินค้า!M:M),)</f>
        <v>0</v>
      </c>
      <c r="E302" s="23">
        <f t="shared" si="1"/>
        <v>0</v>
      </c>
    </row>
    <row r="303" spans="1:5" ht="12.75">
      <c r="A303" s="6"/>
      <c r="B303" s="9">
        <f>IFERROR(VLOOKUP(A303,ชื่อสินค้า!A:D,4,FALSE),)</f>
        <v>0</v>
      </c>
      <c r="C303" s="9">
        <f>IF(A303&lt;&gt;"",SUMIF(ซื้อสินค้า!B:B,A303,ซื้อสินค้า!E:E)-SUMIF(ขายสินค้า!B:B,A303,ขายสินค้า!E:E),)</f>
        <v>0</v>
      </c>
      <c r="D303" s="23">
        <f>IF(A303&lt;&gt;"",SUMIF(ซื้อสินค้า!B:B,A303,ซื้อสินค้า!M:M),)</f>
        <v>0</v>
      </c>
      <c r="E303" s="23">
        <f t="shared" si="1"/>
        <v>0</v>
      </c>
    </row>
    <row r="304" spans="1:5" ht="12.75">
      <c r="A304" s="6"/>
      <c r="B304" s="9">
        <f>IFERROR(VLOOKUP(A304,ชื่อสินค้า!A:D,4,FALSE),)</f>
        <v>0</v>
      </c>
      <c r="C304" s="9">
        <f>IF(A304&lt;&gt;"",SUMIF(ซื้อสินค้า!B:B,A304,ซื้อสินค้า!E:E)-SUMIF(ขายสินค้า!B:B,A304,ขายสินค้า!E:E),)</f>
        <v>0</v>
      </c>
      <c r="D304" s="23">
        <f>IF(A304&lt;&gt;"",SUMIF(ซื้อสินค้า!B:B,A304,ซื้อสินค้า!M:M),)</f>
        <v>0</v>
      </c>
      <c r="E304" s="23">
        <f t="shared" si="1"/>
        <v>0</v>
      </c>
    </row>
    <row r="305" spans="1:5" ht="12.75">
      <c r="A305" s="6"/>
      <c r="B305" s="9">
        <f>IFERROR(VLOOKUP(A305,ชื่อสินค้า!A:D,4,FALSE),)</f>
        <v>0</v>
      </c>
      <c r="C305" s="9">
        <f>IF(A305&lt;&gt;"",SUMIF(ซื้อสินค้า!B:B,A305,ซื้อสินค้า!E:E)-SUMIF(ขายสินค้า!B:B,A305,ขายสินค้า!E:E),)</f>
        <v>0</v>
      </c>
      <c r="D305" s="23">
        <f>IF(A305&lt;&gt;"",SUMIF(ซื้อสินค้า!B:B,A305,ซื้อสินค้า!M:M),)</f>
        <v>0</v>
      </c>
      <c r="E305" s="23">
        <f t="shared" si="1"/>
        <v>0</v>
      </c>
    </row>
    <row r="306" spans="1:5" ht="12.75">
      <c r="A306" s="6"/>
      <c r="B306" s="9">
        <f>IFERROR(VLOOKUP(A306,ชื่อสินค้า!A:D,4,FALSE),)</f>
        <v>0</v>
      </c>
      <c r="C306" s="9">
        <f>IF(A306&lt;&gt;"",SUMIF(ซื้อสินค้า!B:B,A306,ซื้อสินค้า!E:E)-SUMIF(ขายสินค้า!B:B,A306,ขายสินค้า!E:E),)</f>
        <v>0</v>
      </c>
      <c r="D306" s="23">
        <f>IF(A306&lt;&gt;"",SUMIF(ซื้อสินค้า!B:B,A306,ซื้อสินค้า!M:M),)</f>
        <v>0</v>
      </c>
      <c r="E306" s="23">
        <f t="shared" si="1"/>
        <v>0</v>
      </c>
    </row>
    <row r="307" spans="1:5" ht="12.75">
      <c r="A307" s="6"/>
      <c r="B307" s="9">
        <f>IFERROR(VLOOKUP(A307,ชื่อสินค้า!A:D,4,FALSE),)</f>
        <v>0</v>
      </c>
      <c r="C307" s="9">
        <f>IF(A307&lt;&gt;"",SUMIF(ซื้อสินค้า!B:B,A307,ซื้อสินค้า!E:E)-SUMIF(ขายสินค้า!B:B,A307,ขายสินค้า!E:E),)</f>
        <v>0</v>
      </c>
      <c r="D307" s="23">
        <f>IF(A307&lt;&gt;"",SUMIF(ซื้อสินค้า!B:B,A307,ซื้อสินค้า!M:M),)</f>
        <v>0</v>
      </c>
      <c r="E307" s="23">
        <f t="shared" si="1"/>
        <v>0</v>
      </c>
    </row>
    <row r="308" spans="1:5" ht="12.75">
      <c r="A308" s="6"/>
      <c r="B308" s="9">
        <f>IFERROR(VLOOKUP(A308,ชื่อสินค้า!A:D,4,FALSE),)</f>
        <v>0</v>
      </c>
      <c r="C308" s="9">
        <f>IF(A308&lt;&gt;"",SUMIF(ซื้อสินค้า!B:B,A308,ซื้อสินค้า!E:E)-SUMIF(ขายสินค้า!B:B,A308,ขายสินค้า!E:E),)</f>
        <v>0</v>
      </c>
      <c r="D308" s="23">
        <f>IF(A308&lt;&gt;"",SUMIF(ซื้อสินค้า!B:B,A308,ซื้อสินค้า!M:M),)</f>
        <v>0</v>
      </c>
      <c r="E308" s="23">
        <f t="shared" si="1"/>
        <v>0</v>
      </c>
    </row>
    <row r="309" spans="1:5" ht="12.75">
      <c r="A309" s="6"/>
      <c r="B309" s="9">
        <f>IFERROR(VLOOKUP(A309,ชื่อสินค้า!A:D,4,FALSE),)</f>
        <v>0</v>
      </c>
      <c r="C309" s="9">
        <f>IF(A309&lt;&gt;"",SUMIF(ซื้อสินค้า!B:B,A309,ซื้อสินค้า!E:E)-SUMIF(ขายสินค้า!B:B,A309,ขายสินค้า!E:E),)</f>
        <v>0</v>
      </c>
      <c r="D309" s="23">
        <f>IF(A309&lt;&gt;"",SUMIF(ซื้อสินค้า!B:B,A309,ซื้อสินค้า!M:M),)</f>
        <v>0</v>
      </c>
      <c r="E309" s="23">
        <f t="shared" si="1"/>
        <v>0</v>
      </c>
    </row>
    <row r="310" spans="1:5" ht="12.75">
      <c r="A310" s="6"/>
      <c r="B310" s="9">
        <f>IFERROR(VLOOKUP(A310,ชื่อสินค้า!A:D,4,FALSE),)</f>
        <v>0</v>
      </c>
      <c r="C310" s="9">
        <f>IF(A310&lt;&gt;"",SUMIF(ซื้อสินค้า!B:B,A310,ซื้อสินค้า!E:E)-SUMIF(ขายสินค้า!B:B,A310,ขายสินค้า!E:E),)</f>
        <v>0</v>
      </c>
      <c r="D310" s="23">
        <f>IF(A310&lt;&gt;"",SUMIF(ซื้อสินค้า!B:B,A310,ซื้อสินค้า!M:M),)</f>
        <v>0</v>
      </c>
      <c r="E310" s="23">
        <f t="shared" si="1"/>
        <v>0</v>
      </c>
    </row>
    <row r="311" spans="1:5" ht="12.75">
      <c r="A311" s="6"/>
      <c r="B311" s="9">
        <f>IFERROR(VLOOKUP(A311,ชื่อสินค้า!A:D,4,FALSE),)</f>
        <v>0</v>
      </c>
      <c r="C311" s="9">
        <f>IF(A311&lt;&gt;"",SUMIF(ซื้อสินค้า!B:B,A311,ซื้อสินค้า!E:E)-SUMIF(ขายสินค้า!B:B,A311,ขายสินค้า!E:E),)</f>
        <v>0</v>
      </c>
      <c r="D311" s="23">
        <f>IF(A311&lt;&gt;"",SUMIF(ซื้อสินค้า!B:B,A311,ซื้อสินค้า!M:M),)</f>
        <v>0</v>
      </c>
      <c r="E311" s="23">
        <f t="shared" si="1"/>
        <v>0</v>
      </c>
    </row>
    <row r="312" spans="1:5" ht="12.75">
      <c r="A312" s="6"/>
      <c r="B312" s="9">
        <f>IFERROR(VLOOKUP(A312,ชื่อสินค้า!A:D,4,FALSE),)</f>
        <v>0</v>
      </c>
      <c r="C312" s="9">
        <f>IF(A312&lt;&gt;"",SUMIF(ซื้อสินค้า!B:B,A312,ซื้อสินค้า!E:E)-SUMIF(ขายสินค้า!B:B,A312,ขายสินค้า!E:E),)</f>
        <v>0</v>
      </c>
      <c r="D312" s="23">
        <f>IF(A312&lt;&gt;"",SUMIF(ซื้อสินค้า!B:B,A312,ซื้อสินค้า!M:M),)</f>
        <v>0</v>
      </c>
      <c r="E312" s="23">
        <f t="shared" si="1"/>
        <v>0</v>
      </c>
    </row>
    <row r="313" spans="1:5" ht="12.75">
      <c r="A313" s="6"/>
      <c r="B313" s="9">
        <f>IFERROR(VLOOKUP(A313,ชื่อสินค้า!A:D,4,FALSE),)</f>
        <v>0</v>
      </c>
      <c r="C313" s="9">
        <f>IF(A313&lt;&gt;"",SUMIF(ซื้อสินค้า!B:B,A313,ซื้อสินค้า!E:E)-SUMIF(ขายสินค้า!B:B,A313,ขายสินค้า!E:E),)</f>
        <v>0</v>
      </c>
      <c r="D313" s="23">
        <f>IF(A313&lt;&gt;"",SUMIF(ซื้อสินค้า!B:B,A313,ซื้อสินค้า!M:M),)</f>
        <v>0</v>
      </c>
      <c r="E313" s="23">
        <f t="shared" si="1"/>
        <v>0</v>
      </c>
    </row>
    <row r="314" spans="1:5" ht="12.75">
      <c r="A314" s="6"/>
      <c r="B314" s="9">
        <f>IFERROR(VLOOKUP(A314,ชื่อสินค้า!A:D,4,FALSE),)</f>
        <v>0</v>
      </c>
      <c r="C314" s="9">
        <f>IF(A314&lt;&gt;"",SUMIF(ซื้อสินค้า!B:B,A314,ซื้อสินค้า!E:E)-SUMIF(ขายสินค้า!B:B,A314,ขายสินค้า!E:E),)</f>
        <v>0</v>
      </c>
      <c r="D314" s="23">
        <f>IF(A314&lt;&gt;"",SUMIF(ซื้อสินค้า!B:B,A314,ซื้อสินค้า!M:M),)</f>
        <v>0</v>
      </c>
      <c r="E314" s="23">
        <f t="shared" si="1"/>
        <v>0</v>
      </c>
    </row>
    <row r="315" spans="1:5" ht="12.75">
      <c r="A315" s="6"/>
      <c r="B315" s="9">
        <f>IFERROR(VLOOKUP(A315,ชื่อสินค้า!A:D,4,FALSE),)</f>
        <v>0</v>
      </c>
      <c r="C315" s="9">
        <f>IF(A315&lt;&gt;"",SUMIF(ซื้อสินค้า!B:B,A315,ซื้อสินค้า!E:E)-SUMIF(ขายสินค้า!B:B,A315,ขายสินค้า!E:E),)</f>
        <v>0</v>
      </c>
      <c r="D315" s="23">
        <f>IF(A315&lt;&gt;"",SUMIF(ซื้อสินค้า!B:B,A315,ซื้อสินค้า!M:M),)</f>
        <v>0</v>
      </c>
      <c r="E315" s="23">
        <f t="shared" si="1"/>
        <v>0</v>
      </c>
    </row>
    <row r="316" spans="1:5" ht="12.75">
      <c r="A316" s="6"/>
      <c r="B316" s="9">
        <f>IFERROR(VLOOKUP(A316,ชื่อสินค้า!A:D,4,FALSE),)</f>
        <v>0</v>
      </c>
      <c r="C316" s="9">
        <f>IF(A316&lt;&gt;"",SUMIF(ซื้อสินค้า!B:B,A316,ซื้อสินค้า!E:E)-SUMIF(ขายสินค้า!B:B,A316,ขายสินค้า!E:E),)</f>
        <v>0</v>
      </c>
      <c r="D316" s="23">
        <f>IF(A316&lt;&gt;"",SUMIF(ซื้อสินค้า!B:B,A316,ซื้อสินค้า!M:M),)</f>
        <v>0</v>
      </c>
      <c r="E316" s="23">
        <f t="shared" si="1"/>
        <v>0</v>
      </c>
    </row>
    <row r="317" spans="1:5" ht="12.75">
      <c r="A317" s="6"/>
      <c r="B317" s="9">
        <f>IFERROR(VLOOKUP(A317,ชื่อสินค้า!A:D,4,FALSE),)</f>
        <v>0</v>
      </c>
      <c r="C317" s="9">
        <f>IF(A317&lt;&gt;"",SUMIF(ซื้อสินค้า!B:B,A317,ซื้อสินค้า!E:E)-SUMIF(ขายสินค้า!B:B,A317,ขายสินค้า!E:E),)</f>
        <v>0</v>
      </c>
      <c r="D317" s="23">
        <f>IF(A317&lt;&gt;"",SUMIF(ซื้อสินค้า!B:B,A317,ซื้อสินค้า!M:M),)</f>
        <v>0</v>
      </c>
      <c r="E317" s="23">
        <f t="shared" si="1"/>
        <v>0</v>
      </c>
    </row>
    <row r="318" spans="1:5" ht="12.75">
      <c r="A318" s="6"/>
      <c r="B318" s="9">
        <f>IFERROR(VLOOKUP(A318,ชื่อสินค้า!A:D,4,FALSE),)</f>
        <v>0</v>
      </c>
      <c r="C318" s="9">
        <f>IF(A318&lt;&gt;"",SUMIF(ซื้อสินค้า!B:B,A318,ซื้อสินค้า!E:E)-SUMIF(ขายสินค้า!B:B,A318,ขายสินค้า!E:E),)</f>
        <v>0</v>
      </c>
      <c r="D318" s="23">
        <f>IF(A318&lt;&gt;"",SUMIF(ซื้อสินค้า!B:B,A318,ซื้อสินค้า!M:M),)</f>
        <v>0</v>
      </c>
      <c r="E318" s="23">
        <f t="shared" si="1"/>
        <v>0</v>
      </c>
    </row>
    <row r="319" spans="1:5" ht="12.75">
      <c r="A319" s="6"/>
      <c r="B319" s="9">
        <f>IFERROR(VLOOKUP(A319,ชื่อสินค้า!A:D,4,FALSE),)</f>
        <v>0</v>
      </c>
      <c r="C319" s="9">
        <f>IF(A319&lt;&gt;"",SUMIF(ซื้อสินค้า!B:B,A319,ซื้อสินค้า!E:E)-SUMIF(ขายสินค้า!B:B,A319,ขายสินค้า!E:E),)</f>
        <v>0</v>
      </c>
      <c r="D319" s="23">
        <f>IF(A319&lt;&gt;"",SUMIF(ซื้อสินค้า!B:B,A319,ซื้อสินค้า!M:M),)</f>
        <v>0</v>
      </c>
      <c r="E319" s="23">
        <f t="shared" si="1"/>
        <v>0</v>
      </c>
    </row>
    <row r="320" spans="1:5" ht="12.75">
      <c r="A320" s="6"/>
      <c r="B320" s="9">
        <f>IFERROR(VLOOKUP(A320,ชื่อสินค้า!A:D,4,FALSE),)</f>
        <v>0</v>
      </c>
      <c r="C320" s="9">
        <f>IF(A320&lt;&gt;"",SUMIF(ซื้อสินค้า!B:B,A320,ซื้อสินค้า!E:E)-SUMIF(ขายสินค้า!B:B,A320,ขายสินค้า!E:E),)</f>
        <v>0</v>
      </c>
      <c r="D320" s="23">
        <f>IF(A320&lt;&gt;"",SUMIF(ซื้อสินค้า!B:B,A320,ซื้อสินค้า!M:M),)</f>
        <v>0</v>
      </c>
      <c r="E320" s="23">
        <f t="shared" si="1"/>
        <v>0</v>
      </c>
    </row>
    <row r="321" spans="1:5" ht="12.75">
      <c r="A321" s="6"/>
      <c r="B321" s="9">
        <f>IFERROR(VLOOKUP(A321,ชื่อสินค้า!A:D,4,FALSE),)</f>
        <v>0</v>
      </c>
      <c r="C321" s="9">
        <f>IF(A321&lt;&gt;"",SUMIF(ซื้อสินค้า!B:B,A321,ซื้อสินค้า!E:E)-SUMIF(ขายสินค้า!B:B,A321,ขายสินค้า!E:E),)</f>
        <v>0</v>
      </c>
      <c r="D321" s="23">
        <f>IF(A321&lt;&gt;"",SUMIF(ซื้อสินค้า!B:B,A321,ซื้อสินค้า!M:M),)</f>
        <v>0</v>
      </c>
      <c r="E321" s="23">
        <f t="shared" si="1"/>
        <v>0</v>
      </c>
    </row>
    <row r="322" spans="1:5" ht="12.75">
      <c r="A322" s="6"/>
      <c r="B322" s="9">
        <f>IFERROR(VLOOKUP(A322,ชื่อสินค้า!A:D,4,FALSE),)</f>
        <v>0</v>
      </c>
      <c r="C322" s="9">
        <f>IF(A322&lt;&gt;"",SUMIF(ซื้อสินค้า!B:B,A322,ซื้อสินค้า!E:E)-SUMIF(ขายสินค้า!B:B,A322,ขายสินค้า!E:E),)</f>
        <v>0</v>
      </c>
      <c r="D322" s="23">
        <f>IF(A322&lt;&gt;"",SUMIF(ซื้อสินค้า!B:B,A322,ซื้อสินค้า!M:M),)</f>
        <v>0</v>
      </c>
      <c r="E322" s="23">
        <f t="shared" si="1"/>
        <v>0</v>
      </c>
    </row>
    <row r="323" spans="1:5" ht="12.75">
      <c r="A323" s="6"/>
      <c r="B323" s="9">
        <f>IFERROR(VLOOKUP(A323,ชื่อสินค้า!A:D,4,FALSE),)</f>
        <v>0</v>
      </c>
      <c r="C323" s="9">
        <f>IF(A323&lt;&gt;"",SUMIF(ซื้อสินค้า!B:B,A323,ซื้อสินค้า!E:E)-SUMIF(ขายสินค้า!B:B,A323,ขายสินค้า!E:E),)</f>
        <v>0</v>
      </c>
      <c r="D323" s="23">
        <f>IF(A323&lt;&gt;"",SUMIF(ซื้อสินค้า!B:B,A323,ซื้อสินค้า!M:M),)</f>
        <v>0</v>
      </c>
      <c r="E323" s="23">
        <f t="shared" si="1"/>
        <v>0</v>
      </c>
    </row>
    <row r="324" spans="1:5" ht="12.75">
      <c r="A324" s="6"/>
      <c r="B324" s="9">
        <f>IFERROR(VLOOKUP(A324,ชื่อสินค้า!A:D,4,FALSE),)</f>
        <v>0</v>
      </c>
      <c r="C324" s="9">
        <f>IF(A324&lt;&gt;"",SUMIF(ซื้อสินค้า!B:B,A324,ซื้อสินค้า!E:E)-SUMIF(ขายสินค้า!B:B,A324,ขายสินค้า!E:E),)</f>
        <v>0</v>
      </c>
      <c r="D324" s="23">
        <f>IF(A324&lt;&gt;"",SUMIF(ซื้อสินค้า!B:B,A324,ซื้อสินค้า!M:M),)</f>
        <v>0</v>
      </c>
      <c r="E324" s="23">
        <f t="shared" si="1"/>
        <v>0</v>
      </c>
    </row>
    <row r="325" spans="1:5" ht="12.75">
      <c r="A325" s="6"/>
      <c r="B325" s="9">
        <f>IFERROR(VLOOKUP(A325,ชื่อสินค้า!A:D,4,FALSE),)</f>
        <v>0</v>
      </c>
      <c r="C325" s="9">
        <f>IF(A325&lt;&gt;"",SUMIF(ซื้อสินค้า!B:B,A325,ซื้อสินค้า!E:E)-SUMIF(ขายสินค้า!B:B,A325,ขายสินค้า!E:E),)</f>
        <v>0</v>
      </c>
      <c r="D325" s="23">
        <f>IF(A325&lt;&gt;"",SUMIF(ซื้อสินค้า!B:B,A325,ซื้อสินค้า!M:M),)</f>
        <v>0</v>
      </c>
      <c r="E325" s="23">
        <f t="shared" si="1"/>
        <v>0</v>
      </c>
    </row>
    <row r="326" spans="1:5" ht="12.75">
      <c r="A326" s="6"/>
      <c r="B326" s="9">
        <f>IFERROR(VLOOKUP(A326,ชื่อสินค้า!A:D,4,FALSE),)</f>
        <v>0</v>
      </c>
      <c r="C326" s="9">
        <f>IF(A326&lt;&gt;"",SUMIF(ซื้อสินค้า!B:B,A326,ซื้อสินค้า!E:E)-SUMIF(ขายสินค้า!B:B,A326,ขายสินค้า!E:E),)</f>
        <v>0</v>
      </c>
      <c r="D326" s="23">
        <f>IF(A326&lt;&gt;"",SUMIF(ซื้อสินค้า!B:B,A326,ซื้อสินค้า!M:M),)</f>
        <v>0</v>
      </c>
      <c r="E326" s="23">
        <f t="shared" si="1"/>
        <v>0</v>
      </c>
    </row>
    <row r="327" spans="1:5" ht="12.75">
      <c r="A327" s="6"/>
      <c r="B327" s="9">
        <f>IFERROR(VLOOKUP(A327,ชื่อสินค้า!A:D,4,FALSE),)</f>
        <v>0</v>
      </c>
      <c r="C327" s="9">
        <f>IF(A327&lt;&gt;"",SUMIF(ซื้อสินค้า!B:B,A327,ซื้อสินค้า!E:E)-SUMIF(ขายสินค้า!B:B,A327,ขายสินค้า!E:E),)</f>
        <v>0</v>
      </c>
      <c r="D327" s="23">
        <f>IF(A327&lt;&gt;"",SUMIF(ซื้อสินค้า!B:B,A327,ซื้อสินค้า!M:M),)</f>
        <v>0</v>
      </c>
      <c r="E327" s="23">
        <f t="shared" si="1"/>
        <v>0</v>
      </c>
    </row>
    <row r="328" spans="1:5" ht="12.75">
      <c r="A328" s="6"/>
      <c r="B328" s="9">
        <f>IFERROR(VLOOKUP(A328,ชื่อสินค้า!A:D,4,FALSE),)</f>
        <v>0</v>
      </c>
      <c r="C328" s="9">
        <f>IF(A328&lt;&gt;"",SUMIF(ซื้อสินค้า!B:B,A328,ซื้อสินค้า!E:E)-SUMIF(ขายสินค้า!B:B,A328,ขายสินค้า!E:E),)</f>
        <v>0</v>
      </c>
      <c r="D328" s="23">
        <f>IF(A328&lt;&gt;"",SUMIF(ซื้อสินค้า!B:B,A328,ซื้อสินค้า!M:M),)</f>
        <v>0</v>
      </c>
      <c r="E328" s="23">
        <f t="shared" si="1"/>
        <v>0</v>
      </c>
    </row>
    <row r="329" spans="1:5" ht="12.75">
      <c r="A329" s="6"/>
      <c r="B329" s="9">
        <f>IFERROR(VLOOKUP(A329,ชื่อสินค้า!A:D,4,FALSE),)</f>
        <v>0</v>
      </c>
      <c r="C329" s="9">
        <f>IF(A329&lt;&gt;"",SUMIF(ซื้อสินค้า!B:B,A329,ซื้อสินค้า!E:E)-SUMIF(ขายสินค้า!B:B,A329,ขายสินค้า!E:E),)</f>
        <v>0</v>
      </c>
      <c r="D329" s="23">
        <f>IF(A329&lt;&gt;"",SUMIF(ซื้อสินค้า!B:B,A329,ซื้อสินค้า!M:M),)</f>
        <v>0</v>
      </c>
      <c r="E329" s="23">
        <f t="shared" si="1"/>
        <v>0</v>
      </c>
    </row>
    <row r="330" spans="1:5" ht="12.75">
      <c r="A330" s="6"/>
      <c r="B330" s="9">
        <f>IFERROR(VLOOKUP(A330,ชื่อสินค้า!A:D,4,FALSE),)</f>
        <v>0</v>
      </c>
      <c r="C330" s="9">
        <f>IF(A330&lt;&gt;"",SUMIF(ซื้อสินค้า!B:B,A330,ซื้อสินค้า!E:E)-SUMIF(ขายสินค้า!B:B,A330,ขายสินค้า!E:E),)</f>
        <v>0</v>
      </c>
      <c r="D330" s="23">
        <f>IF(A330&lt;&gt;"",SUMIF(ซื้อสินค้า!B:B,A330,ซื้อสินค้า!M:M),)</f>
        <v>0</v>
      </c>
      <c r="E330" s="23">
        <f t="shared" si="1"/>
        <v>0</v>
      </c>
    </row>
    <row r="331" spans="1:5" ht="12.75">
      <c r="A331" s="6"/>
      <c r="B331" s="9">
        <f>IFERROR(VLOOKUP(A331,ชื่อสินค้า!A:D,4,FALSE),)</f>
        <v>0</v>
      </c>
      <c r="C331" s="9">
        <f>IF(A331&lt;&gt;"",SUMIF(ซื้อสินค้า!B:B,A331,ซื้อสินค้า!E:E)-SUMIF(ขายสินค้า!B:B,A331,ขายสินค้า!E:E),)</f>
        <v>0</v>
      </c>
      <c r="D331" s="23">
        <f>IF(A331&lt;&gt;"",SUMIF(ซื้อสินค้า!B:B,A331,ซื้อสินค้า!M:M),)</f>
        <v>0</v>
      </c>
      <c r="E331" s="23">
        <f t="shared" si="1"/>
        <v>0</v>
      </c>
    </row>
    <row r="332" spans="1:5" ht="12.75">
      <c r="A332" s="6"/>
      <c r="B332" s="9">
        <f>IFERROR(VLOOKUP(A332,ชื่อสินค้า!A:D,4,FALSE),)</f>
        <v>0</v>
      </c>
      <c r="C332" s="9">
        <f>IF(A332&lt;&gt;"",SUMIF(ซื้อสินค้า!B:B,A332,ซื้อสินค้า!E:E)-SUMIF(ขายสินค้า!B:B,A332,ขายสินค้า!E:E),)</f>
        <v>0</v>
      </c>
      <c r="D332" s="23">
        <f>IF(A332&lt;&gt;"",SUMIF(ซื้อสินค้า!B:B,A332,ซื้อสินค้า!M:M),)</f>
        <v>0</v>
      </c>
      <c r="E332" s="23">
        <f t="shared" si="1"/>
        <v>0</v>
      </c>
    </row>
    <row r="333" spans="1:5" ht="12.75">
      <c r="A333" s="6"/>
      <c r="B333" s="9">
        <f>IFERROR(VLOOKUP(A333,ชื่อสินค้า!A:D,4,FALSE),)</f>
        <v>0</v>
      </c>
      <c r="C333" s="9">
        <f>IF(A333&lt;&gt;"",SUMIF(ซื้อสินค้า!B:B,A333,ซื้อสินค้า!E:E)-SUMIF(ขายสินค้า!B:B,A333,ขายสินค้า!E:E),)</f>
        <v>0</v>
      </c>
      <c r="D333" s="23">
        <f>IF(A333&lt;&gt;"",SUMIF(ซื้อสินค้า!B:B,A333,ซื้อสินค้า!M:M),)</f>
        <v>0</v>
      </c>
      <c r="E333" s="23">
        <f t="shared" si="1"/>
        <v>0</v>
      </c>
    </row>
    <row r="334" spans="1:5" ht="12.75">
      <c r="A334" s="6"/>
      <c r="B334" s="9">
        <f>IFERROR(VLOOKUP(A334,ชื่อสินค้า!A:D,4,FALSE),)</f>
        <v>0</v>
      </c>
      <c r="C334" s="9">
        <f>IF(A334&lt;&gt;"",SUMIF(ซื้อสินค้า!B:B,A334,ซื้อสินค้า!E:E)-SUMIF(ขายสินค้า!B:B,A334,ขายสินค้า!E:E),)</f>
        <v>0</v>
      </c>
      <c r="D334" s="23">
        <f>IF(A334&lt;&gt;"",SUMIF(ซื้อสินค้า!B:B,A334,ซื้อสินค้า!M:M),)</f>
        <v>0</v>
      </c>
      <c r="E334" s="23">
        <f t="shared" si="1"/>
        <v>0</v>
      </c>
    </row>
    <row r="335" spans="1:5" ht="12.75">
      <c r="A335" s="6"/>
      <c r="B335" s="9">
        <f>IFERROR(VLOOKUP(A335,ชื่อสินค้า!A:D,4,FALSE),)</f>
        <v>0</v>
      </c>
      <c r="C335" s="9">
        <f>IF(A335&lt;&gt;"",SUMIF(ซื้อสินค้า!B:B,A335,ซื้อสินค้า!E:E)-SUMIF(ขายสินค้า!B:B,A335,ขายสินค้า!E:E),)</f>
        <v>0</v>
      </c>
      <c r="D335" s="23">
        <f>IF(A335&lt;&gt;"",SUMIF(ซื้อสินค้า!B:B,A335,ซื้อสินค้า!M:M),)</f>
        <v>0</v>
      </c>
      <c r="E335" s="23">
        <f t="shared" si="1"/>
        <v>0</v>
      </c>
    </row>
    <row r="336" spans="1:5" ht="12.75">
      <c r="A336" s="6"/>
      <c r="B336" s="9">
        <f>IFERROR(VLOOKUP(A336,ชื่อสินค้า!A:D,4,FALSE),)</f>
        <v>0</v>
      </c>
      <c r="C336" s="9">
        <f>IF(A336&lt;&gt;"",SUMIF(ซื้อสินค้า!B:B,A336,ซื้อสินค้า!E:E)-SUMIF(ขายสินค้า!B:B,A336,ขายสินค้า!E:E),)</f>
        <v>0</v>
      </c>
      <c r="D336" s="23">
        <f>IF(A336&lt;&gt;"",SUMIF(ซื้อสินค้า!B:B,A336,ซื้อสินค้า!M:M),)</f>
        <v>0</v>
      </c>
      <c r="E336" s="23">
        <f t="shared" si="1"/>
        <v>0</v>
      </c>
    </row>
    <row r="337" spans="1:5" ht="12.75">
      <c r="A337" s="6"/>
      <c r="B337" s="9">
        <f>IFERROR(VLOOKUP(A337,ชื่อสินค้า!A:D,4,FALSE),)</f>
        <v>0</v>
      </c>
      <c r="C337" s="9">
        <f>IF(A337&lt;&gt;"",SUMIF(ซื้อสินค้า!B:B,A337,ซื้อสินค้า!E:E)-SUMIF(ขายสินค้า!B:B,A337,ขายสินค้า!E:E),)</f>
        <v>0</v>
      </c>
      <c r="D337" s="23">
        <f>IF(A337&lt;&gt;"",SUMIF(ซื้อสินค้า!B:B,A337,ซื้อสินค้า!M:M),)</f>
        <v>0</v>
      </c>
      <c r="E337" s="23">
        <f t="shared" si="1"/>
        <v>0</v>
      </c>
    </row>
    <row r="338" spans="1:5" ht="12.75">
      <c r="A338" s="6"/>
      <c r="B338" s="9">
        <f>IFERROR(VLOOKUP(A338,ชื่อสินค้า!A:D,4,FALSE),)</f>
        <v>0</v>
      </c>
      <c r="C338" s="9">
        <f>IF(A338&lt;&gt;"",SUMIF(ซื้อสินค้า!B:B,A338,ซื้อสินค้า!E:E)-SUMIF(ขายสินค้า!B:B,A338,ขายสินค้า!E:E),)</f>
        <v>0</v>
      </c>
      <c r="D338" s="23">
        <f>IF(A338&lt;&gt;"",SUMIF(ซื้อสินค้า!B:B,A338,ซื้อสินค้า!M:M),)</f>
        <v>0</v>
      </c>
      <c r="E338" s="23">
        <f t="shared" si="1"/>
        <v>0</v>
      </c>
    </row>
    <row r="339" spans="1:5" ht="12.75">
      <c r="A339" s="6"/>
      <c r="B339" s="9">
        <f>IFERROR(VLOOKUP(A339,ชื่อสินค้า!A:D,4,FALSE),)</f>
        <v>0</v>
      </c>
      <c r="C339" s="9">
        <f>IF(A339&lt;&gt;"",SUMIF(ซื้อสินค้า!B:B,A339,ซื้อสินค้า!E:E)-SUMIF(ขายสินค้า!B:B,A339,ขายสินค้า!E:E),)</f>
        <v>0</v>
      </c>
      <c r="D339" s="23">
        <f>IF(A339&lt;&gt;"",SUMIF(ซื้อสินค้า!B:B,A339,ซื้อสินค้า!M:M),)</f>
        <v>0</v>
      </c>
      <c r="E339" s="23">
        <f t="shared" si="1"/>
        <v>0</v>
      </c>
    </row>
    <row r="340" spans="1:5" ht="12.75">
      <c r="A340" s="6"/>
      <c r="B340" s="9">
        <f>IFERROR(VLOOKUP(A340,ชื่อสินค้า!A:D,4,FALSE),)</f>
        <v>0</v>
      </c>
      <c r="C340" s="9">
        <f>IF(A340&lt;&gt;"",SUMIF(ซื้อสินค้า!B:B,A340,ซื้อสินค้า!E:E)-SUMIF(ขายสินค้า!B:B,A340,ขายสินค้า!E:E),)</f>
        <v>0</v>
      </c>
      <c r="D340" s="23">
        <f>IF(A340&lt;&gt;"",SUMIF(ซื้อสินค้า!B:B,A340,ซื้อสินค้า!M:M),)</f>
        <v>0</v>
      </c>
      <c r="E340" s="23">
        <f t="shared" si="1"/>
        <v>0</v>
      </c>
    </row>
    <row r="341" spans="1:5" ht="12.75">
      <c r="A341" s="6"/>
      <c r="B341" s="9">
        <f>IFERROR(VLOOKUP(A341,ชื่อสินค้า!A:D,4,FALSE),)</f>
        <v>0</v>
      </c>
      <c r="C341" s="9">
        <f>IF(A341&lt;&gt;"",SUMIF(ซื้อสินค้า!B:B,A341,ซื้อสินค้า!E:E)-SUMIF(ขายสินค้า!B:B,A341,ขายสินค้า!E:E),)</f>
        <v>0</v>
      </c>
      <c r="D341" s="23">
        <f>IF(A341&lt;&gt;"",SUMIF(ซื้อสินค้า!B:B,A341,ซื้อสินค้า!M:M),)</f>
        <v>0</v>
      </c>
      <c r="E341" s="23">
        <f t="shared" si="1"/>
        <v>0</v>
      </c>
    </row>
    <row r="342" spans="1:5" ht="12.75">
      <c r="A342" s="6"/>
      <c r="B342" s="9">
        <f>IFERROR(VLOOKUP(A342,ชื่อสินค้า!A:D,4,FALSE),)</f>
        <v>0</v>
      </c>
      <c r="C342" s="9">
        <f>IF(A342&lt;&gt;"",SUMIF(ซื้อสินค้า!B:B,A342,ซื้อสินค้า!E:E)-SUMIF(ขายสินค้า!B:B,A342,ขายสินค้า!E:E),)</f>
        <v>0</v>
      </c>
      <c r="D342" s="23">
        <f>IF(A342&lt;&gt;"",SUMIF(ซื้อสินค้า!B:B,A342,ซื้อสินค้า!M:M),)</f>
        <v>0</v>
      </c>
      <c r="E342" s="23">
        <f t="shared" si="1"/>
        <v>0</v>
      </c>
    </row>
    <row r="343" spans="1:5" ht="12.75">
      <c r="A343" s="6"/>
      <c r="B343" s="9">
        <f>IFERROR(VLOOKUP(A343,ชื่อสินค้า!A:D,4,FALSE),)</f>
        <v>0</v>
      </c>
      <c r="C343" s="9">
        <f>IF(A343&lt;&gt;"",SUMIF(ซื้อสินค้า!B:B,A343,ซื้อสินค้า!E:E)-SUMIF(ขายสินค้า!B:B,A343,ขายสินค้า!E:E),)</f>
        <v>0</v>
      </c>
      <c r="D343" s="23">
        <f>IF(A343&lt;&gt;"",SUMIF(ซื้อสินค้า!B:B,A343,ซื้อสินค้า!M:M),)</f>
        <v>0</v>
      </c>
      <c r="E343" s="23">
        <f t="shared" si="1"/>
        <v>0</v>
      </c>
    </row>
    <row r="344" spans="1:5" ht="12.75">
      <c r="A344" s="6"/>
      <c r="B344" s="9">
        <f>IFERROR(VLOOKUP(A344,ชื่อสินค้า!A:D,4,FALSE),)</f>
        <v>0</v>
      </c>
      <c r="C344" s="9">
        <f>IF(A344&lt;&gt;"",SUMIF(ซื้อสินค้า!B:B,A344,ซื้อสินค้า!E:E)-SUMIF(ขายสินค้า!B:B,A344,ขายสินค้า!E:E),)</f>
        <v>0</v>
      </c>
      <c r="D344" s="23">
        <f>IF(A344&lt;&gt;"",SUMIF(ซื้อสินค้า!B:B,A344,ซื้อสินค้า!M:M),)</f>
        <v>0</v>
      </c>
      <c r="E344" s="23">
        <f t="shared" si="1"/>
        <v>0</v>
      </c>
    </row>
    <row r="345" spans="1:5" ht="12.75">
      <c r="A345" s="6"/>
      <c r="B345" s="9">
        <f>IFERROR(VLOOKUP(A345,ชื่อสินค้า!A:D,4,FALSE),)</f>
        <v>0</v>
      </c>
      <c r="C345" s="9">
        <f>IF(A345&lt;&gt;"",SUMIF(ซื้อสินค้า!B:B,A345,ซื้อสินค้า!E:E)-SUMIF(ขายสินค้า!B:B,A345,ขายสินค้า!E:E),)</f>
        <v>0</v>
      </c>
      <c r="D345" s="23">
        <f>IF(A345&lt;&gt;"",SUMIF(ซื้อสินค้า!B:B,A345,ซื้อสินค้า!M:M),)</f>
        <v>0</v>
      </c>
      <c r="E345" s="23">
        <f t="shared" si="1"/>
        <v>0</v>
      </c>
    </row>
    <row r="346" spans="1:5" ht="12.75">
      <c r="A346" s="6"/>
      <c r="B346" s="9">
        <f>IFERROR(VLOOKUP(A346,ชื่อสินค้า!A:D,4,FALSE),)</f>
        <v>0</v>
      </c>
      <c r="C346" s="9">
        <f>IF(A346&lt;&gt;"",SUMIF(ซื้อสินค้า!B:B,A346,ซื้อสินค้า!E:E)-SUMIF(ขายสินค้า!B:B,A346,ขายสินค้า!E:E),)</f>
        <v>0</v>
      </c>
      <c r="D346" s="23">
        <f>IF(A346&lt;&gt;"",SUMIF(ซื้อสินค้า!B:B,A346,ซื้อสินค้า!M:M),)</f>
        <v>0</v>
      </c>
      <c r="E346" s="23">
        <f t="shared" si="1"/>
        <v>0</v>
      </c>
    </row>
    <row r="347" spans="1:5" ht="12.75">
      <c r="A347" s="6"/>
      <c r="B347" s="9">
        <f>IFERROR(VLOOKUP(A347,ชื่อสินค้า!A:D,4,FALSE),)</f>
        <v>0</v>
      </c>
      <c r="C347" s="9">
        <f>IF(A347&lt;&gt;"",SUMIF(ซื้อสินค้า!B:B,A347,ซื้อสินค้า!E:E)-SUMIF(ขายสินค้า!B:B,A347,ขายสินค้า!E:E),)</f>
        <v>0</v>
      </c>
      <c r="D347" s="23">
        <f>IF(A347&lt;&gt;"",SUMIF(ซื้อสินค้า!B:B,A347,ซื้อสินค้า!M:M),)</f>
        <v>0</v>
      </c>
      <c r="E347" s="23">
        <f t="shared" si="1"/>
        <v>0</v>
      </c>
    </row>
    <row r="348" spans="1:5" ht="12.75">
      <c r="A348" s="6"/>
      <c r="B348" s="9">
        <f>IFERROR(VLOOKUP(A348,ชื่อสินค้า!A:D,4,FALSE),)</f>
        <v>0</v>
      </c>
      <c r="C348" s="9">
        <f>IF(A348&lt;&gt;"",SUMIF(ซื้อสินค้า!B:B,A348,ซื้อสินค้า!E:E)-SUMIF(ขายสินค้า!B:B,A348,ขายสินค้า!E:E),)</f>
        <v>0</v>
      </c>
      <c r="D348" s="23">
        <f>IF(A348&lt;&gt;"",SUMIF(ซื้อสินค้า!B:B,A348,ซื้อสินค้า!M:M),)</f>
        <v>0</v>
      </c>
      <c r="E348" s="23">
        <f t="shared" si="1"/>
        <v>0</v>
      </c>
    </row>
    <row r="349" spans="1:5" ht="12.75">
      <c r="A349" s="6"/>
      <c r="B349" s="9">
        <f>IFERROR(VLOOKUP(A349,ชื่อสินค้า!A:D,4,FALSE),)</f>
        <v>0</v>
      </c>
      <c r="C349" s="9">
        <f>IF(A349&lt;&gt;"",SUMIF(ซื้อสินค้า!B:B,A349,ซื้อสินค้า!E:E)-SUMIF(ขายสินค้า!B:B,A349,ขายสินค้า!E:E),)</f>
        <v>0</v>
      </c>
      <c r="D349" s="23">
        <f>IF(A349&lt;&gt;"",SUMIF(ซื้อสินค้า!B:B,A349,ซื้อสินค้า!M:M),)</f>
        <v>0</v>
      </c>
      <c r="E349" s="23">
        <f t="shared" si="1"/>
        <v>0</v>
      </c>
    </row>
    <row r="350" spans="1:5" ht="12.75">
      <c r="A350" s="6"/>
      <c r="B350" s="9">
        <f>IFERROR(VLOOKUP(A350,ชื่อสินค้า!A:D,4,FALSE),)</f>
        <v>0</v>
      </c>
      <c r="C350" s="9">
        <f>IF(A350&lt;&gt;"",SUMIF(ซื้อสินค้า!B:B,A350,ซื้อสินค้า!E:E)-SUMIF(ขายสินค้า!B:B,A350,ขายสินค้า!E:E),)</f>
        <v>0</v>
      </c>
      <c r="D350" s="23">
        <f>IF(A350&lt;&gt;"",SUMIF(ซื้อสินค้า!B:B,A350,ซื้อสินค้า!M:M),)</f>
        <v>0</v>
      </c>
      <c r="E350" s="23">
        <f t="shared" si="1"/>
        <v>0</v>
      </c>
    </row>
    <row r="351" spans="1:5" ht="12.75">
      <c r="A351" s="6"/>
      <c r="B351" s="9">
        <f>IFERROR(VLOOKUP(A351,ชื่อสินค้า!A:D,4,FALSE),)</f>
        <v>0</v>
      </c>
      <c r="C351" s="9">
        <f>IF(A351&lt;&gt;"",SUMIF(ซื้อสินค้า!B:B,A351,ซื้อสินค้า!E:E)-SUMIF(ขายสินค้า!B:B,A351,ขายสินค้า!E:E),)</f>
        <v>0</v>
      </c>
      <c r="D351" s="23">
        <f>IF(A351&lt;&gt;"",SUMIF(ซื้อสินค้า!B:B,A351,ซื้อสินค้า!M:M),)</f>
        <v>0</v>
      </c>
      <c r="E351" s="23">
        <f t="shared" si="1"/>
        <v>0</v>
      </c>
    </row>
    <row r="352" spans="1:5" ht="12.75">
      <c r="A352" s="6"/>
      <c r="B352" s="9">
        <f>IFERROR(VLOOKUP(A352,ชื่อสินค้า!A:D,4,FALSE),)</f>
        <v>0</v>
      </c>
      <c r="C352" s="9">
        <f>IF(A352&lt;&gt;"",SUMIF(ซื้อสินค้า!B:B,A352,ซื้อสินค้า!E:E)-SUMIF(ขายสินค้า!B:B,A352,ขายสินค้า!E:E),)</f>
        <v>0</v>
      </c>
      <c r="D352" s="23">
        <f>IF(A352&lt;&gt;"",SUMIF(ซื้อสินค้า!B:B,A352,ซื้อสินค้า!M:M),)</f>
        <v>0</v>
      </c>
      <c r="E352" s="23">
        <f t="shared" si="1"/>
        <v>0</v>
      </c>
    </row>
    <row r="353" spans="1:5" ht="12.75">
      <c r="A353" s="6"/>
      <c r="B353" s="9">
        <f>IFERROR(VLOOKUP(A353,ชื่อสินค้า!A:D,4,FALSE),)</f>
        <v>0</v>
      </c>
      <c r="C353" s="9">
        <f>IF(A353&lt;&gt;"",SUMIF(ซื้อสินค้า!B:B,A353,ซื้อสินค้า!E:E)-SUMIF(ขายสินค้า!B:B,A353,ขายสินค้า!E:E),)</f>
        <v>0</v>
      </c>
      <c r="D353" s="23">
        <f>IF(A353&lt;&gt;"",SUMIF(ซื้อสินค้า!B:B,A353,ซื้อสินค้า!M:M),)</f>
        <v>0</v>
      </c>
      <c r="E353" s="23">
        <f t="shared" si="1"/>
        <v>0</v>
      </c>
    </row>
    <row r="354" spans="1:5" ht="12.75">
      <c r="A354" s="6"/>
      <c r="B354" s="9">
        <f>IFERROR(VLOOKUP(A354,ชื่อสินค้า!A:D,4,FALSE),)</f>
        <v>0</v>
      </c>
      <c r="C354" s="9">
        <f>IF(A354&lt;&gt;"",SUMIF(ซื้อสินค้า!B:B,A354,ซื้อสินค้า!E:E)-SUMIF(ขายสินค้า!B:B,A354,ขายสินค้า!E:E),)</f>
        <v>0</v>
      </c>
      <c r="D354" s="23">
        <f>IF(A354&lt;&gt;"",SUMIF(ซื้อสินค้า!B:B,A354,ซื้อสินค้า!M:M),)</f>
        <v>0</v>
      </c>
      <c r="E354" s="23">
        <f t="shared" si="1"/>
        <v>0</v>
      </c>
    </row>
    <row r="355" spans="1:5" ht="12.75">
      <c r="A355" s="6"/>
      <c r="B355" s="9">
        <f>IFERROR(VLOOKUP(A355,ชื่อสินค้า!A:D,4,FALSE),)</f>
        <v>0</v>
      </c>
      <c r="C355" s="9">
        <f>IF(A355&lt;&gt;"",SUMIF(ซื้อสินค้า!B:B,A355,ซื้อสินค้า!E:E)-SUMIF(ขายสินค้า!B:B,A355,ขายสินค้า!E:E),)</f>
        <v>0</v>
      </c>
      <c r="D355" s="23">
        <f>IF(A355&lt;&gt;"",SUMIF(ซื้อสินค้า!B:B,A355,ซื้อสินค้า!M:M),)</f>
        <v>0</v>
      </c>
      <c r="E355" s="23">
        <f t="shared" si="1"/>
        <v>0</v>
      </c>
    </row>
    <row r="356" spans="1:5" ht="12.75">
      <c r="A356" s="6"/>
      <c r="B356" s="9">
        <f>IFERROR(VLOOKUP(A356,ชื่อสินค้า!A:D,4,FALSE),)</f>
        <v>0</v>
      </c>
      <c r="C356" s="9">
        <f>IF(A356&lt;&gt;"",SUMIF(ซื้อสินค้า!B:B,A356,ซื้อสินค้า!E:E)-SUMIF(ขายสินค้า!B:B,A356,ขายสินค้า!E:E),)</f>
        <v>0</v>
      </c>
      <c r="D356" s="23">
        <f>IF(A356&lt;&gt;"",SUMIF(ซื้อสินค้า!B:B,A356,ซื้อสินค้า!M:M),)</f>
        <v>0</v>
      </c>
      <c r="E356" s="23">
        <f t="shared" si="1"/>
        <v>0</v>
      </c>
    </row>
    <row r="357" spans="1:5" ht="12.75">
      <c r="A357" s="6"/>
      <c r="B357" s="9">
        <f>IFERROR(VLOOKUP(A357,ชื่อสินค้า!A:D,4,FALSE),)</f>
        <v>0</v>
      </c>
      <c r="C357" s="9">
        <f>IF(A357&lt;&gt;"",SUMIF(ซื้อสินค้า!B:B,A357,ซื้อสินค้า!E:E)-SUMIF(ขายสินค้า!B:B,A357,ขายสินค้า!E:E),)</f>
        <v>0</v>
      </c>
      <c r="D357" s="23">
        <f>IF(A357&lt;&gt;"",SUMIF(ซื้อสินค้า!B:B,A357,ซื้อสินค้า!M:M),)</f>
        <v>0</v>
      </c>
      <c r="E357" s="23">
        <f t="shared" si="1"/>
        <v>0</v>
      </c>
    </row>
    <row r="358" spans="1:5" ht="12.75">
      <c r="A358" s="6"/>
      <c r="B358" s="9">
        <f>IFERROR(VLOOKUP(A358,ชื่อสินค้า!A:D,4,FALSE),)</f>
        <v>0</v>
      </c>
      <c r="C358" s="9">
        <f>IF(A358&lt;&gt;"",SUMIF(ซื้อสินค้า!B:B,A358,ซื้อสินค้า!E:E)-SUMIF(ขายสินค้า!B:B,A358,ขายสินค้า!E:E),)</f>
        <v>0</v>
      </c>
      <c r="D358" s="23">
        <f>IF(A358&lt;&gt;"",SUMIF(ซื้อสินค้า!B:B,A358,ซื้อสินค้า!M:M),)</f>
        <v>0</v>
      </c>
      <c r="E358" s="23">
        <f t="shared" si="1"/>
        <v>0</v>
      </c>
    </row>
    <row r="359" spans="1:5" ht="12.75">
      <c r="A359" s="6"/>
      <c r="B359" s="9">
        <f>IFERROR(VLOOKUP(A359,ชื่อสินค้า!A:D,4,FALSE),)</f>
        <v>0</v>
      </c>
      <c r="C359" s="9">
        <f>IF(A359&lt;&gt;"",SUMIF(ซื้อสินค้า!B:B,A359,ซื้อสินค้า!E:E)-SUMIF(ขายสินค้า!B:B,A359,ขายสินค้า!E:E),)</f>
        <v>0</v>
      </c>
      <c r="D359" s="23">
        <f>IF(A359&lt;&gt;"",SUMIF(ซื้อสินค้า!B:B,A359,ซื้อสินค้า!M:M),)</f>
        <v>0</v>
      </c>
      <c r="E359" s="23">
        <f t="shared" si="1"/>
        <v>0</v>
      </c>
    </row>
    <row r="360" spans="1:5" ht="12.75">
      <c r="A360" s="6"/>
      <c r="B360" s="9">
        <f>IFERROR(VLOOKUP(A360,ชื่อสินค้า!A:D,4,FALSE),)</f>
        <v>0</v>
      </c>
      <c r="C360" s="9">
        <f>IF(A360&lt;&gt;"",SUMIF(ซื้อสินค้า!B:B,A360,ซื้อสินค้า!E:E)-SUMIF(ขายสินค้า!B:B,A360,ขายสินค้า!E:E),)</f>
        <v>0</v>
      </c>
      <c r="D360" s="23">
        <f>IF(A360&lt;&gt;"",SUMIF(ซื้อสินค้า!B:B,A360,ซื้อสินค้า!M:M),)</f>
        <v>0</v>
      </c>
      <c r="E360" s="23">
        <f t="shared" si="1"/>
        <v>0</v>
      </c>
    </row>
    <row r="361" spans="1:5" ht="12.75">
      <c r="A361" s="6"/>
      <c r="B361" s="9">
        <f>IFERROR(VLOOKUP(A361,ชื่อสินค้า!A:D,4,FALSE),)</f>
        <v>0</v>
      </c>
      <c r="C361" s="9">
        <f>IF(A361&lt;&gt;"",SUMIF(ซื้อสินค้า!B:B,A361,ซื้อสินค้า!E:E)-SUMIF(ขายสินค้า!B:B,A361,ขายสินค้า!E:E),)</f>
        <v>0</v>
      </c>
      <c r="D361" s="23">
        <f>IF(A361&lt;&gt;"",SUMIF(ซื้อสินค้า!B:B,A361,ซื้อสินค้า!M:M),)</f>
        <v>0</v>
      </c>
      <c r="E361" s="23">
        <f t="shared" si="1"/>
        <v>0</v>
      </c>
    </row>
    <row r="362" spans="1:5" ht="12.75">
      <c r="A362" s="6"/>
      <c r="B362" s="9">
        <f>IFERROR(VLOOKUP(A362,ชื่อสินค้า!A:D,4,FALSE),)</f>
        <v>0</v>
      </c>
      <c r="C362" s="9">
        <f>IF(A362&lt;&gt;"",SUMIF(ซื้อสินค้า!B:B,A362,ซื้อสินค้า!E:E)-SUMIF(ขายสินค้า!B:B,A362,ขายสินค้า!E:E),)</f>
        <v>0</v>
      </c>
      <c r="D362" s="23">
        <f>IF(A362&lt;&gt;"",SUMIF(ซื้อสินค้า!B:B,A362,ซื้อสินค้า!M:M),)</f>
        <v>0</v>
      </c>
      <c r="E362" s="23">
        <f t="shared" si="1"/>
        <v>0</v>
      </c>
    </row>
    <row r="363" spans="1:5" ht="12.75">
      <c r="A363" s="6"/>
      <c r="B363" s="9">
        <f>IFERROR(VLOOKUP(A363,ชื่อสินค้า!A:D,4,FALSE),)</f>
        <v>0</v>
      </c>
      <c r="C363" s="9">
        <f>IF(A363&lt;&gt;"",SUMIF(ซื้อสินค้า!B:B,A363,ซื้อสินค้า!E:E)-SUMIF(ขายสินค้า!B:B,A363,ขายสินค้า!E:E),)</f>
        <v>0</v>
      </c>
      <c r="D363" s="23">
        <f>IF(A363&lt;&gt;"",SUMIF(ซื้อสินค้า!B:B,A363,ซื้อสินค้า!M:M),)</f>
        <v>0</v>
      </c>
      <c r="E363" s="23">
        <f t="shared" si="1"/>
        <v>0</v>
      </c>
    </row>
    <row r="364" spans="1:5" ht="12.75">
      <c r="A364" s="6"/>
      <c r="B364" s="9">
        <f>IFERROR(VLOOKUP(A364,ชื่อสินค้า!A:D,4,FALSE),)</f>
        <v>0</v>
      </c>
      <c r="C364" s="9">
        <f>IF(A364&lt;&gt;"",SUMIF(ซื้อสินค้า!B:B,A364,ซื้อสินค้า!E:E)-SUMIF(ขายสินค้า!B:B,A364,ขายสินค้า!E:E),)</f>
        <v>0</v>
      </c>
      <c r="D364" s="23">
        <f>IF(A364&lt;&gt;"",SUMIF(ซื้อสินค้า!B:B,A364,ซื้อสินค้า!M:M),)</f>
        <v>0</v>
      </c>
      <c r="E364" s="23">
        <f t="shared" si="1"/>
        <v>0</v>
      </c>
    </row>
    <row r="365" spans="1:5" ht="12.75">
      <c r="A365" s="6"/>
      <c r="B365" s="9">
        <f>IFERROR(VLOOKUP(A365,ชื่อสินค้า!A:D,4,FALSE),)</f>
        <v>0</v>
      </c>
      <c r="C365" s="9">
        <f>IF(A365&lt;&gt;"",SUMIF(ซื้อสินค้า!B:B,A365,ซื้อสินค้า!E:E)-SUMIF(ขายสินค้า!B:B,A365,ขายสินค้า!E:E),)</f>
        <v>0</v>
      </c>
      <c r="D365" s="23">
        <f>IF(A365&lt;&gt;"",SUMIF(ซื้อสินค้า!B:B,A365,ซื้อสินค้า!M:M),)</f>
        <v>0</v>
      </c>
      <c r="E365" s="23">
        <f t="shared" si="1"/>
        <v>0</v>
      </c>
    </row>
    <row r="366" spans="1:5" ht="12.75">
      <c r="A366" s="6"/>
      <c r="B366" s="9">
        <f>IFERROR(VLOOKUP(A366,ชื่อสินค้า!A:D,4,FALSE),)</f>
        <v>0</v>
      </c>
      <c r="C366" s="9">
        <f>IF(A366&lt;&gt;"",SUMIF(ซื้อสินค้า!B:B,A366,ซื้อสินค้า!E:E)-SUMIF(ขายสินค้า!B:B,A366,ขายสินค้า!E:E),)</f>
        <v>0</v>
      </c>
      <c r="D366" s="23">
        <f>IF(A366&lt;&gt;"",SUMIF(ซื้อสินค้า!B:B,A366,ซื้อสินค้า!M:M),)</f>
        <v>0</v>
      </c>
      <c r="E366" s="23">
        <f t="shared" si="1"/>
        <v>0</v>
      </c>
    </row>
    <row r="367" spans="1:5" ht="12.75">
      <c r="A367" s="6"/>
      <c r="B367" s="9">
        <f>IFERROR(VLOOKUP(A367,ชื่อสินค้า!A:D,4,FALSE),)</f>
        <v>0</v>
      </c>
      <c r="C367" s="9">
        <f>IF(A367&lt;&gt;"",SUMIF(ซื้อสินค้า!B:B,A367,ซื้อสินค้า!E:E)-SUMIF(ขายสินค้า!B:B,A367,ขายสินค้า!E:E),)</f>
        <v>0</v>
      </c>
      <c r="D367" s="23">
        <f>IF(A367&lt;&gt;"",SUMIF(ซื้อสินค้า!B:B,A367,ซื้อสินค้า!M:M),)</f>
        <v>0</v>
      </c>
      <c r="E367" s="23">
        <f t="shared" si="1"/>
        <v>0</v>
      </c>
    </row>
    <row r="368" spans="1:5" ht="12.75">
      <c r="A368" s="6"/>
      <c r="B368" s="9">
        <f>IFERROR(VLOOKUP(A368,ชื่อสินค้า!A:D,4,FALSE),)</f>
        <v>0</v>
      </c>
      <c r="C368" s="9">
        <f>IF(A368&lt;&gt;"",SUMIF(ซื้อสินค้า!B:B,A368,ซื้อสินค้า!E:E)-SUMIF(ขายสินค้า!B:B,A368,ขายสินค้า!E:E),)</f>
        <v>0</v>
      </c>
      <c r="D368" s="23">
        <f>IF(A368&lt;&gt;"",SUMIF(ซื้อสินค้า!B:B,A368,ซื้อสินค้า!M:M),)</f>
        <v>0</v>
      </c>
      <c r="E368" s="23">
        <f t="shared" si="1"/>
        <v>0</v>
      </c>
    </row>
    <row r="369" spans="1:5" ht="12.75">
      <c r="A369" s="6"/>
      <c r="B369" s="9">
        <f>IFERROR(VLOOKUP(A369,ชื่อสินค้า!A:D,4,FALSE),)</f>
        <v>0</v>
      </c>
      <c r="C369" s="9">
        <f>IF(A369&lt;&gt;"",SUMIF(ซื้อสินค้า!B:B,A369,ซื้อสินค้า!E:E)-SUMIF(ขายสินค้า!B:B,A369,ขายสินค้า!E:E),)</f>
        <v>0</v>
      </c>
      <c r="D369" s="23">
        <f>IF(A369&lt;&gt;"",SUMIF(ซื้อสินค้า!B:B,A369,ซื้อสินค้า!M:M),)</f>
        <v>0</v>
      </c>
      <c r="E369" s="23">
        <f t="shared" si="1"/>
        <v>0</v>
      </c>
    </row>
    <row r="370" spans="1:5" ht="12.75">
      <c r="A370" s="6"/>
      <c r="B370" s="9">
        <f>IFERROR(VLOOKUP(A370,ชื่อสินค้า!A:D,4,FALSE),)</f>
        <v>0</v>
      </c>
      <c r="C370" s="9">
        <f>IF(A370&lt;&gt;"",SUMIF(ซื้อสินค้า!B:B,A370,ซื้อสินค้า!E:E)-SUMIF(ขายสินค้า!B:B,A370,ขายสินค้า!E:E),)</f>
        <v>0</v>
      </c>
      <c r="D370" s="23">
        <f>IF(A370&lt;&gt;"",SUMIF(ซื้อสินค้า!B:B,A370,ซื้อสินค้า!M:M),)</f>
        <v>0</v>
      </c>
      <c r="E370" s="23">
        <f t="shared" si="1"/>
        <v>0</v>
      </c>
    </row>
    <row r="371" spans="1:5" ht="12.75">
      <c r="A371" s="6"/>
      <c r="B371" s="9">
        <f>IFERROR(VLOOKUP(A371,ชื่อสินค้า!A:D,4,FALSE),)</f>
        <v>0</v>
      </c>
      <c r="C371" s="9">
        <f>IF(A371&lt;&gt;"",SUMIF(ซื้อสินค้า!B:B,A371,ซื้อสินค้า!E:E)-SUMIF(ขายสินค้า!B:B,A371,ขายสินค้า!E:E),)</f>
        <v>0</v>
      </c>
      <c r="D371" s="23">
        <f>IF(A371&lt;&gt;"",SUMIF(ซื้อสินค้า!B:B,A371,ซื้อสินค้า!M:M),)</f>
        <v>0</v>
      </c>
      <c r="E371" s="23">
        <f t="shared" si="1"/>
        <v>0</v>
      </c>
    </row>
    <row r="372" spans="1:5" ht="12.75">
      <c r="A372" s="6"/>
      <c r="B372" s="9">
        <f>IFERROR(VLOOKUP(A372,ชื่อสินค้า!A:D,4,FALSE),)</f>
        <v>0</v>
      </c>
      <c r="C372" s="9">
        <f>IF(A372&lt;&gt;"",SUMIF(ซื้อสินค้า!B:B,A372,ซื้อสินค้า!E:E)-SUMIF(ขายสินค้า!B:B,A372,ขายสินค้า!E:E),)</f>
        <v>0</v>
      </c>
      <c r="D372" s="23">
        <f>IF(A372&lt;&gt;"",SUMIF(ซื้อสินค้า!B:B,A372,ซื้อสินค้า!M:M),)</f>
        <v>0</v>
      </c>
      <c r="E372" s="23">
        <f t="shared" si="1"/>
        <v>0</v>
      </c>
    </row>
    <row r="373" spans="1:5" ht="12.75">
      <c r="A373" s="6"/>
      <c r="B373" s="9">
        <f>IFERROR(VLOOKUP(A373,ชื่อสินค้า!A:D,4,FALSE),)</f>
        <v>0</v>
      </c>
      <c r="C373" s="9">
        <f>IF(A373&lt;&gt;"",SUMIF(ซื้อสินค้า!B:B,A373,ซื้อสินค้า!E:E)-SUMIF(ขายสินค้า!B:B,A373,ขายสินค้า!E:E),)</f>
        <v>0</v>
      </c>
      <c r="D373" s="23">
        <f>IF(A373&lt;&gt;"",SUMIF(ซื้อสินค้า!B:B,A373,ซื้อสินค้า!M:M),)</f>
        <v>0</v>
      </c>
      <c r="E373" s="23">
        <f t="shared" si="1"/>
        <v>0</v>
      </c>
    </row>
    <row r="374" spans="1:5" ht="12.75">
      <c r="A374" s="6"/>
      <c r="B374" s="9">
        <f>IFERROR(VLOOKUP(A374,ชื่อสินค้า!A:D,4,FALSE),)</f>
        <v>0</v>
      </c>
      <c r="C374" s="9">
        <f>IF(A374&lt;&gt;"",SUMIF(ซื้อสินค้า!B:B,A374,ซื้อสินค้า!E:E)-SUMIF(ขายสินค้า!B:B,A374,ขายสินค้า!E:E),)</f>
        <v>0</v>
      </c>
      <c r="D374" s="23">
        <f>IF(A374&lt;&gt;"",SUMIF(ซื้อสินค้า!B:B,A374,ซื้อสินค้า!M:M),)</f>
        <v>0</v>
      </c>
      <c r="E374" s="23">
        <f t="shared" si="1"/>
        <v>0</v>
      </c>
    </row>
    <row r="375" spans="1:5" ht="12.75">
      <c r="A375" s="6"/>
      <c r="B375" s="9">
        <f>IFERROR(VLOOKUP(A375,ชื่อสินค้า!A:D,4,FALSE),)</f>
        <v>0</v>
      </c>
      <c r="C375" s="9">
        <f>IF(A375&lt;&gt;"",SUMIF(ซื้อสินค้า!B:B,A375,ซื้อสินค้า!E:E)-SUMIF(ขายสินค้า!B:B,A375,ขายสินค้า!E:E),)</f>
        <v>0</v>
      </c>
      <c r="D375" s="23">
        <f>IF(A375&lt;&gt;"",SUMIF(ซื้อสินค้า!B:B,A375,ซื้อสินค้า!M:M),)</f>
        <v>0</v>
      </c>
      <c r="E375" s="23">
        <f t="shared" si="1"/>
        <v>0</v>
      </c>
    </row>
    <row r="376" spans="1:5" ht="12.75">
      <c r="A376" s="6"/>
      <c r="B376" s="9">
        <f>IFERROR(VLOOKUP(A376,ชื่อสินค้า!A:D,4,FALSE),)</f>
        <v>0</v>
      </c>
      <c r="C376" s="9">
        <f>IF(A376&lt;&gt;"",SUMIF(ซื้อสินค้า!B:B,A376,ซื้อสินค้า!E:E)-SUMIF(ขายสินค้า!B:B,A376,ขายสินค้า!E:E),)</f>
        <v>0</v>
      </c>
      <c r="D376" s="23">
        <f>IF(A376&lt;&gt;"",SUMIF(ซื้อสินค้า!B:B,A376,ซื้อสินค้า!M:M),)</f>
        <v>0</v>
      </c>
      <c r="E376" s="23">
        <f t="shared" si="1"/>
        <v>0</v>
      </c>
    </row>
    <row r="377" spans="1:5" ht="12.75">
      <c r="A377" s="6"/>
      <c r="B377" s="9">
        <f>IFERROR(VLOOKUP(A377,ชื่อสินค้า!A:D,4,FALSE),)</f>
        <v>0</v>
      </c>
      <c r="C377" s="9">
        <f>IF(A377&lt;&gt;"",SUMIF(ซื้อสินค้า!B:B,A377,ซื้อสินค้า!E:E)-SUMIF(ขายสินค้า!B:B,A377,ขายสินค้า!E:E),)</f>
        <v>0</v>
      </c>
      <c r="D377" s="23">
        <f>IF(A377&lt;&gt;"",SUMIF(ซื้อสินค้า!B:B,A377,ซื้อสินค้า!M:M),)</f>
        <v>0</v>
      </c>
      <c r="E377" s="23">
        <f t="shared" si="1"/>
        <v>0</v>
      </c>
    </row>
    <row r="378" spans="1:5" ht="12.75">
      <c r="A378" s="6"/>
      <c r="B378" s="9">
        <f>IFERROR(VLOOKUP(A378,ชื่อสินค้า!A:D,4,FALSE),)</f>
        <v>0</v>
      </c>
      <c r="C378" s="9">
        <f>IF(A378&lt;&gt;"",SUMIF(ซื้อสินค้า!B:B,A378,ซื้อสินค้า!E:E)-SUMIF(ขายสินค้า!B:B,A378,ขายสินค้า!E:E),)</f>
        <v>0</v>
      </c>
      <c r="D378" s="23">
        <f>IF(A378&lt;&gt;"",SUMIF(ซื้อสินค้า!B:B,A378,ซื้อสินค้า!M:M),)</f>
        <v>0</v>
      </c>
      <c r="E378" s="23">
        <f t="shared" si="1"/>
        <v>0</v>
      </c>
    </row>
    <row r="379" spans="1:5" ht="12.75">
      <c r="A379" s="6"/>
      <c r="B379" s="9">
        <f>IFERROR(VLOOKUP(A379,ชื่อสินค้า!A:D,4,FALSE),)</f>
        <v>0</v>
      </c>
      <c r="C379" s="9">
        <f>IF(A379&lt;&gt;"",SUMIF(ซื้อสินค้า!B:B,A379,ซื้อสินค้า!E:E)-SUMIF(ขายสินค้า!B:B,A379,ขายสินค้า!E:E),)</f>
        <v>0</v>
      </c>
      <c r="D379" s="23">
        <f>IF(A379&lt;&gt;"",SUMIF(ซื้อสินค้า!B:B,A379,ซื้อสินค้า!M:M),)</f>
        <v>0</v>
      </c>
      <c r="E379" s="23">
        <f t="shared" si="1"/>
        <v>0</v>
      </c>
    </row>
    <row r="380" spans="1:5" ht="12.75">
      <c r="A380" s="6"/>
      <c r="B380" s="9">
        <f>IFERROR(VLOOKUP(A380,ชื่อสินค้า!A:D,4,FALSE),)</f>
        <v>0</v>
      </c>
      <c r="C380" s="9">
        <f>IF(A380&lt;&gt;"",SUMIF(ซื้อสินค้า!B:B,A380,ซื้อสินค้า!E:E)-SUMIF(ขายสินค้า!B:B,A380,ขายสินค้า!E:E),)</f>
        <v>0</v>
      </c>
      <c r="D380" s="23">
        <f>IF(A380&lt;&gt;"",SUMIF(ซื้อสินค้า!B:B,A380,ซื้อสินค้า!M:M),)</f>
        <v>0</v>
      </c>
      <c r="E380" s="23">
        <f t="shared" si="1"/>
        <v>0</v>
      </c>
    </row>
    <row r="381" spans="1:5" ht="12.75">
      <c r="A381" s="6"/>
      <c r="B381" s="9">
        <f>IFERROR(VLOOKUP(A381,ชื่อสินค้า!A:D,4,FALSE),)</f>
        <v>0</v>
      </c>
      <c r="C381" s="9">
        <f>IF(A381&lt;&gt;"",SUMIF(ซื้อสินค้า!B:B,A381,ซื้อสินค้า!E:E)-SUMIF(ขายสินค้า!B:B,A381,ขายสินค้า!E:E),)</f>
        <v>0</v>
      </c>
      <c r="D381" s="23">
        <f>IF(A381&lt;&gt;"",SUMIF(ซื้อสินค้า!B:B,A381,ซื้อสินค้า!M:M),)</f>
        <v>0</v>
      </c>
      <c r="E381" s="23">
        <f t="shared" si="1"/>
        <v>0</v>
      </c>
    </row>
    <row r="382" spans="1:5" ht="12.75">
      <c r="A382" s="6"/>
      <c r="B382" s="9">
        <f>IFERROR(VLOOKUP(A382,ชื่อสินค้า!A:D,4,FALSE),)</f>
        <v>0</v>
      </c>
      <c r="C382" s="9">
        <f>IF(A382&lt;&gt;"",SUMIF(ซื้อสินค้า!B:B,A382,ซื้อสินค้า!E:E)-SUMIF(ขายสินค้า!B:B,A382,ขายสินค้า!E:E),)</f>
        <v>0</v>
      </c>
      <c r="D382" s="23">
        <f>IF(A382&lt;&gt;"",SUMIF(ซื้อสินค้า!B:B,A382,ซื้อสินค้า!M:M),)</f>
        <v>0</v>
      </c>
      <c r="E382" s="23">
        <f t="shared" si="1"/>
        <v>0</v>
      </c>
    </row>
    <row r="383" spans="1:5" ht="12.75">
      <c r="A383" s="6"/>
      <c r="B383" s="9">
        <f>IFERROR(VLOOKUP(A383,ชื่อสินค้า!A:D,4,FALSE),)</f>
        <v>0</v>
      </c>
      <c r="C383" s="9">
        <f>IF(A383&lt;&gt;"",SUMIF(ซื้อสินค้า!B:B,A383,ซื้อสินค้า!E:E)-SUMIF(ขายสินค้า!B:B,A383,ขายสินค้า!E:E),)</f>
        <v>0</v>
      </c>
      <c r="D383" s="23">
        <f>IF(A383&lt;&gt;"",SUMIF(ซื้อสินค้า!B:B,A383,ซื้อสินค้า!M:M),)</f>
        <v>0</v>
      </c>
      <c r="E383" s="23">
        <f t="shared" si="1"/>
        <v>0</v>
      </c>
    </row>
    <row r="384" spans="1:5" ht="12.75">
      <c r="A384" s="6"/>
      <c r="B384" s="9">
        <f>IFERROR(VLOOKUP(A384,ชื่อสินค้า!A:D,4,FALSE),)</f>
        <v>0</v>
      </c>
      <c r="C384" s="9">
        <f>IF(A384&lt;&gt;"",SUMIF(ซื้อสินค้า!B:B,A384,ซื้อสินค้า!E:E)-SUMIF(ขายสินค้า!B:B,A384,ขายสินค้า!E:E),)</f>
        <v>0</v>
      </c>
      <c r="D384" s="23">
        <f>IF(A384&lt;&gt;"",SUMIF(ซื้อสินค้า!B:B,A384,ซื้อสินค้า!M:M),)</f>
        <v>0</v>
      </c>
      <c r="E384" s="23">
        <f t="shared" si="1"/>
        <v>0</v>
      </c>
    </row>
    <row r="385" spans="1:5" ht="12.75">
      <c r="A385" s="6"/>
      <c r="B385" s="9">
        <f>IFERROR(VLOOKUP(A385,ชื่อสินค้า!A:D,4,FALSE),)</f>
        <v>0</v>
      </c>
      <c r="C385" s="9">
        <f>IF(A385&lt;&gt;"",SUMIF(ซื้อสินค้า!B:B,A385,ซื้อสินค้า!E:E)-SUMIF(ขายสินค้า!B:B,A385,ขายสินค้า!E:E),)</f>
        <v>0</v>
      </c>
      <c r="D385" s="23">
        <f>IF(A385&lt;&gt;"",SUMIF(ซื้อสินค้า!B:B,A385,ซื้อสินค้า!M:M),)</f>
        <v>0</v>
      </c>
      <c r="E385" s="23">
        <f t="shared" si="1"/>
        <v>0</v>
      </c>
    </row>
    <row r="386" spans="1:5" ht="12.75">
      <c r="A386" s="6"/>
      <c r="B386" s="9">
        <f>IFERROR(VLOOKUP(A386,ชื่อสินค้า!A:D,4,FALSE),)</f>
        <v>0</v>
      </c>
      <c r="C386" s="9">
        <f>IF(A386&lt;&gt;"",SUMIF(ซื้อสินค้า!B:B,A386,ซื้อสินค้า!E:E)-SUMIF(ขายสินค้า!B:B,A386,ขายสินค้า!E:E),)</f>
        <v>0</v>
      </c>
      <c r="D386" s="23">
        <f>IF(A386&lt;&gt;"",SUMIF(ซื้อสินค้า!B:B,A386,ซื้อสินค้า!M:M),)</f>
        <v>0</v>
      </c>
      <c r="E386" s="23">
        <f t="shared" si="1"/>
        <v>0</v>
      </c>
    </row>
    <row r="387" spans="1:5" ht="12.75">
      <c r="A387" s="6"/>
      <c r="B387" s="9">
        <f>IFERROR(VLOOKUP(A387,ชื่อสินค้า!A:D,4,FALSE),)</f>
        <v>0</v>
      </c>
      <c r="C387" s="9">
        <f>IF(A387&lt;&gt;"",SUMIF(ซื้อสินค้า!B:B,A387,ซื้อสินค้า!E:E)-SUMIF(ขายสินค้า!B:B,A387,ขายสินค้า!E:E),)</f>
        <v>0</v>
      </c>
      <c r="D387" s="23">
        <f>IF(A387&lt;&gt;"",SUMIF(ซื้อสินค้า!B:B,A387,ซื้อสินค้า!M:M),)</f>
        <v>0</v>
      </c>
      <c r="E387" s="23">
        <f t="shared" si="1"/>
        <v>0</v>
      </c>
    </row>
    <row r="388" spans="1:5" ht="12.75">
      <c r="A388" s="6"/>
      <c r="B388" s="9">
        <f>IFERROR(VLOOKUP(A388,ชื่อสินค้า!A:D,4,FALSE),)</f>
        <v>0</v>
      </c>
      <c r="C388" s="9">
        <f>IF(A388&lt;&gt;"",SUMIF(ซื้อสินค้า!B:B,A388,ซื้อสินค้า!E:E)-SUMIF(ขายสินค้า!B:B,A388,ขายสินค้า!E:E),)</f>
        <v>0</v>
      </c>
      <c r="D388" s="23">
        <f>IF(A388&lt;&gt;"",SUMIF(ซื้อสินค้า!B:B,A388,ซื้อสินค้า!M:M),)</f>
        <v>0</v>
      </c>
      <c r="E388" s="23">
        <f t="shared" si="1"/>
        <v>0</v>
      </c>
    </row>
    <row r="389" spans="1:5" ht="12.75">
      <c r="A389" s="6"/>
      <c r="B389" s="9">
        <f>IFERROR(VLOOKUP(A389,ชื่อสินค้า!A:D,4,FALSE),)</f>
        <v>0</v>
      </c>
      <c r="C389" s="9">
        <f>IF(A389&lt;&gt;"",SUMIF(ซื้อสินค้า!B:B,A389,ซื้อสินค้า!E:E)-SUMIF(ขายสินค้า!B:B,A389,ขายสินค้า!E:E),)</f>
        <v>0</v>
      </c>
      <c r="D389" s="23">
        <f>IF(A389&lt;&gt;"",SUMIF(ซื้อสินค้า!B:B,A389,ซื้อสินค้า!M:M),)</f>
        <v>0</v>
      </c>
      <c r="E389" s="23">
        <f t="shared" si="1"/>
        <v>0</v>
      </c>
    </row>
    <row r="390" spans="1:5" ht="12.75">
      <c r="A390" s="6"/>
      <c r="B390" s="9">
        <f>IFERROR(VLOOKUP(A390,ชื่อสินค้า!A:D,4,FALSE),)</f>
        <v>0</v>
      </c>
      <c r="C390" s="9">
        <f>IF(A390&lt;&gt;"",SUMIF(ซื้อสินค้า!B:B,A390,ซื้อสินค้า!E:E)-SUMIF(ขายสินค้า!B:B,A390,ขายสินค้า!E:E),)</f>
        <v>0</v>
      </c>
      <c r="D390" s="23">
        <f>IF(A390&lt;&gt;"",SUMIF(ซื้อสินค้า!B:B,A390,ซื้อสินค้า!M:M),)</f>
        <v>0</v>
      </c>
      <c r="E390" s="23">
        <f t="shared" si="1"/>
        <v>0</v>
      </c>
    </row>
    <row r="391" spans="1:5" ht="12.75">
      <c r="A391" s="6"/>
      <c r="B391" s="9">
        <f>IFERROR(VLOOKUP(A391,ชื่อสินค้า!A:D,4,FALSE),)</f>
        <v>0</v>
      </c>
      <c r="C391" s="9">
        <f>IF(A391&lt;&gt;"",SUMIF(ซื้อสินค้า!B:B,A391,ซื้อสินค้า!E:E)-SUMIF(ขายสินค้า!B:B,A391,ขายสินค้า!E:E),)</f>
        <v>0</v>
      </c>
      <c r="D391" s="23">
        <f>IF(A391&lt;&gt;"",SUMIF(ซื้อสินค้า!B:B,A391,ซื้อสินค้า!M:M),)</f>
        <v>0</v>
      </c>
      <c r="E391" s="23">
        <f t="shared" si="1"/>
        <v>0</v>
      </c>
    </row>
    <row r="392" spans="1:5" ht="12.75">
      <c r="A392" s="6"/>
      <c r="B392" s="9">
        <f>IFERROR(VLOOKUP(A392,ชื่อสินค้า!A:D,4,FALSE),)</f>
        <v>0</v>
      </c>
      <c r="C392" s="9">
        <f>IF(A392&lt;&gt;"",SUMIF(ซื้อสินค้า!B:B,A392,ซื้อสินค้า!E:E)-SUMIF(ขายสินค้า!B:B,A392,ขายสินค้า!E:E),)</f>
        <v>0</v>
      </c>
      <c r="D392" s="23">
        <f>IF(A392&lt;&gt;"",SUMIF(ซื้อสินค้า!B:B,A392,ซื้อสินค้า!M:M),)</f>
        <v>0</v>
      </c>
      <c r="E392" s="23">
        <f t="shared" si="1"/>
        <v>0</v>
      </c>
    </row>
    <row r="393" spans="1:5" ht="12.75">
      <c r="A393" s="6"/>
      <c r="B393" s="9">
        <f>IFERROR(VLOOKUP(A393,ชื่อสินค้า!A:D,4,FALSE),)</f>
        <v>0</v>
      </c>
      <c r="C393" s="9">
        <f>IF(A393&lt;&gt;"",SUMIF(ซื้อสินค้า!B:B,A393,ซื้อสินค้า!E:E)-SUMIF(ขายสินค้า!B:B,A393,ขายสินค้า!E:E),)</f>
        <v>0</v>
      </c>
      <c r="D393" s="23">
        <f>IF(A393&lt;&gt;"",SUMIF(ซื้อสินค้า!B:B,A393,ซื้อสินค้า!M:M),)</f>
        <v>0</v>
      </c>
      <c r="E393" s="23">
        <f t="shared" si="1"/>
        <v>0</v>
      </c>
    </row>
    <row r="394" spans="1:5" ht="12.75">
      <c r="A394" s="6"/>
      <c r="B394" s="9">
        <f>IFERROR(VLOOKUP(A394,ชื่อสินค้า!A:D,4,FALSE),)</f>
        <v>0</v>
      </c>
      <c r="C394" s="9">
        <f>IF(A394&lt;&gt;"",SUMIF(ซื้อสินค้า!B:B,A394,ซื้อสินค้า!E:E)-SUMIF(ขายสินค้า!B:B,A394,ขายสินค้า!E:E),)</f>
        <v>0</v>
      </c>
      <c r="D394" s="23">
        <f>IF(A394&lt;&gt;"",SUMIF(ซื้อสินค้า!B:B,A394,ซื้อสินค้า!M:M),)</f>
        <v>0</v>
      </c>
      <c r="E394" s="23">
        <f t="shared" si="1"/>
        <v>0</v>
      </c>
    </row>
    <row r="395" spans="1:5" ht="12.75">
      <c r="A395" s="6"/>
      <c r="B395" s="9">
        <f>IFERROR(VLOOKUP(A395,ชื่อสินค้า!A:D,4,FALSE),)</f>
        <v>0</v>
      </c>
      <c r="C395" s="9">
        <f>IF(A395&lt;&gt;"",SUMIF(ซื้อสินค้า!B:B,A395,ซื้อสินค้า!E:E)-SUMIF(ขายสินค้า!B:B,A395,ขายสินค้า!E:E),)</f>
        <v>0</v>
      </c>
      <c r="D395" s="23">
        <f>IF(A395&lt;&gt;"",SUMIF(ซื้อสินค้า!B:B,A395,ซื้อสินค้า!M:M),)</f>
        <v>0</v>
      </c>
      <c r="E395" s="23">
        <f t="shared" si="1"/>
        <v>0</v>
      </c>
    </row>
    <row r="396" spans="1:5" ht="12.75">
      <c r="A396" s="6"/>
      <c r="B396" s="9">
        <f>IFERROR(VLOOKUP(A396,ชื่อสินค้า!A:D,4,FALSE),)</f>
        <v>0</v>
      </c>
      <c r="C396" s="9">
        <f>IF(A396&lt;&gt;"",SUMIF(ซื้อสินค้า!B:B,A396,ซื้อสินค้า!E:E)-SUMIF(ขายสินค้า!B:B,A396,ขายสินค้า!E:E),)</f>
        <v>0</v>
      </c>
      <c r="D396" s="23">
        <f>IF(A396&lt;&gt;"",SUMIF(ซื้อสินค้า!B:B,A396,ซื้อสินค้า!M:M),)</f>
        <v>0</v>
      </c>
      <c r="E396" s="23">
        <f t="shared" si="1"/>
        <v>0</v>
      </c>
    </row>
    <row r="397" spans="1:5" ht="12.75">
      <c r="A397" s="6"/>
      <c r="B397" s="9">
        <f>IFERROR(VLOOKUP(A397,ชื่อสินค้า!A:D,4,FALSE),)</f>
        <v>0</v>
      </c>
      <c r="C397" s="9">
        <f>IF(A397&lt;&gt;"",SUMIF(ซื้อสินค้า!B:B,A397,ซื้อสินค้า!E:E)-SUMIF(ขายสินค้า!B:B,A397,ขายสินค้า!E:E),)</f>
        <v>0</v>
      </c>
      <c r="D397" s="23">
        <f>IF(A397&lt;&gt;"",SUMIF(ซื้อสินค้า!B:B,A397,ซื้อสินค้า!M:M),)</f>
        <v>0</v>
      </c>
      <c r="E397" s="23">
        <f t="shared" si="1"/>
        <v>0</v>
      </c>
    </row>
    <row r="398" spans="1:5" ht="12.75">
      <c r="A398" s="6"/>
      <c r="B398" s="9">
        <f>IFERROR(VLOOKUP(A398,ชื่อสินค้า!A:D,4,FALSE),)</f>
        <v>0</v>
      </c>
      <c r="C398" s="9">
        <f>IF(A398&lt;&gt;"",SUMIF(ซื้อสินค้า!B:B,A398,ซื้อสินค้า!E:E)-SUMIF(ขายสินค้า!B:B,A398,ขายสินค้า!E:E),)</f>
        <v>0</v>
      </c>
      <c r="D398" s="23">
        <f>IF(A398&lt;&gt;"",SUMIF(ซื้อสินค้า!B:B,A398,ซื้อสินค้า!M:M),)</f>
        <v>0</v>
      </c>
      <c r="E398" s="23">
        <f t="shared" si="1"/>
        <v>0</v>
      </c>
    </row>
    <row r="399" spans="1:5" ht="12.75">
      <c r="A399" s="6"/>
      <c r="B399" s="9">
        <f>IFERROR(VLOOKUP(A399,ชื่อสินค้า!A:D,4,FALSE),)</f>
        <v>0</v>
      </c>
      <c r="C399" s="9">
        <f>IF(A399&lt;&gt;"",SUMIF(ซื้อสินค้า!B:B,A399,ซื้อสินค้า!E:E)-SUMIF(ขายสินค้า!B:B,A399,ขายสินค้า!E:E),)</f>
        <v>0</v>
      </c>
      <c r="D399" s="23">
        <f>IF(A399&lt;&gt;"",SUMIF(ซื้อสินค้า!B:B,A399,ซื้อสินค้า!M:M),)</f>
        <v>0</v>
      </c>
      <c r="E399" s="23">
        <f t="shared" si="1"/>
        <v>0</v>
      </c>
    </row>
    <row r="400" spans="1:5" ht="12.75">
      <c r="A400" s="6"/>
      <c r="B400" s="9">
        <f>IFERROR(VLOOKUP(A400,ชื่อสินค้า!A:D,4,FALSE),)</f>
        <v>0</v>
      </c>
      <c r="C400" s="9">
        <f>IF(A400&lt;&gt;"",SUMIF(ซื้อสินค้า!B:B,A400,ซื้อสินค้า!E:E)-SUMIF(ขายสินค้า!B:B,A400,ขายสินค้า!E:E),)</f>
        <v>0</v>
      </c>
      <c r="D400" s="23">
        <f>IF(A400&lt;&gt;"",SUMIF(ซื้อสินค้า!B:B,A400,ซื้อสินค้า!M:M),)</f>
        <v>0</v>
      </c>
      <c r="E400" s="23">
        <f t="shared" si="1"/>
        <v>0</v>
      </c>
    </row>
    <row r="401" spans="1:5" ht="12.75">
      <c r="A401" s="6"/>
      <c r="B401" s="9">
        <f>IFERROR(VLOOKUP(A401,ชื่อสินค้า!A:D,4,FALSE),)</f>
        <v>0</v>
      </c>
      <c r="C401" s="9">
        <f>IF(A401&lt;&gt;"",SUMIF(ซื้อสินค้า!B:B,A401,ซื้อสินค้า!E:E)-SUMIF(ขายสินค้า!B:B,A401,ขายสินค้า!E:E),)</f>
        <v>0</v>
      </c>
      <c r="D401" s="23">
        <f>IF(A401&lt;&gt;"",SUMIF(ซื้อสินค้า!B:B,A401,ซื้อสินค้า!M:M),)</f>
        <v>0</v>
      </c>
      <c r="E401" s="23">
        <f t="shared" si="1"/>
        <v>0</v>
      </c>
    </row>
    <row r="402" spans="1:5" ht="12.75">
      <c r="A402" s="6"/>
      <c r="B402" s="9">
        <f>IFERROR(VLOOKUP(A402,ชื่อสินค้า!A:D,4,FALSE),)</f>
        <v>0</v>
      </c>
      <c r="C402" s="9">
        <f>IF(A402&lt;&gt;"",SUMIF(ซื้อสินค้า!B:B,A402,ซื้อสินค้า!E:E)-SUMIF(ขายสินค้า!B:B,A402,ขายสินค้า!E:E),)</f>
        <v>0</v>
      </c>
      <c r="D402" s="23">
        <f>IF(A402&lt;&gt;"",SUMIF(ซื้อสินค้า!B:B,A402,ซื้อสินค้า!M:M),)</f>
        <v>0</v>
      </c>
      <c r="E402" s="23">
        <f t="shared" si="1"/>
        <v>0</v>
      </c>
    </row>
    <row r="403" spans="1:5" ht="12.75">
      <c r="A403" s="6"/>
      <c r="B403" s="9">
        <f>IFERROR(VLOOKUP(A403,ชื่อสินค้า!A:D,4,FALSE),)</f>
        <v>0</v>
      </c>
      <c r="C403" s="9">
        <f>IF(A403&lt;&gt;"",SUMIF(ซื้อสินค้า!B:B,A403,ซื้อสินค้า!E:E)-SUMIF(ขายสินค้า!B:B,A403,ขายสินค้า!E:E),)</f>
        <v>0</v>
      </c>
      <c r="D403" s="23">
        <f>IF(A403&lt;&gt;"",SUMIF(ซื้อสินค้า!B:B,A403,ซื้อสินค้า!M:M),)</f>
        <v>0</v>
      </c>
      <c r="E403" s="23">
        <f t="shared" si="1"/>
        <v>0</v>
      </c>
    </row>
    <row r="404" spans="1:5" ht="12.75">
      <c r="A404" s="6"/>
      <c r="B404" s="9">
        <f>IFERROR(VLOOKUP(A404,ชื่อสินค้า!A:D,4,FALSE),)</f>
        <v>0</v>
      </c>
      <c r="C404" s="9">
        <f>IF(A404&lt;&gt;"",SUMIF(ซื้อสินค้า!B:B,A404,ซื้อสินค้า!E:E)-SUMIF(ขายสินค้า!B:B,A404,ขายสินค้า!E:E),)</f>
        <v>0</v>
      </c>
      <c r="D404" s="23">
        <f>IF(A404&lt;&gt;"",SUMIF(ซื้อสินค้า!B:B,A404,ซื้อสินค้า!M:M),)</f>
        <v>0</v>
      </c>
      <c r="E404" s="23">
        <f t="shared" si="1"/>
        <v>0</v>
      </c>
    </row>
    <row r="405" spans="1:5" ht="12.75">
      <c r="A405" s="6"/>
      <c r="B405" s="9">
        <f>IFERROR(VLOOKUP(A405,ชื่อสินค้า!A:D,4,FALSE),)</f>
        <v>0</v>
      </c>
      <c r="C405" s="9">
        <f>IF(A405&lt;&gt;"",SUMIF(ซื้อสินค้า!B:B,A405,ซื้อสินค้า!E:E)-SUMIF(ขายสินค้า!B:B,A405,ขายสินค้า!E:E),)</f>
        <v>0</v>
      </c>
      <c r="D405" s="23">
        <f>IF(A405&lt;&gt;"",SUMIF(ซื้อสินค้า!B:B,A405,ซื้อสินค้า!M:M),)</f>
        <v>0</v>
      </c>
      <c r="E405" s="23">
        <f t="shared" si="1"/>
        <v>0</v>
      </c>
    </row>
    <row r="406" spans="1:5" ht="12.75">
      <c r="A406" s="6"/>
      <c r="B406" s="9">
        <f>IFERROR(VLOOKUP(A406,ชื่อสินค้า!A:D,4,FALSE),)</f>
        <v>0</v>
      </c>
      <c r="C406" s="9">
        <f>IF(A406&lt;&gt;"",SUMIF(ซื้อสินค้า!B:B,A406,ซื้อสินค้า!E:E)-SUMIF(ขายสินค้า!B:B,A406,ขายสินค้า!E:E),)</f>
        <v>0</v>
      </c>
      <c r="D406" s="23">
        <f>IF(A406&lt;&gt;"",SUMIF(ซื้อสินค้า!B:B,A406,ซื้อสินค้า!M:M),)</f>
        <v>0</v>
      </c>
      <c r="E406" s="23">
        <f t="shared" si="1"/>
        <v>0</v>
      </c>
    </row>
    <row r="407" spans="1:5" ht="12.75">
      <c r="A407" s="6"/>
      <c r="B407" s="9">
        <f>IFERROR(VLOOKUP(A407,ชื่อสินค้า!A:D,4,FALSE),)</f>
        <v>0</v>
      </c>
      <c r="C407" s="9">
        <f>IF(A407&lt;&gt;"",SUMIF(ซื้อสินค้า!B:B,A407,ซื้อสินค้า!E:E)-SUMIF(ขายสินค้า!B:B,A407,ขายสินค้า!E:E),)</f>
        <v>0</v>
      </c>
      <c r="D407" s="23">
        <f>IF(A407&lt;&gt;"",SUMIF(ซื้อสินค้า!B:B,A407,ซื้อสินค้า!M:M),)</f>
        <v>0</v>
      </c>
      <c r="E407" s="23">
        <f t="shared" si="1"/>
        <v>0</v>
      </c>
    </row>
    <row r="408" spans="1:5" ht="12.75">
      <c r="A408" s="6"/>
      <c r="B408" s="9">
        <f>IFERROR(VLOOKUP(A408,ชื่อสินค้า!A:D,4,FALSE),)</f>
        <v>0</v>
      </c>
      <c r="C408" s="9">
        <f>IF(A408&lt;&gt;"",SUMIF(ซื้อสินค้า!B:B,A408,ซื้อสินค้า!E:E)-SUMIF(ขายสินค้า!B:B,A408,ขายสินค้า!E:E),)</f>
        <v>0</v>
      </c>
      <c r="D408" s="23">
        <f>IF(A408&lt;&gt;"",SUMIF(ซื้อสินค้า!B:B,A408,ซื้อสินค้า!M:M),)</f>
        <v>0</v>
      </c>
      <c r="E408" s="23">
        <f t="shared" si="1"/>
        <v>0</v>
      </c>
    </row>
    <row r="409" spans="1:5" ht="12.75">
      <c r="A409" s="6"/>
      <c r="B409" s="9">
        <f>IFERROR(VLOOKUP(A409,ชื่อสินค้า!A:D,4,FALSE),)</f>
        <v>0</v>
      </c>
      <c r="C409" s="9">
        <f>IF(A409&lt;&gt;"",SUMIF(ซื้อสินค้า!B:B,A409,ซื้อสินค้า!E:E)-SUMIF(ขายสินค้า!B:B,A409,ขายสินค้า!E:E),)</f>
        <v>0</v>
      </c>
      <c r="D409" s="23">
        <f>IF(A409&lt;&gt;"",SUMIF(ซื้อสินค้า!B:B,A409,ซื้อสินค้า!M:M),)</f>
        <v>0</v>
      </c>
      <c r="E409" s="23">
        <f t="shared" si="1"/>
        <v>0</v>
      </c>
    </row>
    <row r="410" spans="1:5" ht="12.75">
      <c r="A410" s="6"/>
      <c r="B410" s="9">
        <f>IFERROR(VLOOKUP(A410,ชื่อสินค้า!A:D,4,FALSE),)</f>
        <v>0</v>
      </c>
      <c r="C410" s="9">
        <f>IF(A410&lt;&gt;"",SUMIF(ซื้อสินค้า!B:B,A410,ซื้อสินค้า!E:E)-SUMIF(ขายสินค้า!B:B,A410,ขายสินค้า!E:E),)</f>
        <v>0</v>
      </c>
      <c r="D410" s="23">
        <f>IF(A410&lt;&gt;"",SUMIF(ซื้อสินค้า!B:B,A410,ซื้อสินค้า!M:M),)</f>
        <v>0</v>
      </c>
      <c r="E410" s="23">
        <f t="shared" si="1"/>
        <v>0</v>
      </c>
    </row>
    <row r="411" spans="1:5" ht="12.75">
      <c r="A411" s="6"/>
      <c r="B411" s="9">
        <f>IFERROR(VLOOKUP(A411,ชื่อสินค้า!A:D,4,FALSE),)</f>
        <v>0</v>
      </c>
      <c r="C411" s="9">
        <f>IF(A411&lt;&gt;"",SUMIF(ซื้อสินค้า!B:B,A411,ซื้อสินค้า!E:E)-SUMIF(ขายสินค้า!B:B,A411,ขายสินค้า!E:E),)</f>
        <v>0</v>
      </c>
      <c r="D411" s="23">
        <f>IF(A411&lt;&gt;"",SUMIF(ซื้อสินค้า!B:B,A411,ซื้อสินค้า!M:M),)</f>
        <v>0</v>
      </c>
      <c r="E411" s="23">
        <f t="shared" si="1"/>
        <v>0</v>
      </c>
    </row>
    <row r="412" spans="1:5" ht="12.75">
      <c r="A412" s="6"/>
      <c r="B412" s="9">
        <f>IFERROR(VLOOKUP(A412,ชื่อสินค้า!A:D,4,FALSE),)</f>
        <v>0</v>
      </c>
      <c r="C412" s="9">
        <f>IF(A412&lt;&gt;"",SUMIF(ซื้อสินค้า!B:B,A412,ซื้อสินค้า!E:E)-SUMIF(ขายสินค้า!B:B,A412,ขายสินค้า!E:E),)</f>
        <v>0</v>
      </c>
      <c r="D412" s="23">
        <f>IF(A412&lt;&gt;"",SUMIF(ซื้อสินค้า!B:B,A412,ซื้อสินค้า!M:M),)</f>
        <v>0</v>
      </c>
      <c r="E412" s="23">
        <f t="shared" si="1"/>
        <v>0</v>
      </c>
    </row>
    <row r="413" spans="1:5" ht="12.75">
      <c r="A413" s="6"/>
      <c r="B413" s="9">
        <f>IFERROR(VLOOKUP(A413,ชื่อสินค้า!A:D,4,FALSE),)</f>
        <v>0</v>
      </c>
      <c r="C413" s="9">
        <f>IF(A413&lt;&gt;"",SUMIF(ซื้อสินค้า!B:B,A413,ซื้อสินค้า!E:E)-SUMIF(ขายสินค้า!B:B,A413,ขายสินค้า!E:E),)</f>
        <v>0</v>
      </c>
      <c r="D413" s="23">
        <f>IF(A413&lt;&gt;"",SUMIF(ซื้อสินค้า!B:B,A413,ซื้อสินค้า!M:M),)</f>
        <v>0</v>
      </c>
      <c r="E413" s="23">
        <f t="shared" si="1"/>
        <v>0</v>
      </c>
    </row>
    <row r="414" spans="1:5" ht="12.75">
      <c r="A414" s="6"/>
      <c r="B414" s="9">
        <f>IFERROR(VLOOKUP(A414,ชื่อสินค้า!A:D,4,FALSE),)</f>
        <v>0</v>
      </c>
      <c r="C414" s="9">
        <f>IF(A414&lt;&gt;"",SUMIF(ซื้อสินค้า!B:B,A414,ซื้อสินค้า!E:E)-SUMIF(ขายสินค้า!B:B,A414,ขายสินค้า!E:E),)</f>
        <v>0</v>
      </c>
      <c r="D414" s="23">
        <f>IF(A414&lt;&gt;"",SUMIF(ซื้อสินค้า!B:B,A414,ซื้อสินค้า!M:M),)</f>
        <v>0</v>
      </c>
      <c r="E414" s="23">
        <f t="shared" si="1"/>
        <v>0</v>
      </c>
    </row>
    <row r="415" spans="1:5" ht="12.75">
      <c r="A415" s="6"/>
      <c r="B415" s="9">
        <f>IFERROR(VLOOKUP(A415,ชื่อสินค้า!A:D,4,FALSE),)</f>
        <v>0</v>
      </c>
      <c r="C415" s="9">
        <f>IF(A415&lt;&gt;"",SUMIF(ซื้อสินค้า!B:B,A415,ซื้อสินค้า!E:E)-SUMIF(ขายสินค้า!B:B,A415,ขายสินค้า!E:E),)</f>
        <v>0</v>
      </c>
      <c r="D415" s="23">
        <f>IF(A415&lt;&gt;"",SUMIF(ซื้อสินค้า!B:B,A415,ซื้อสินค้า!M:M),)</f>
        <v>0</v>
      </c>
      <c r="E415" s="23">
        <f t="shared" si="1"/>
        <v>0</v>
      </c>
    </row>
    <row r="416" spans="1:5" ht="12.75">
      <c r="A416" s="6"/>
      <c r="B416" s="9">
        <f>IFERROR(VLOOKUP(A416,ชื่อสินค้า!A:D,4,FALSE),)</f>
        <v>0</v>
      </c>
      <c r="C416" s="9">
        <f>IF(A416&lt;&gt;"",SUMIF(ซื้อสินค้า!B:B,A416,ซื้อสินค้า!E:E)-SUMIF(ขายสินค้า!B:B,A416,ขายสินค้า!E:E),)</f>
        <v>0</v>
      </c>
      <c r="D416" s="23">
        <f>IF(A416&lt;&gt;"",SUMIF(ซื้อสินค้า!B:B,A416,ซื้อสินค้า!M:M),)</f>
        <v>0</v>
      </c>
      <c r="E416" s="23">
        <f t="shared" si="1"/>
        <v>0</v>
      </c>
    </row>
    <row r="417" spans="1:5" ht="12.75">
      <c r="A417" s="6"/>
      <c r="B417" s="9">
        <f>IFERROR(VLOOKUP(A417,ชื่อสินค้า!A:D,4,FALSE),)</f>
        <v>0</v>
      </c>
      <c r="C417" s="9">
        <f>IF(A417&lt;&gt;"",SUMIF(ซื้อสินค้า!B:B,A417,ซื้อสินค้า!E:E)-SUMIF(ขายสินค้า!B:B,A417,ขายสินค้า!E:E),)</f>
        <v>0</v>
      </c>
      <c r="D417" s="23">
        <f>IF(A417&lt;&gt;"",SUMIF(ซื้อสินค้า!B:B,A417,ซื้อสินค้า!M:M),)</f>
        <v>0</v>
      </c>
      <c r="E417" s="23">
        <f t="shared" si="1"/>
        <v>0</v>
      </c>
    </row>
    <row r="418" spans="1:5" ht="12.75">
      <c r="A418" s="6"/>
      <c r="B418" s="9">
        <f>IFERROR(VLOOKUP(A418,ชื่อสินค้า!A:D,4,FALSE),)</f>
        <v>0</v>
      </c>
      <c r="C418" s="9">
        <f>IF(A418&lt;&gt;"",SUMIF(ซื้อสินค้า!B:B,A418,ซื้อสินค้า!E:E)-SUMIF(ขายสินค้า!B:B,A418,ขายสินค้า!E:E),)</f>
        <v>0</v>
      </c>
      <c r="D418" s="23">
        <f>IF(A418&lt;&gt;"",SUMIF(ซื้อสินค้า!B:B,A418,ซื้อสินค้า!M:M),)</f>
        <v>0</v>
      </c>
      <c r="E418" s="23">
        <f t="shared" si="1"/>
        <v>0</v>
      </c>
    </row>
    <row r="419" spans="1:5" ht="12.75">
      <c r="A419" s="6"/>
      <c r="B419" s="9">
        <f>IFERROR(VLOOKUP(A419,ชื่อสินค้า!A:D,4,FALSE),)</f>
        <v>0</v>
      </c>
      <c r="C419" s="9">
        <f>IF(A419&lt;&gt;"",SUMIF(ซื้อสินค้า!B:B,A419,ซื้อสินค้า!E:E)-SUMIF(ขายสินค้า!B:B,A419,ขายสินค้า!E:E),)</f>
        <v>0</v>
      </c>
      <c r="D419" s="23">
        <f>IF(A419&lt;&gt;"",SUMIF(ซื้อสินค้า!B:B,A419,ซื้อสินค้า!M:M),)</f>
        <v>0</v>
      </c>
      <c r="E419" s="23">
        <f t="shared" si="1"/>
        <v>0</v>
      </c>
    </row>
    <row r="420" spans="1:5" ht="12.75">
      <c r="A420" s="6"/>
      <c r="B420" s="9">
        <f>IFERROR(VLOOKUP(A420,ชื่อสินค้า!A:D,4,FALSE),)</f>
        <v>0</v>
      </c>
      <c r="C420" s="9">
        <f>IF(A420&lt;&gt;"",SUMIF(ซื้อสินค้า!B:B,A420,ซื้อสินค้า!E:E)-SUMIF(ขายสินค้า!B:B,A420,ขายสินค้า!E:E),)</f>
        <v>0</v>
      </c>
      <c r="D420" s="23">
        <f>IF(A420&lt;&gt;"",SUMIF(ซื้อสินค้า!B:B,A420,ซื้อสินค้า!M:M),)</f>
        <v>0</v>
      </c>
      <c r="E420" s="23">
        <f t="shared" si="1"/>
        <v>0</v>
      </c>
    </row>
    <row r="421" spans="1:5" ht="12.75">
      <c r="A421" s="6"/>
      <c r="B421" s="9">
        <f>IFERROR(VLOOKUP(A421,ชื่อสินค้า!A:D,4,FALSE),)</f>
        <v>0</v>
      </c>
      <c r="C421" s="9">
        <f>IF(A421&lt;&gt;"",SUMIF(ซื้อสินค้า!B:B,A421,ซื้อสินค้า!E:E)-SUMIF(ขายสินค้า!B:B,A421,ขายสินค้า!E:E),)</f>
        <v>0</v>
      </c>
      <c r="D421" s="23">
        <f>IF(A421&lt;&gt;"",SUMIF(ซื้อสินค้า!B:B,A421,ซื้อสินค้า!M:M),)</f>
        <v>0</v>
      </c>
      <c r="E421" s="23">
        <f t="shared" si="1"/>
        <v>0</v>
      </c>
    </row>
    <row r="422" spans="1:5" ht="12.75">
      <c r="A422" s="6"/>
      <c r="B422" s="9">
        <f>IFERROR(VLOOKUP(A422,ชื่อสินค้า!A:D,4,FALSE),)</f>
        <v>0</v>
      </c>
      <c r="C422" s="9">
        <f>IF(A422&lt;&gt;"",SUMIF(ซื้อสินค้า!B:B,A422,ซื้อสินค้า!E:E)-SUMIF(ขายสินค้า!B:B,A422,ขายสินค้า!E:E),)</f>
        <v>0</v>
      </c>
      <c r="D422" s="23">
        <f>IF(A422&lt;&gt;"",SUMIF(ซื้อสินค้า!B:B,A422,ซื้อสินค้า!M:M),)</f>
        <v>0</v>
      </c>
      <c r="E422" s="23">
        <f t="shared" si="1"/>
        <v>0</v>
      </c>
    </row>
    <row r="423" spans="1:5" ht="12.75">
      <c r="A423" s="6"/>
      <c r="B423" s="9">
        <f>IFERROR(VLOOKUP(A423,ชื่อสินค้า!A:D,4,FALSE),)</f>
        <v>0</v>
      </c>
      <c r="C423" s="9">
        <f>IF(A423&lt;&gt;"",SUMIF(ซื้อสินค้า!B:B,A423,ซื้อสินค้า!E:E)-SUMIF(ขายสินค้า!B:B,A423,ขายสินค้า!E:E),)</f>
        <v>0</v>
      </c>
      <c r="D423" s="23">
        <f>IF(A423&lt;&gt;"",SUMIF(ซื้อสินค้า!B:B,A423,ซื้อสินค้า!M:M),)</f>
        <v>0</v>
      </c>
      <c r="E423" s="23">
        <f t="shared" si="1"/>
        <v>0</v>
      </c>
    </row>
    <row r="424" spans="1:5" ht="12.75">
      <c r="A424" s="6"/>
      <c r="B424" s="9">
        <f>IFERROR(VLOOKUP(A424,ชื่อสินค้า!A:D,4,FALSE),)</f>
        <v>0</v>
      </c>
      <c r="C424" s="9">
        <f>IF(A424&lt;&gt;"",SUMIF(ซื้อสินค้า!B:B,A424,ซื้อสินค้า!E:E)-SUMIF(ขายสินค้า!B:B,A424,ขายสินค้า!E:E),)</f>
        <v>0</v>
      </c>
      <c r="D424" s="23">
        <f>IF(A424&lt;&gt;"",SUMIF(ซื้อสินค้า!B:B,A424,ซื้อสินค้า!M:M),)</f>
        <v>0</v>
      </c>
      <c r="E424" s="23">
        <f t="shared" si="1"/>
        <v>0</v>
      </c>
    </row>
    <row r="425" spans="1:5" ht="12.75">
      <c r="A425" s="6"/>
      <c r="B425" s="9">
        <f>IFERROR(VLOOKUP(A425,ชื่อสินค้า!A:D,4,FALSE),)</f>
        <v>0</v>
      </c>
      <c r="C425" s="9">
        <f>IF(A425&lt;&gt;"",SUMIF(ซื้อสินค้า!B:B,A425,ซื้อสินค้า!E:E)-SUMIF(ขายสินค้า!B:B,A425,ขายสินค้า!E:E),)</f>
        <v>0</v>
      </c>
      <c r="D425" s="23">
        <f>IF(A425&lt;&gt;"",SUMIF(ซื้อสินค้า!B:B,A425,ซื้อสินค้า!M:M),)</f>
        <v>0</v>
      </c>
      <c r="E425" s="23">
        <f t="shared" si="1"/>
        <v>0</v>
      </c>
    </row>
    <row r="426" spans="1:5" ht="12.75">
      <c r="A426" s="6"/>
      <c r="B426" s="9">
        <f>IFERROR(VLOOKUP(A426,ชื่อสินค้า!A:D,4,FALSE),)</f>
        <v>0</v>
      </c>
      <c r="C426" s="9">
        <f>IF(A426&lt;&gt;"",SUMIF(ซื้อสินค้า!B:B,A426,ซื้อสินค้า!E:E)-SUMIF(ขายสินค้า!B:B,A426,ขายสินค้า!E:E),)</f>
        <v>0</v>
      </c>
      <c r="D426" s="23">
        <f>IF(A426&lt;&gt;"",SUMIF(ซื้อสินค้า!B:B,A426,ซื้อสินค้า!M:M),)</f>
        <v>0</v>
      </c>
      <c r="E426" s="23">
        <f t="shared" si="1"/>
        <v>0</v>
      </c>
    </row>
    <row r="427" spans="1:5" ht="12.75">
      <c r="A427" s="6"/>
      <c r="B427" s="9">
        <f>IFERROR(VLOOKUP(A427,ชื่อสินค้า!A:D,4,FALSE),)</f>
        <v>0</v>
      </c>
      <c r="C427" s="9">
        <f>IF(A427&lt;&gt;"",SUMIF(ซื้อสินค้า!B:B,A427,ซื้อสินค้า!E:E)-SUMIF(ขายสินค้า!B:B,A427,ขายสินค้า!E:E),)</f>
        <v>0</v>
      </c>
      <c r="D427" s="23">
        <f>IF(A427&lt;&gt;"",SUMIF(ซื้อสินค้า!B:B,A427,ซื้อสินค้า!M:M),)</f>
        <v>0</v>
      </c>
      <c r="E427" s="23">
        <f t="shared" si="1"/>
        <v>0</v>
      </c>
    </row>
    <row r="428" spans="1:5" ht="12.75">
      <c r="A428" s="6"/>
      <c r="B428" s="9">
        <f>IFERROR(VLOOKUP(A428,ชื่อสินค้า!A:D,4,FALSE),)</f>
        <v>0</v>
      </c>
      <c r="C428" s="9">
        <f>IF(A428&lt;&gt;"",SUMIF(ซื้อสินค้า!B:B,A428,ซื้อสินค้า!E:E)-SUMIF(ขายสินค้า!B:B,A428,ขายสินค้า!E:E),)</f>
        <v>0</v>
      </c>
      <c r="D428" s="23">
        <f>IF(A428&lt;&gt;"",SUMIF(ซื้อสินค้า!B:B,A428,ซื้อสินค้า!M:M),)</f>
        <v>0</v>
      </c>
      <c r="E428" s="23">
        <f t="shared" si="1"/>
        <v>0</v>
      </c>
    </row>
    <row r="429" spans="1:5" ht="12.75">
      <c r="A429" s="6"/>
      <c r="B429" s="9">
        <f>IFERROR(VLOOKUP(A429,ชื่อสินค้า!A:D,4,FALSE),)</f>
        <v>0</v>
      </c>
      <c r="C429" s="9">
        <f>IF(A429&lt;&gt;"",SUMIF(ซื้อสินค้า!B:B,A429,ซื้อสินค้า!E:E)-SUMIF(ขายสินค้า!B:B,A429,ขายสินค้า!E:E),)</f>
        <v>0</v>
      </c>
      <c r="D429" s="23">
        <f>IF(A429&lt;&gt;"",SUMIF(ซื้อสินค้า!B:B,A429,ซื้อสินค้า!M:M),)</f>
        <v>0</v>
      </c>
      <c r="E429" s="23">
        <f t="shared" si="1"/>
        <v>0</v>
      </c>
    </row>
    <row r="430" spans="1:5" ht="12.75">
      <c r="A430" s="6"/>
      <c r="B430" s="9">
        <f>IFERROR(VLOOKUP(A430,ชื่อสินค้า!A:D,4,FALSE),)</f>
        <v>0</v>
      </c>
      <c r="C430" s="9">
        <f>IF(A430&lt;&gt;"",SUMIF(ซื้อสินค้า!B:B,A430,ซื้อสินค้า!E:E)-SUMIF(ขายสินค้า!B:B,A430,ขายสินค้า!E:E),)</f>
        <v>0</v>
      </c>
      <c r="D430" s="23">
        <f>IF(A430&lt;&gt;"",SUMIF(ซื้อสินค้า!B:B,A430,ซื้อสินค้า!M:M),)</f>
        <v>0</v>
      </c>
      <c r="E430" s="23">
        <f t="shared" si="1"/>
        <v>0</v>
      </c>
    </row>
    <row r="431" spans="1:5" ht="12.75">
      <c r="A431" s="6"/>
      <c r="B431" s="9">
        <f>IFERROR(VLOOKUP(A431,ชื่อสินค้า!A:D,4,FALSE),)</f>
        <v>0</v>
      </c>
      <c r="C431" s="9">
        <f>IF(A431&lt;&gt;"",SUMIF(ซื้อสินค้า!B:B,A431,ซื้อสินค้า!E:E)-SUMIF(ขายสินค้า!B:B,A431,ขายสินค้า!E:E),)</f>
        <v>0</v>
      </c>
      <c r="D431" s="23">
        <f>IF(A431&lt;&gt;"",SUMIF(ซื้อสินค้า!B:B,A431,ซื้อสินค้า!M:M),)</f>
        <v>0</v>
      </c>
      <c r="E431" s="23">
        <f t="shared" si="1"/>
        <v>0</v>
      </c>
    </row>
    <row r="432" spans="1:5" ht="12.75">
      <c r="A432" s="6"/>
      <c r="B432" s="9">
        <f>IFERROR(VLOOKUP(A432,ชื่อสินค้า!A:D,4,FALSE),)</f>
        <v>0</v>
      </c>
      <c r="C432" s="9">
        <f>IF(A432&lt;&gt;"",SUMIF(ซื้อสินค้า!B:B,A432,ซื้อสินค้า!E:E)-SUMIF(ขายสินค้า!B:B,A432,ขายสินค้า!E:E),)</f>
        <v>0</v>
      </c>
      <c r="D432" s="23">
        <f>IF(A432&lt;&gt;"",SUMIF(ซื้อสินค้า!B:B,A432,ซื้อสินค้า!M:M),)</f>
        <v>0</v>
      </c>
      <c r="E432" s="23">
        <f t="shared" si="1"/>
        <v>0</v>
      </c>
    </row>
    <row r="433" spans="1:5" ht="12.75">
      <c r="A433" s="6"/>
      <c r="B433" s="9">
        <f>IFERROR(VLOOKUP(A433,ชื่อสินค้า!A:D,4,FALSE),)</f>
        <v>0</v>
      </c>
      <c r="C433" s="9">
        <f>IF(A433&lt;&gt;"",SUMIF(ซื้อสินค้า!B:B,A433,ซื้อสินค้า!E:E)-SUMIF(ขายสินค้า!B:B,A433,ขายสินค้า!E:E),)</f>
        <v>0</v>
      </c>
      <c r="D433" s="23">
        <f>IF(A433&lt;&gt;"",SUMIF(ซื้อสินค้า!B:B,A433,ซื้อสินค้า!M:M),)</f>
        <v>0</v>
      </c>
      <c r="E433" s="23">
        <f t="shared" si="1"/>
        <v>0</v>
      </c>
    </row>
    <row r="434" spans="1:5" ht="12.75">
      <c r="A434" s="6"/>
      <c r="B434" s="9">
        <f>IFERROR(VLOOKUP(A434,ชื่อสินค้า!A:D,4,FALSE),)</f>
        <v>0</v>
      </c>
      <c r="C434" s="9">
        <f>IF(A434&lt;&gt;"",SUMIF(ซื้อสินค้า!B:B,A434,ซื้อสินค้า!E:E)-SUMIF(ขายสินค้า!B:B,A434,ขายสินค้า!E:E),)</f>
        <v>0</v>
      </c>
      <c r="D434" s="23">
        <f>IF(A434&lt;&gt;"",SUMIF(ซื้อสินค้า!B:B,A434,ซื้อสินค้า!M:M),)</f>
        <v>0</v>
      </c>
      <c r="E434" s="23">
        <f t="shared" si="1"/>
        <v>0</v>
      </c>
    </row>
    <row r="435" spans="1:5" ht="12.75">
      <c r="A435" s="6"/>
      <c r="B435" s="9">
        <f>IFERROR(VLOOKUP(A435,ชื่อสินค้า!A:D,4,FALSE),)</f>
        <v>0</v>
      </c>
      <c r="C435" s="9">
        <f>IF(A435&lt;&gt;"",SUMIF(ซื้อสินค้า!B:B,A435,ซื้อสินค้า!E:E)-SUMIF(ขายสินค้า!B:B,A435,ขายสินค้า!E:E),)</f>
        <v>0</v>
      </c>
      <c r="D435" s="23">
        <f>IF(A435&lt;&gt;"",SUMIF(ซื้อสินค้า!B:B,A435,ซื้อสินค้า!M:M),)</f>
        <v>0</v>
      </c>
      <c r="E435" s="23">
        <f t="shared" si="1"/>
        <v>0</v>
      </c>
    </row>
    <row r="436" spans="1:5" ht="12.75">
      <c r="A436" s="6"/>
      <c r="B436" s="9">
        <f>IFERROR(VLOOKUP(A436,ชื่อสินค้า!A:D,4,FALSE),)</f>
        <v>0</v>
      </c>
      <c r="C436" s="9">
        <f>IF(A436&lt;&gt;"",SUMIF(ซื้อสินค้า!B:B,A436,ซื้อสินค้า!E:E)-SUMIF(ขายสินค้า!B:B,A436,ขายสินค้า!E:E),)</f>
        <v>0</v>
      </c>
      <c r="D436" s="23">
        <f>IF(A436&lt;&gt;"",SUMIF(ซื้อสินค้า!B:B,A436,ซื้อสินค้า!M:M),)</f>
        <v>0</v>
      </c>
      <c r="E436" s="23">
        <f t="shared" si="1"/>
        <v>0</v>
      </c>
    </row>
    <row r="437" spans="1:5" ht="12.75">
      <c r="A437" s="6"/>
      <c r="B437" s="9">
        <f>IFERROR(VLOOKUP(A437,ชื่อสินค้า!A:D,4,FALSE),)</f>
        <v>0</v>
      </c>
      <c r="C437" s="9">
        <f>IF(A437&lt;&gt;"",SUMIF(ซื้อสินค้า!B:B,A437,ซื้อสินค้า!E:E)-SUMIF(ขายสินค้า!B:B,A437,ขายสินค้า!E:E),)</f>
        <v>0</v>
      </c>
      <c r="D437" s="23">
        <f>IF(A437&lt;&gt;"",SUMIF(ซื้อสินค้า!B:B,A437,ซื้อสินค้า!M:M),)</f>
        <v>0</v>
      </c>
      <c r="E437" s="23">
        <f t="shared" si="1"/>
        <v>0</v>
      </c>
    </row>
    <row r="438" spans="1:5" ht="12.75">
      <c r="A438" s="6"/>
      <c r="B438" s="9">
        <f>IFERROR(VLOOKUP(A438,ชื่อสินค้า!A:D,4,FALSE),)</f>
        <v>0</v>
      </c>
      <c r="C438" s="9">
        <f>IF(A438&lt;&gt;"",SUMIF(ซื้อสินค้า!B:B,A438,ซื้อสินค้า!E:E)-SUMIF(ขายสินค้า!B:B,A438,ขายสินค้า!E:E),)</f>
        <v>0</v>
      </c>
      <c r="D438" s="23">
        <f>IF(A438&lt;&gt;"",SUMIF(ซื้อสินค้า!B:B,A438,ซื้อสินค้า!M:M),)</f>
        <v>0</v>
      </c>
      <c r="E438" s="23">
        <f t="shared" si="1"/>
        <v>0</v>
      </c>
    </row>
    <row r="439" spans="1:5" ht="12.75">
      <c r="A439" s="6"/>
      <c r="B439" s="9">
        <f>IFERROR(VLOOKUP(A439,ชื่อสินค้า!A:D,4,FALSE),)</f>
        <v>0</v>
      </c>
      <c r="C439" s="9">
        <f>IF(A439&lt;&gt;"",SUMIF(ซื้อสินค้า!B:B,A439,ซื้อสินค้า!E:E)-SUMIF(ขายสินค้า!B:B,A439,ขายสินค้า!E:E),)</f>
        <v>0</v>
      </c>
      <c r="D439" s="23">
        <f>IF(A439&lt;&gt;"",SUMIF(ซื้อสินค้า!B:B,A439,ซื้อสินค้า!M:M),)</f>
        <v>0</v>
      </c>
      <c r="E439" s="23">
        <f t="shared" si="1"/>
        <v>0</v>
      </c>
    </row>
    <row r="440" spans="1:5" ht="12.75">
      <c r="A440" s="6"/>
      <c r="B440" s="9">
        <f>IFERROR(VLOOKUP(A440,ชื่อสินค้า!A:D,4,FALSE),)</f>
        <v>0</v>
      </c>
      <c r="C440" s="9">
        <f>IF(A440&lt;&gt;"",SUMIF(ซื้อสินค้า!B:B,A440,ซื้อสินค้า!E:E)-SUMIF(ขายสินค้า!B:B,A440,ขายสินค้า!E:E),)</f>
        <v>0</v>
      </c>
      <c r="D440" s="23">
        <f>IF(A440&lt;&gt;"",SUMIF(ซื้อสินค้า!B:B,A440,ซื้อสินค้า!M:M),)</f>
        <v>0</v>
      </c>
      <c r="E440" s="23">
        <f t="shared" si="1"/>
        <v>0</v>
      </c>
    </row>
    <row r="441" spans="1:5" ht="12.75">
      <c r="A441" s="6"/>
      <c r="B441" s="9">
        <f>IFERROR(VLOOKUP(A441,ชื่อสินค้า!A:D,4,FALSE),)</f>
        <v>0</v>
      </c>
      <c r="C441" s="9">
        <f>IF(A441&lt;&gt;"",SUMIF(ซื้อสินค้า!B:B,A441,ซื้อสินค้า!E:E)-SUMIF(ขายสินค้า!B:B,A441,ขายสินค้า!E:E),)</f>
        <v>0</v>
      </c>
      <c r="D441" s="23">
        <f>IF(A441&lt;&gt;"",SUMIF(ซื้อสินค้า!B:B,A441,ซื้อสินค้า!M:M),)</f>
        <v>0</v>
      </c>
      <c r="E441" s="23">
        <f t="shared" si="1"/>
        <v>0</v>
      </c>
    </row>
    <row r="442" spans="1:5" ht="12.75">
      <c r="A442" s="6"/>
      <c r="B442" s="9">
        <f>IFERROR(VLOOKUP(A442,ชื่อสินค้า!A:D,4,FALSE),)</f>
        <v>0</v>
      </c>
      <c r="C442" s="9">
        <f>IF(A442&lt;&gt;"",SUMIF(ซื้อสินค้า!B:B,A442,ซื้อสินค้า!E:E)-SUMIF(ขายสินค้า!B:B,A442,ขายสินค้า!E:E),)</f>
        <v>0</v>
      </c>
      <c r="D442" s="23">
        <f>IF(A442&lt;&gt;"",SUMIF(ซื้อสินค้า!B:B,A442,ซื้อสินค้า!M:M),)</f>
        <v>0</v>
      </c>
      <c r="E442" s="23">
        <f t="shared" si="1"/>
        <v>0</v>
      </c>
    </row>
    <row r="443" spans="1:5" ht="12.75">
      <c r="A443" s="6"/>
      <c r="B443" s="9">
        <f>IFERROR(VLOOKUP(A443,ชื่อสินค้า!A:D,4,FALSE),)</f>
        <v>0</v>
      </c>
      <c r="C443" s="9">
        <f>IF(A443&lt;&gt;"",SUMIF(ซื้อสินค้า!B:B,A443,ซื้อสินค้า!E:E)-SUMIF(ขายสินค้า!B:B,A443,ขายสินค้า!E:E),)</f>
        <v>0</v>
      </c>
      <c r="D443" s="23">
        <f>IF(A443&lt;&gt;"",SUMIF(ซื้อสินค้า!B:B,A443,ซื้อสินค้า!M:M),)</f>
        <v>0</v>
      </c>
      <c r="E443" s="23">
        <f t="shared" si="1"/>
        <v>0</v>
      </c>
    </row>
    <row r="444" spans="1:5" ht="12.75">
      <c r="A444" s="6"/>
      <c r="B444" s="9">
        <f>IFERROR(VLOOKUP(A444,ชื่อสินค้า!A:D,4,FALSE),)</f>
        <v>0</v>
      </c>
      <c r="C444" s="9">
        <f>IF(A444&lt;&gt;"",SUMIF(ซื้อสินค้า!B:B,A444,ซื้อสินค้า!E:E)-SUMIF(ขายสินค้า!B:B,A444,ขายสินค้า!E:E),)</f>
        <v>0</v>
      </c>
      <c r="D444" s="23">
        <f>IF(A444&lt;&gt;"",SUMIF(ซื้อสินค้า!B:B,A444,ซื้อสินค้า!M:M),)</f>
        <v>0</v>
      </c>
      <c r="E444" s="23">
        <f t="shared" si="1"/>
        <v>0</v>
      </c>
    </row>
    <row r="445" spans="1:5" ht="12.75">
      <c r="A445" s="6"/>
      <c r="B445" s="9">
        <f>IFERROR(VLOOKUP(A445,ชื่อสินค้า!A:D,4,FALSE),)</f>
        <v>0</v>
      </c>
      <c r="C445" s="9">
        <f>IF(A445&lt;&gt;"",SUMIF(ซื้อสินค้า!B:B,A445,ซื้อสินค้า!E:E)-SUMIF(ขายสินค้า!B:B,A445,ขายสินค้า!E:E),)</f>
        <v>0</v>
      </c>
      <c r="D445" s="23">
        <f>IF(A445&lt;&gt;"",SUMIF(ซื้อสินค้า!B:B,A445,ซื้อสินค้า!M:M),)</f>
        <v>0</v>
      </c>
      <c r="E445" s="23">
        <f t="shared" si="1"/>
        <v>0</v>
      </c>
    </row>
    <row r="446" spans="1:5" ht="12.75">
      <c r="A446" s="6"/>
      <c r="B446" s="9">
        <f>IFERROR(VLOOKUP(A446,ชื่อสินค้า!A:D,4,FALSE),)</f>
        <v>0</v>
      </c>
      <c r="C446" s="9">
        <f>IF(A446&lt;&gt;"",SUMIF(ซื้อสินค้า!B:B,A446,ซื้อสินค้า!E:E)-SUMIF(ขายสินค้า!B:B,A446,ขายสินค้า!E:E),)</f>
        <v>0</v>
      </c>
      <c r="D446" s="23">
        <f>IF(A446&lt;&gt;"",SUMIF(ซื้อสินค้า!B:B,A446,ซื้อสินค้า!M:M),)</f>
        <v>0</v>
      </c>
      <c r="E446" s="23">
        <f t="shared" si="1"/>
        <v>0</v>
      </c>
    </row>
    <row r="447" spans="1:5" ht="12.75">
      <c r="A447" s="6"/>
      <c r="B447" s="9">
        <f>IFERROR(VLOOKUP(A447,ชื่อสินค้า!A:D,4,FALSE),)</f>
        <v>0</v>
      </c>
      <c r="C447" s="9">
        <f>IF(A447&lt;&gt;"",SUMIF(ซื้อสินค้า!B:B,A447,ซื้อสินค้า!E:E)-SUMIF(ขายสินค้า!B:B,A447,ขายสินค้า!E:E),)</f>
        <v>0</v>
      </c>
      <c r="D447" s="23">
        <f>IF(A447&lt;&gt;"",SUMIF(ซื้อสินค้า!B:B,A447,ซื้อสินค้า!M:M),)</f>
        <v>0</v>
      </c>
      <c r="E447" s="23">
        <f t="shared" si="1"/>
        <v>0</v>
      </c>
    </row>
    <row r="448" spans="1:5" ht="12.75">
      <c r="A448" s="6"/>
      <c r="B448" s="9">
        <f>IFERROR(VLOOKUP(A448,ชื่อสินค้า!A:D,4,FALSE),)</f>
        <v>0</v>
      </c>
      <c r="C448" s="9">
        <f>IF(A448&lt;&gt;"",SUMIF(ซื้อสินค้า!B:B,A448,ซื้อสินค้า!E:E)-SUMIF(ขายสินค้า!B:B,A448,ขายสินค้า!E:E),)</f>
        <v>0</v>
      </c>
      <c r="D448" s="23">
        <f>IF(A448&lt;&gt;"",SUMIF(ซื้อสินค้า!B:B,A448,ซื้อสินค้า!M:M),)</f>
        <v>0</v>
      </c>
      <c r="E448" s="23">
        <f t="shared" si="1"/>
        <v>0</v>
      </c>
    </row>
    <row r="449" spans="1:5" ht="12.75">
      <c r="A449" s="6"/>
      <c r="B449" s="9">
        <f>IFERROR(VLOOKUP(A449,ชื่อสินค้า!A:D,4,FALSE),)</f>
        <v>0</v>
      </c>
      <c r="C449" s="9">
        <f>IF(A449&lt;&gt;"",SUMIF(ซื้อสินค้า!B:B,A449,ซื้อสินค้า!E:E)-SUMIF(ขายสินค้า!B:B,A449,ขายสินค้า!E:E),)</f>
        <v>0</v>
      </c>
      <c r="D449" s="23">
        <f>IF(A449&lt;&gt;"",SUMIF(ซื้อสินค้า!B:B,A449,ซื้อสินค้า!M:M),)</f>
        <v>0</v>
      </c>
      <c r="E449" s="23">
        <f t="shared" si="1"/>
        <v>0</v>
      </c>
    </row>
    <row r="450" spans="1:5" ht="12.75">
      <c r="A450" s="6"/>
      <c r="B450" s="9">
        <f>IFERROR(VLOOKUP(A450,ชื่อสินค้า!A:D,4,FALSE),)</f>
        <v>0</v>
      </c>
      <c r="C450" s="9">
        <f>IF(A450&lt;&gt;"",SUMIF(ซื้อสินค้า!B:B,A450,ซื้อสินค้า!E:E)-SUMIF(ขายสินค้า!B:B,A450,ขายสินค้า!E:E),)</f>
        <v>0</v>
      </c>
      <c r="D450" s="23">
        <f>IF(A450&lt;&gt;"",SUMIF(ซื้อสินค้า!B:B,A450,ซื้อสินค้า!M:M),)</f>
        <v>0</v>
      </c>
      <c r="E450" s="23">
        <f t="shared" si="1"/>
        <v>0</v>
      </c>
    </row>
    <row r="451" spans="1:5" ht="12.75">
      <c r="A451" s="6"/>
      <c r="B451" s="9">
        <f>IFERROR(VLOOKUP(A451,ชื่อสินค้า!A:D,4,FALSE),)</f>
        <v>0</v>
      </c>
      <c r="C451" s="9">
        <f>IF(A451&lt;&gt;"",SUMIF(ซื้อสินค้า!B:B,A451,ซื้อสินค้า!E:E)-SUMIF(ขายสินค้า!B:B,A451,ขายสินค้า!E:E),)</f>
        <v>0</v>
      </c>
      <c r="D451" s="23">
        <f>IF(A451&lt;&gt;"",SUMIF(ซื้อสินค้า!B:B,A451,ซื้อสินค้า!M:M),)</f>
        <v>0</v>
      </c>
      <c r="E451" s="23">
        <f t="shared" si="1"/>
        <v>0</v>
      </c>
    </row>
    <row r="452" spans="1:5" ht="12.75">
      <c r="A452" s="6"/>
      <c r="B452" s="9">
        <f>IFERROR(VLOOKUP(A452,ชื่อสินค้า!A:D,4,FALSE),)</f>
        <v>0</v>
      </c>
      <c r="C452" s="9">
        <f>IF(A452&lt;&gt;"",SUMIF(ซื้อสินค้า!B:B,A452,ซื้อสินค้า!E:E)-SUMIF(ขายสินค้า!B:B,A452,ขายสินค้า!E:E),)</f>
        <v>0</v>
      </c>
      <c r="D452" s="23">
        <f>IF(A452&lt;&gt;"",SUMIF(ซื้อสินค้า!B:B,A452,ซื้อสินค้า!M:M),)</f>
        <v>0</v>
      </c>
      <c r="E452" s="23">
        <f t="shared" si="1"/>
        <v>0</v>
      </c>
    </row>
    <row r="453" spans="1:5" ht="12.75">
      <c r="A453" s="6"/>
      <c r="B453" s="9">
        <f>IFERROR(VLOOKUP(A453,ชื่อสินค้า!A:D,4,FALSE),)</f>
        <v>0</v>
      </c>
      <c r="C453" s="9">
        <f>IF(A453&lt;&gt;"",SUMIF(ซื้อสินค้า!B:B,A453,ซื้อสินค้า!E:E)-SUMIF(ขายสินค้า!B:B,A453,ขายสินค้า!E:E),)</f>
        <v>0</v>
      </c>
      <c r="D453" s="23">
        <f>IF(A453&lt;&gt;"",SUMIF(ซื้อสินค้า!B:B,A453,ซื้อสินค้า!M:M),)</f>
        <v>0</v>
      </c>
      <c r="E453" s="23">
        <f t="shared" si="1"/>
        <v>0</v>
      </c>
    </row>
    <row r="454" spans="1:5" ht="12.75">
      <c r="A454" s="6"/>
      <c r="B454" s="9">
        <f>IFERROR(VLOOKUP(A454,ชื่อสินค้า!A:D,4,FALSE),)</f>
        <v>0</v>
      </c>
      <c r="C454" s="9">
        <f>IF(A454&lt;&gt;"",SUMIF(ซื้อสินค้า!B:B,A454,ซื้อสินค้า!E:E)-SUMIF(ขายสินค้า!B:B,A454,ขายสินค้า!E:E),)</f>
        <v>0</v>
      </c>
      <c r="D454" s="23">
        <f>IF(A454&lt;&gt;"",SUMIF(ซื้อสินค้า!B:B,A454,ซื้อสินค้า!M:M),)</f>
        <v>0</v>
      </c>
      <c r="E454" s="23">
        <f t="shared" si="1"/>
        <v>0</v>
      </c>
    </row>
    <row r="455" spans="1:5" ht="12.75">
      <c r="A455" s="6"/>
      <c r="B455" s="9">
        <f>IFERROR(VLOOKUP(A455,ชื่อสินค้า!A:D,4,FALSE),)</f>
        <v>0</v>
      </c>
      <c r="C455" s="9">
        <f>IF(A455&lt;&gt;"",SUMIF(ซื้อสินค้า!B:B,A455,ซื้อสินค้า!E:E)-SUMIF(ขายสินค้า!B:B,A455,ขายสินค้า!E:E),)</f>
        <v>0</v>
      </c>
      <c r="D455" s="23">
        <f>IF(A455&lt;&gt;"",SUMIF(ซื้อสินค้า!B:B,A455,ซื้อสินค้า!M:M),)</f>
        <v>0</v>
      </c>
      <c r="E455" s="23">
        <f t="shared" si="1"/>
        <v>0</v>
      </c>
    </row>
    <row r="456" spans="1:5" ht="12.75">
      <c r="A456" s="6"/>
      <c r="B456" s="9">
        <f>IFERROR(VLOOKUP(A456,ชื่อสินค้า!A:D,4,FALSE),)</f>
        <v>0</v>
      </c>
      <c r="C456" s="9">
        <f>IF(A456&lt;&gt;"",SUMIF(ซื้อสินค้า!B:B,A456,ซื้อสินค้า!E:E)-SUMIF(ขายสินค้า!B:B,A456,ขายสินค้า!E:E),)</f>
        <v>0</v>
      </c>
      <c r="D456" s="23">
        <f>IF(A456&lt;&gt;"",SUMIF(ซื้อสินค้า!B:B,A456,ซื้อสินค้า!M:M),)</f>
        <v>0</v>
      </c>
      <c r="E456" s="23">
        <f t="shared" si="1"/>
        <v>0</v>
      </c>
    </row>
    <row r="457" spans="1:5" ht="12.75">
      <c r="A457" s="6"/>
      <c r="B457" s="9">
        <f>IFERROR(VLOOKUP(A457,ชื่อสินค้า!A:D,4,FALSE),)</f>
        <v>0</v>
      </c>
      <c r="C457" s="9">
        <f>IF(A457&lt;&gt;"",SUMIF(ซื้อสินค้า!B:B,A457,ซื้อสินค้า!E:E)-SUMIF(ขายสินค้า!B:B,A457,ขายสินค้า!E:E),)</f>
        <v>0</v>
      </c>
      <c r="D457" s="23">
        <f>IF(A457&lt;&gt;"",SUMIF(ซื้อสินค้า!B:B,A457,ซื้อสินค้า!M:M),)</f>
        <v>0</v>
      </c>
      <c r="E457" s="23">
        <f t="shared" si="1"/>
        <v>0</v>
      </c>
    </row>
    <row r="458" spans="1:5" ht="12.75">
      <c r="A458" s="6"/>
      <c r="B458" s="9">
        <f>IFERROR(VLOOKUP(A458,ชื่อสินค้า!A:D,4,FALSE),)</f>
        <v>0</v>
      </c>
      <c r="C458" s="9">
        <f>IF(A458&lt;&gt;"",SUMIF(ซื้อสินค้า!B:B,A458,ซื้อสินค้า!E:E)-SUMIF(ขายสินค้า!B:B,A458,ขายสินค้า!E:E),)</f>
        <v>0</v>
      </c>
      <c r="D458" s="23">
        <f>IF(A458&lt;&gt;"",SUMIF(ซื้อสินค้า!B:B,A458,ซื้อสินค้า!M:M),)</f>
        <v>0</v>
      </c>
      <c r="E458" s="23">
        <f t="shared" si="1"/>
        <v>0</v>
      </c>
    </row>
    <row r="459" spans="1:5" ht="12.75">
      <c r="A459" s="6"/>
      <c r="B459" s="9">
        <f>IFERROR(VLOOKUP(A459,ชื่อสินค้า!A:D,4,FALSE),)</f>
        <v>0</v>
      </c>
      <c r="C459" s="9">
        <f>IF(A459&lt;&gt;"",SUMIF(ซื้อสินค้า!B:B,A459,ซื้อสินค้า!E:E)-SUMIF(ขายสินค้า!B:B,A459,ขายสินค้า!E:E),)</f>
        <v>0</v>
      </c>
      <c r="D459" s="23">
        <f>IF(A459&lt;&gt;"",SUMIF(ซื้อสินค้า!B:B,A459,ซื้อสินค้า!M:M),)</f>
        <v>0</v>
      </c>
      <c r="E459" s="23">
        <f t="shared" si="1"/>
        <v>0</v>
      </c>
    </row>
    <row r="460" spans="1:5" ht="12.75">
      <c r="A460" s="6"/>
      <c r="B460" s="9">
        <f>IFERROR(VLOOKUP(A460,ชื่อสินค้า!A:D,4,FALSE),)</f>
        <v>0</v>
      </c>
      <c r="C460" s="9">
        <f>IF(A460&lt;&gt;"",SUMIF(ซื้อสินค้า!B:B,A460,ซื้อสินค้า!E:E)-SUMIF(ขายสินค้า!B:B,A460,ขายสินค้า!E:E),)</f>
        <v>0</v>
      </c>
      <c r="D460" s="23">
        <f>IF(A460&lt;&gt;"",SUMIF(ซื้อสินค้า!B:B,A460,ซื้อสินค้า!M:M),)</f>
        <v>0</v>
      </c>
      <c r="E460" s="23">
        <f t="shared" si="1"/>
        <v>0</v>
      </c>
    </row>
    <row r="461" spans="1:5" ht="12.75">
      <c r="A461" s="6"/>
      <c r="B461" s="9">
        <f>IFERROR(VLOOKUP(A461,ชื่อสินค้า!A:D,4,FALSE),)</f>
        <v>0</v>
      </c>
      <c r="C461" s="9">
        <f>IF(A461&lt;&gt;"",SUMIF(ซื้อสินค้า!B:B,A461,ซื้อสินค้า!E:E)-SUMIF(ขายสินค้า!B:B,A461,ขายสินค้า!E:E),)</f>
        <v>0</v>
      </c>
      <c r="D461" s="23">
        <f>IF(A461&lt;&gt;"",SUMIF(ซื้อสินค้า!B:B,A461,ซื้อสินค้า!M:M),)</f>
        <v>0</v>
      </c>
      <c r="E461" s="23">
        <f t="shared" si="1"/>
        <v>0</v>
      </c>
    </row>
    <row r="462" spans="1:5" ht="12.75">
      <c r="A462" s="6"/>
      <c r="B462" s="9">
        <f>IFERROR(VLOOKUP(A462,ชื่อสินค้า!A:D,4,FALSE),)</f>
        <v>0</v>
      </c>
      <c r="C462" s="9">
        <f>IF(A462&lt;&gt;"",SUMIF(ซื้อสินค้า!B:B,A462,ซื้อสินค้า!E:E)-SUMIF(ขายสินค้า!B:B,A462,ขายสินค้า!E:E),)</f>
        <v>0</v>
      </c>
      <c r="D462" s="23">
        <f>IF(A462&lt;&gt;"",SUMIF(ซื้อสินค้า!B:B,A462,ซื้อสินค้า!M:M),)</f>
        <v>0</v>
      </c>
      <c r="E462" s="23">
        <f t="shared" si="1"/>
        <v>0</v>
      </c>
    </row>
    <row r="463" spans="1:5" ht="12.75">
      <c r="A463" s="6"/>
      <c r="B463" s="9">
        <f>IFERROR(VLOOKUP(A463,ชื่อสินค้า!A:D,4,FALSE),)</f>
        <v>0</v>
      </c>
      <c r="C463" s="9">
        <f>IF(A463&lt;&gt;"",SUMIF(ซื้อสินค้า!B:B,A463,ซื้อสินค้า!E:E)-SUMIF(ขายสินค้า!B:B,A463,ขายสินค้า!E:E),)</f>
        <v>0</v>
      </c>
      <c r="D463" s="23">
        <f>IF(A463&lt;&gt;"",SUMIF(ซื้อสินค้า!B:B,A463,ซื้อสินค้า!M:M),)</f>
        <v>0</v>
      </c>
      <c r="E463" s="23">
        <f t="shared" si="1"/>
        <v>0</v>
      </c>
    </row>
    <row r="464" spans="1:5" ht="12.75">
      <c r="A464" s="6"/>
      <c r="B464" s="9">
        <f>IFERROR(VLOOKUP(A464,ชื่อสินค้า!A:D,4,FALSE),)</f>
        <v>0</v>
      </c>
      <c r="C464" s="9">
        <f>IF(A464&lt;&gt;"",SUMIF(ซื้อสินค้า!B:B,A464,ซื้อสินค้า!E:E)-SUMIF(ขายสินค้า!B:B,A464,ขายสินค้า!E:E),)</f>
        <v>0</v>
      </c>
      <c r="D464" s="23">
        <f>IF(A464&lt;&gt;"",SUMIF(ซื้อสินค้า!B:B,A464,ซื้อสินค้า!M:M),)</f>
        <v>0</v>
      </c>
      <c r="E464" s="23">
        <f t="shared" si="1"/>
        <v>0</v>
      </c>
    </row>
    <row r="465" spans="1:5" ht="12.75">
      <c r="A465" s="6"/>
      <c r="B465" s="9">
        <f>IFERROR(VLOOKUP(A465,ชื่อสินค้า!A:D,4,FALSE),)</f>
        <v>0</v>
      </c>
      <c r="C465" s="9">
        <f>IF(A465&lt;&gt;"",SUMIF(ซื้อสินค้า!B:B,A465,ซื้อสินค้า!E:E)-SUMIF(ขายสินค้า!B:B,A465,ขายสินค้า!E:E),)</f>
        <v>0</v>
      </c>
      <c r="D465" s="23">
        <f>IF(A465&lt;&gt;"",SUMIF(ซื้อสินค้า!B:B,A465,ซื้อสินค้า!M:M),)</f>
        <v>0</v>
      </c>
      <c r="E465" s="23">
        <f t="shared" si="1"/>
        <v>0</v>
      </c>
    </row>
    <row r="466" spans="1:5" ht="12.75">
      <c r="A466" s="6"/>
      <c r="B466" s="9">
        <f>IFERROR(VLOOKUP(A466,ชื่อสินค้า!A:D,4,FALSE),)</f>
        <v>0</v>
      </c>
      <c r="C466" s="9">
        <f>IF(A466&lt;&gt;"",SUMIF(ซื้อสินค้า!B:B,A466,ซื้อสินค้า!E:E)-SUMIF(ขายสินค้า!B:B,A466,ขายสินค้า!E:E),)</f>
        <v>0</v>
      </c>
      <c r="D466" s="23">
        <f>IF(A466&lt;&gt;"",SUMIF(ซื้อสินค้า!B:B,A466,ซื้อสินค้า!M:M),)</f>
        <v>0</v>
      </c>
      <c r="E466" s="23">
        <f t="shared" si="1"/>
        <v>0</v>
      </c>
    </row>
    <row r="467" spans="1:5" ht="12.75">
      <c r="A467" s="6"/>
      <c r="B467" s="9">
        <f>IFERROR(VLOOKUP(A467,ชื่อสินค้า!A:D,4,FALSE),)</f>
        <v>0</v>
      </c>
      <c r="C467" s="9">
        <f>IF(A467&lt;&gt;"",SUMIF(ซื้อสินค้า!B:B,A467,ซื้อสินค้า!E:E)-SUMIF(ขายสินค้า!B:B,A467,ขายสินค้า!E:E),)</f>
        <v>0</v>
      </c>
      <c r="D467" s="23">
        <f>IF(A467&lt;&gt;"",SUMIF(ซื้อสินค้า!B:B,A467,ซื้อสินค้า!M:M),)</f>
        <v>0</v>
      </c>
      <c r="E467" s="23">
        <f t="shared" si="1"/>
        <v>0</v>
      </c>
    </row>
    <row r="468" spans="1:5" ht="12.75">
      <c r="A468" s="6"/>
      <c r="B468" s="9">
        <f>IFERROR(VLOOKUP(A468,ชื่อสินค้า!A:D,4,FALSE),)</f>
        <v>0</v>
      </c>
      <c r="C468" s="9">
        <f>IF(A468&lt;&gt;"",SUMIF(ซื้อสินค้า!B:B,A468,ซื้อสินค้า!E:E)-SUMIF(ขายสินค้า!B:B,A468,ขายสินค้า!E:E),)</f>
        <v>0</v>
      </c>
      <c r="D468" s="23">
        <f>IF(A468&lt;&gt;"",SUMIF(ซื้อสินค้า!B:B,A468,ซื้อสินค้า!M:M),)</f>
        <v>0</v>
      </c>
      <c r="E468" s="23">
        <f t="shared" si="1"/>
        <v>0</v>
      </c>
    </row>
    <row r="469" spans="1:5" ht="12.75">
      <c r="A469" s="6"/>
      <c r="B469" s="9">
        <f>IFERROR(VLOOKUP(A469,ชื่อสินค้า!A:D,4,FALSE),)</f>
        <v>0</v>
      </c>
      <c r="C469" s="9">
        <f>IF(A469&lt;&gt;"",SUMIF(ซื้อสินค้า!B:B,A469,ซื้อสินค้า!E:E)-SUMIF(ขายสินค้า!B:B,A469,ขายสินค้า!E:E),)</f>
        <v>0</v>
      </c>
      <c r="D469" s="23">
        <f>IF(A469&lt;&gt;"",SUMIF(ซื้อสินค้า!B:B,A469,ซื้อสินค้า!M:M),)</f>
        <v>0</v>
      </c>
      <c r="E469" s="23">
        <f t="shared" si="1"/>
        <v>0</v>
      </c>
    </row>
    <row r="470" spans="1:5" ht="12.75">
      <c r="A470" s="6"/>
      <c r="B470" s="9">
        <f>IFERROR(VLOOKUP(A470,ชื่อสินค้า!A:D,4,FALSE),)</f>
        <v>0</v>
      </c>
      <c r="C470" s="9">
        <f>IF(A470&lt;&gt;"",SUMIF(ซื้อสินค้า!B:B,A470,ซื้อสินค้า!E:E)-SUMIF(ขายสินค้า!B:B,A470,ขายสินค้า!E:E),)</f>
        <v>0</v>
      </c>
      <c r="D470" s="23">
        <f>IF(A470&lt;&gt;"",SUMIF(ซื้อสินค้า!B:B,A470,ซื้อสินค้า!M:M),)</f>
        <v>0</v>
      </c>
      <c r="E470" s="23">
        <f t="shared" si="1"/>
        <v>0</v>
      </c>
    </row>
    <row r="471" spans="1:5" ht="12.75">
      <c r="A471" s="6"/>
      <c r="B471" s="9">
        <f>IFERROR(VLOOKUP(A471,ชื่อสินค้า!A:D,4,FALSE),)</f>
        <v>0</v>
      </c>
      <c r="C471" s="9">
        <f>IF(A471&lt;&gt;"",SUMIF(ซื้อสินค้า!B:B,A471,ซื้อสินค้า!E:E)-SUMIF(ขายสินค้า!B:B,A471,ขายสินค้า!E:E),)</f>
        <v>0</v>
      </c>
      <c r="D471" s="23">
        <f>IF(A471&lt;&gt;"",SUMIF(ซื้อสินค้า!B:B,A471,ซื้อสินค้า!M:M),)</f>
        <v>0</v>
      </c>
      <c r="E471" s="23">
        <f t="shared" si="1"/>
        <v>0</v>
      </c>
    </row>
    <row r="472" spans="1:5" ht="12.75">
      <c r="A472" s="6"/>
      <c r="B472" s="9">
        <f>IFERROR(VLOOKUP(A472,ชื่อสินค้า!A:D,4,FALSE),)</f>
        <v>0</v>
      </c>
      <c r="C472" s="9">
        <f>IF(A472&lt;&gt;"",SUMIF(ซื้อสินค้า!B:B,A472,ซื้อสินค้า!E:E)-SUMIF(ขายสินค้า!B:B,A472,ขายสินค้า!E:E),)</f>
        <v>0</v>
      </c>
      <c r="D472" s="23">
        <f>IF(A472&lt;&gt;"",SUMIF(ซื้อสินค้า!B:B,A472,ซื้อสินค้า!M:M),)</f>
        <v>0</v>
      </c>
      <c r="E472" s="23">
        <f t="shared" si="1"/>
        <v>0</v>
      </c>
    </row>
    <row r="473" spans="1:5" ht="12.75">
      <c r="A473" s="6"/>
      <c r="B473" s="9">
        <f>IFERROR(VLOOKUP(A473,ชื่อสินค้า!A:D,4,FALSE),)</f>
        <v>0</v>
      </c>
      <c r="C473" s="9">
        <f>IF(A473&lt;&gt;"",SUMIF(ซื้อสินค้า!B:B,A473,ซื้อสินค้า!E:E)-SUMIF(ขายสินค้า!B:B,A473,ขายสินค้า!E:E),)</f>
        <v>0</v>
      </c>
      <c r="D473" s="23">
        <f>IF(A473&lt;&gt;"",SUMIF(ซื้อสินค้า!B:B,A473,ซื้อสินค้า!M:M),)</f>
        <v>0</v>
      </c>
      <c r="E473" s="23">
        <f t="shared" si="1"/>
        <v>0</v>
      </c>
    </row>
    <row r="474" spans="1:5" ht="12.75">
      <c r="A474" s="6"/>
      <c r="B474" s="9">
        <f>IFERROR(VLOOKUP(A474,ชื่อสินค้า!A:D,4,FALSE),)</f>
        <v>0</v>
      </c>
      <c r="C474" s="9">
        <f>IF(A474&lt;&gt;"",SUMIF(ซื้อสินค้า!B:B,A474,ซื้อสินค้า!E:E)-SUMIF(ขายสินค้า!B:B,A474,ขายสินค้า!E:E),)</f>
        <v>0</v>
      </c>
      <c r="D474" s="23">
        <f>IF(A474&lt;&gt;"",SUMIF(ซื้อสินค้า!B:B,A474,ซื้อสินค้า!M:M),)</f>
        <v>0</v>
      </c>
      <c r="E474" s="23">
        <f t="shared" si="1"/>
        <v>0</v>
      </c>
    </row>
    <row r="475" spans="1:5" ht="12.75">
      <c r="A475" s="6"/>
      <c r="B475" s="9">
        <f>IFERROR(VLOOKUP(A475,ชื่อสินค้า!A:D,4,FALSE),)</f>
        <v>0</v>
      </c>
      <c r="C475" s="9">
        <f>IF(A475&lt;&gt;"",SUMIF(ซื้อสินค้า!B:B,A475,ซื้อสินค้า!E:E)-SUMIF(ขายสินค้า!B:B,A475,ขายสินค้า!E:E),)</f>
        <v>0</v>
      </c>
      <c r="D475" s="23">
        <f>IF(A475&lt;&gt;"",SUMIF(ซื้อสินค้า!B:B,A475,ซื้อสินค้า!M:M),)</f>
        <v>0</v>
      </c>
      <c r="E475" s="23">
        <f t="shared" si="1"/>
        <v>0</v>
      </c>
    </row>
    <row r="476" spans="1:5" ht="12.75">
      <c r="A476" s="6"/>
      <c r="B476" s="9">
        <f>IFERROR(VLOOKUP(A476,ชื่อสินค้า!A:D,4,FALSE),)</f>
        <v>0</v>
      </c>
      <c r="C476" s="9">
        <f>IF(A476&lt;&gt;"",SUMIF(ซื้อสินค้า!B:B,A476,ซื้อสินค้า!E:E)-SUMIF(ขายสินค้า!B:B,A476,ขายสินค้า!E:E),)</f>
        <v>0</v>
      </c>
      <c r="D476" s="23">
        <f>IF(A476&lt;&gt;"",SUMIF(ซื้อสินค้า!B:B,A476,ซื้อสินค้า!M:M),)</f>
        <v>0</v>
      </c>
      <c r="E476" s="23">
        <f t="shared" si="1"/>
        <v>0</v>
      </c>
    </row>
    <row r="477" spans="1:5" ht="12.75">
      <c r="A477" s="6"/>
      <c r="B477" s="9">
        <f>IFERROR(VLOOKUP(A477,ชื่อสินค้า!A:D,4,FALSE),)</f>
        <v>0</v>
      </c>
      <c r="C477" s="9">
        <f>IF(A477&lt;&gt;"",SUMIF(ซื้อสินค้า!B:B,A477,ซื้อสินค้า!E:E)-SUMIF(ขายสินค้า!B:B,A477,ขายสินค้า!E:E),)</f>
        <v>0</v>
      </c>
      <c r="D477" s="23">
        <f>IF(A477&lt;&gt;"",SUMIF(ซื้อสินค้า!B:B,A477,ซื้อสินค้า!M:M),)</f>
        <v>0</v>
      </c>
      <c r="E477" s="23">
        <f t="shared" si="1"/>
        <v>0</v>
      </c>
    </row>
    <row r="478" spans="1:5" ht="12.75">
      <c r="A478" s="6"/>
      <c r="B478" s="9">
        <f>IFERROR(VLOOKUP(A478,ชื่อสินค้า!A:D,4,FALSE),)</f>
        <v>0</v>
      </c>
      <c r="C478" s="9">
        <f>IF(A478&lt;&gt;"",SUMIF(ซื้อสินค้า!B:B,A478,ซื้อสินค้า!E:E)-SUMIF(ขายสินค้า!B:B,A478,ขายสินค้า!E:E),)</f>
        <v>0</v>
      </c>
      <c r="D478" s="23">
        <f>IF(A478&lt;&gt;"",SUMIF(ซื้อสินค้า!B:B,A478,ซื้อสินค้า!M:M),)</f>
        <v>0</v>
      </c>
      <c r="E478" s="23">
        <f t="shared" si="1"/>
        <v>0</v>
      </c>
    </row>
    <row r="479" spans="1:5" ht="12.75">
      <c r="A479" s="6"/>
      <c r="B479" s="9">
        <f>IFERROR(VLOOKUP(A479,ชื่อสินค้า!A:D,4,FALSE),)</f>
        <v>0</v>
      </c>
      <c r="C479" s="9">
        <f>IF(A479&lt;&gt;"",SUMIF(ซื้อสินค้า!B:B,A479,ซื้อสินค้า!E:E)-SUMIF(ขายสินค้า!B:B,A479,ขายสินค้า!E:E),)</f>
        <v>0</v>
      </c>
      <c r="D479" s="23">
        <f>IF(A479&lt;&gt;"",SUMIF(ซื้อสินค้า!B:B,A479,ซื้อสินค้า!M:M),)</f>
        <v>0</v>
      </c>
      <c r="E479" s="23">
        <f t="shared" si="1"/>
        <v>0</v>
      </c>
    </row>
    <row r="480" spans="1:5" ht="12.75">
      <c r="A480" s="6"/>
      <c r="B480" s="9">
        <f>IFERROR(VLOOKUP(A480,ชื่อสินค้า!A:D,4,FALSE),)</f>
        <v>0</v>
      </c>
      <c r="C480" s="9">
        <f>IF(A480&lt;&gt;"",SUMIF(ซื้อสินค้า!B:B,A480,ซื้อสินค้า!E:E)-SUMIF(ขายสินค้า!B:B,A480,ขายสินค้า!E:E),)</f>
        <v>0</v>
      </c>
      <c r="D480" s="23">
        <f>IF(A480&lt;&gt;"",SUMIF(ซื้อสินค้า!B:B,A480,ซื้อสินค้า!M:M),)</f>
        <v>0</v>
      </c>
      <c r="E480" s="23">
        <f t="shared" si="1"/>
        <v>0</v>
      </c>
    </row>
    <row r="481" spans="1:5" ht="12.75">
      <c r="A481" s="6"/>
      <c r="B481" s="9">
        <f>IFERROR(VLOOKUP(A481,ชื่อสินค้า!A:D,4,FALSE),)</f>
        <v>0</v>
      </c>
      <c r="C481" s="9">
        <f>IF(A481&lt;&gt;"",SUMIF(ซื้อสินค้า!B:B,A481,ซื้อสินค้า!E:E)-SUMIF(ขายสินค้า!B:B,A481,ขายสินค้า!E:E),)</f>
        <v>0</v>
      </c>
      <c r="D481" s="23">
        <f>IF(A481&lt;&gt;"",SUMIF(ซื้อสินค้า!B:B,A481,ซื้อสินค้า!M:M),)</f>
        <v>0</v>
      </c>
      <c r="E481" s="23">
        <f t="shared" si="1"/>
        <v>0</v>
      </c>
    </row>
    <row r="482" spans="1:5" ht="12.75">
      <c r="A482" s="6"/>
      <c r="B482" s="9">
        <f>IFERROR(VLOOKUP(A482,ชื่อสินค้า!A:D,4,FALSE),)</f>
        <v>0</v>
      </c>
      <c r="C482" s="9">
        <f>IF(A482&lt;&gt;"",SUMIF(ซื้อสินค้า!B:B,A482,ซื้อสินค้า!E:E)-SUMIF(ขายสินค้า!B:B,A482,ขายสินค้า!E:E),)</f>
        <v>0</v>
      </c>
      <c r="D482" s="23">
        <f>IF(A482&lt;&gt;"",SUMIF(ซื้อสินค้า!B:B,A482,ซื้อสินค้า!M:M),)</f>
        <v>0</v>
      </c>
      <c r="E482" s="23">
        <f t="shared" si="1"/>
        <v>0</v>
      </c>
    </row>
    <row r="483" spans="1:5" ht="12.75">
      <c r="A483" s="6"/>
      <c r="B483" s="9">
        <f>IFERROR(VLOOKUP(A483,ชื่อสินค้า!A:D,4,FALSE),)</f>
        <v>0</v>
      </c>
      <c r="C483" s="9">
        <f>IF(A483&lt;&gt;"",SUMIF(ซื้อสินค้า!B:B,A483,ซื้อสินค้า!E:E)-SUMIF(ขายสินค้า!B:B,A483,ขายสินค้า!E:E),)</f>
        <v>0</v>
      </c>
      <c r="D483" s="23">
        <f>IF(A483&lt;&gt;"",SUMIF(ซื้อสินค้า!B:B,A483,ซื้อสินค้า!M:M),)</f>
        <v>0</v>
      </c>
      <c r="E483" s="23">
        <f t="shared" si="1"/>
        <v>0</v>
      </c>
    </row>
    <row r="484" spans="1:5" ht="12.75">
      <c r="A484" s="6"/>
      <c r="B484" s="9">
        <f>IFERROR(VLOOKUP(A484,ชื่อสินค้า!A:D,4,FALSE),)</f>
        <v>0</v>
      </c>
      <c r="C484" s="9">
        <f>IF(A484&lt;&gt;"",SUMIF(ซื้อสินค้า!B:B,A484,ซื้อสินค้า!E:E)-SUMIF(ขายสินค้า!B:B,A484,ขายสินค้า!E:E),)</f>
        <v>0</v>
      </c>
      <c r="D484" s="23">
        <f>IF(A484&lt;&gt;"",SUMIF(ซื้อสินค้า!B:B,A484,ซื้อสินค้า!M:M),)</f>
        <v>0</v>
      </c>
      <c r="E484" s="23">
        <f t="shared" si="1"/>
        <v>0</v>
      </c>
    </row>
    <row r="485" spans="1:5" ht="12.75">
      <c r="A485" s="6"/>
      <c r="B485" s="9">
        <f>IFERROR(VLOOKUP(A485,ชื่อสินค้า!A:D,4,FALSE),)</f>
        <v>0</v>
      </c>
      <c r="C485" s="9">
        <f>IF(A485&lt;&gt;"",SUMIF(ซื้อสินค้า!B:B,A485,ซื้อสินค้า!E:E)-SUMIF(ขายสินค้า!B:B,A485,ขายสินค้า!E:E),)</f>
        <v>0</v>
      </c>
      <c r="D485" s="23">
        <f>IF(A485&lt;&gt;"",SUMIF(ซื้อสินค้า!B:B,A485,ซื้อสินค้า!M:M),)</f>
        <v>0</v>
      </c>
      <c r="E485" s="23">
        <f t="shared" si="1"/>
        <v>0</v>
      </c>
    </row>
    <row r="486" spans="1:5" ht="12.75">
      <c r="A486" s="6"/>
      <c r="B486" s="9">
        <f>IFERROR(VLOOKUP(A486,ชื่อสินค้า!A:D,4,FALSE),)</f>
        <v>0</v>
      </c>
      <c r="C486" s="9">
        <f>IF(A486&lt;&gt;"",SUMIF(ซื้อสินค้า!B:B,A486,ซื้อสินค้า!E:E)-SUMIF(ขายสินค้า!B:B,A486,ขายสินค้า!E:E),)</f>
        <v>0</v>
      </c>
      <c r="D486" s="23">
        <f>IF(A486&lt;&gt;"",SUMIF(ซื้อสินค้า!B:B,A486,ซื้อสินค้า!M:M),)</f>
        <v>0</v>
      </c>
      <c r="E486" s="23">
        <f t="shared" si="1"/>
        <v>0</v>
      </c>
    </row>
    <row r="487" spans="1:5" ht="12.75">
      <c r="A487" s="6"/>
      <c r="B487" s="9">
        <f>IFERROR(VLOOKUP(A487,ชื่อสินค้า!A:D,4,FALSE),)</f>
        <v>0</v>
      </c>
      <c r="C487" s="9">
        <f>IF(A487&lt;&gt;"",SUMIF(ซื้อสินค้า!B:B,A487,ซื้อสินค้า!E:E)-SUMIF(ขายสินค้า!B:B,A487,ขายสินค้า!E:E),)</f>
        <v>0</v>
      </c>
      <c r="D487" s="23">
        <f>IF(A487&lt;&gt;"",SUMIF(ซื้อสินค้า!B:B,A487,ซื้อสินค้า!M:M),)</f>
        <v>0</v>
      </c>
      <c r="E487" s="23">
        <f t="shared" si="1"/>
        <v>0</v>
      </c>
    </row>
    <row r="488" spans="1:5" ht="12.75">
      <c r="A488" s="6"/>
      <c r="B488" s="9">
        <f>IFERROR(VLOOKUP(A488,ชื่อสินค้า!A:D,4,FALSE),)</f>
        <v>0</v>
      </c>
      <c r="C488" s="9">
        <f>IF(A488&lt;&gt;"",SUMIF(ซื้อสินค้า!B:B,A488,ซื้อสินค้า!E:E)-SUMIF(ขายสินค้า!B:B,A488,ขายสินค้า!E:E),)</f>
        <v>0</v>
      </c>
      <c r="D488" s="23">
        <f>IF(A488&lt;&gt;"",SUMIF(ซื้อสินค้า!B:B,A488,ซื้อสินค้า!M:M),)</f>
        <v>0</v>
      </c>
      <c r="E488" s="23">
        <f t="shared" si="1"/>
        <v>0</v>
      </c>
    </row>
    <row r="489" spans="1:5" ht="12.75">
      <c r="A489" s="6"/>
      <c r="B489" s="9">
        <f>IFERROR(VLOOKUP(A489,ชื่อสินค้า!A:D,4,FALSE),)</f>
        <v>0</v>
      </c>
      <c r="C489" s="9">
        <f>IF(A489&lt;&gt;"",SUMIF(ซื้อสินค้า!B:B,A489,ซื้อสินค้า!E:E)-SUMIF(ขายสินค้า!B:B,A489,ขายสินค้า!E:E),)</f>
        <v>0</v>
      </c>
      <c r="D489" s="23">
        <f>IF(A489&lt;&gt;"",SUMIF(ซื้อสินค้า!B:B,A489,ซื้อสินค้า!M:M),)</f>
        <v>0</v>
      </c>
      <c r="E489" s="23">
        <f t="shared" si="1"/>
        <v>0</v>
      </c>
    </row>
    <row r="490" spans="1:5" ht="12.75">
      <c r="A490" s="6"/>
      <c r="B490" s="9">
        <f>IFERROR(VLOOKUP(A490,ชื่อสินค้า!A:D,4,FALSE),)</f>
        <v>0</v>
      </c>
      <c r="C490" s="9">
        <f>IF(A490&lt;&gt;"",SUMIF(ซื้อสินค้า!B:B,A490,ซื้อสินค้า!E:E)-SUMIF(ขายสินค้า!B:B,A490,ขายสินค้า!E:E),)</f>
        <v>0</v>
      </c>
      <c r="D490" s="23">
        <f>IF(A490&lt;&gt;"",SUMIF(ซื้อสินค้า!B:B,A490,ซื้อสินค้า!M:M),)</f>
        <v>0</v>
      </c>
      <c r="E490" s="23">
        <f t="shared" si="1"/>
        <v>0</v>
      </c>
    </row>
    <row r="491" spans="1:5" ht="12.75">
      <c r="A491" s="6"/>
      <c r="B491" s="9">
        <f>IFERROR(VLOOKUP(A491,ชื่อสินค้า!A:D,4,FALSE),)</f>
        <v>0</v>
      </c>
      <c r="C491" s="9">
        <f>IF(A491&lt;&gt;"",SUMIF(ซื้อสินค้า!B:B,A491,ซื้อสินค้า!E:E)-SUMIF(ขายสินค้า!B:B,A491,ขายสินค้า!E:E),)</f>
        <v>0</v>
      </c>
      <c r="D491" s="23">
        <f>IF(A491&lt;&gt;"",SUMIF(ซื้อสินค้า!B:B,A491,ซื้อสินค้า!M:M),)</f>
        <v>0</v>
      </c>
      <c r="E491" s="23">
        <f t="shared" si="1"/>
        <v>0</v>
      </c>
    </row>
    <row r="492" spans="1:5" ht="12.75">
      <c r="A492" s="6"/>
      <c r="B492" s="9">
        <f>IFERROR(VLOOKUP(A492,ชื่อสินค้า!A:D,4,FALSE),)</f>
        <v>0</v>
      </c>
      <c r="C492" s="9">
        <f>IF(A492&lt;&gt;"",SUMIF(ซื้อสินค้า!B:B,A492,ซื้อสินค้า!E:E)-SUMIF(ขายสินค้า!B:B,A492,ขายสินค้า!E:E),)</f>
        <v>0</v>
      </c>
      <c r="D492" s="23">
        <f>IF(A492&lt;&gt;"",SUMIF(ซื้อสินค้า!B:B,A492,ซื้อสินค้า!M:M),)</f>
        <v>0</v>
      </c>
      <c r="E492" s="23">
        <f t="shared" si="1"/>
        <v>0</v>
      </c>
    </row>
    <row r="493" spans="1:5" ht="12.75">
      <c r="A493" s="6"/>
      <c r="B493" s="9">
        <f>IFERROR(VLOOKUP(A493,ชื่อสินค้า!A:D,4,FALSE),)</f>
        <v>0</v>
      </c>
      <c r="C493" s="9">
        <f>IF(A493&lt;&gt;"",SUMIF(ซื้อสินค้า!B:B,A493,ซื้อสินค้า!E:E)-SUMIF(ขายสินค้า!B:B,A493,ขายสินค้า!E:E),)</f>
        <v>0</v>
      </c>
      <c r="D493" s="23">
        <f>IF(A493&lt;&gt;"",SUMIF(ซื้อสินค้า!B:B,A493,ซื้อสินค้า!M:M),)</f>
        <v>0</v>
      </c>
      <c r="E493" s="23">
        <f t="shared" si="1"/>
        <v>0</v>
      </c>
    </row>
    <row r="494" spans="1:5" ht="12.75">
      <c r="A494" s="6"/>
      <c r="B494" s="9">
        <f>IFERROR(VLOOKUP(A494,ชื่อสินค้า!A:D,4,FALSE),)</f>
        <v>0</v>
      </c>
      <c r="C494" s="9">
        <f>IF(A494&lt;&gt;"",SUMIF(ซื้อสินค้า!B:B,A494,ซื้อสินค้า!E:E)-SUMIF(ขายสินค้า!B:B,A494,ขายสินค้า!E:E),)</f>
        <v>0</v>
      </c>
      <c r="D494" s="23">
        <f>IF(A494&lt;&gt;"",SUMIF(ซื้อสินค้า!B:B,A494,ซื้อสินค้า!M:M),)</f>
        <v>0</v>
      </c>
      <c r="E494" s="23">
        <f t="shared" si="1"/>
        <v>0</v>
      </c>
    </row>
    <row r="495" spans="1:5" ht="12.75">
      <c r="A495" s="6"/>
      <c r="B495" s="9">
        <f>IFERROR(VLOOKUP(A495,ชื่อสินค้า!A:D,4,FALSE),)</f>
        <v>0</v>
      </c>
      <c r="C495" s="9">
        <f>IF(A495&lt;&gt;"",SUMIF(ซื้อสินค้า!B:B,A495,ซื้อสินค้า!E:E)-SUMIF(ขายสินค้า!B:B,A495,ขายสินค้า!E:E),)</f>
        <v>0</v>
      </c>
      <c r="D495" s="23">
        <f>IF(A495&lt;&gt;"",SUMIF(ซื้อสินค้า!B:B,A495,ซื้อสินค้า!M:M),)</f>
        <v>0</v>
      </c>
      <c r="E495" s="23">
        <f t="shared" si="1"/>
        <v>0</v>
      </c>
    </row>
    <row r="496" spans="1:5" ht="12.75">
      <c r="A496" s="6"/>
      <c r="B496" s="9">
        <f>IFERROR(VLOOKUP(A496,ชื่อสินค้า!A:D,4,FALSE),)</f>
        <v>0</v>
      </c>
      <c r="C496" s="9">
        <f>IF(A496&lt;&gt;"",SUMIF(ซื้อสินค้า!B:B,A496,ซื้อสินค้า!E:E)-SUMIF(ขายสินค้า!B:B,A496,ขายสินค้า!E:E),)</f>
        <v>0</v>
      </c>
      <c r="D496" s="23">
        <f>IF(A496&lt;&gt;"",SUMIF(ซื้อสินค้า!B:B,A496,ซื้อสินค้า!M:M),)</f>
        <v>0</v>
      </c>
      <c r="E496" s="23">
        <f t="shared" si="1"/>
        <v>0</v>
      </c>
    </row>
    <row r="497" spans="1:5" ht="12.75">
      <c r="A497" s="6"/>
      <c r="B497" s="9">
        <f>IFERROR(VLOOKUP(A497,ชื่อสินค้า!A:D,4,FALSE),)</f>
        <v>0</v>
      </c>
      <c r="C497" s="9">
        <f>IF(A497&lt;&gt;"",SUMIF(ซื้อสินค้า!B:B,A497,ซื้อสินค้า!E:E)-SUMIF(ขายสินค้า!B:B,A497,ขายสินค้า!E:E),)</f>
        <v>0</v>
      </c>
      <c r="D497" s="23">
        <f>IF(A497&lt;&gt;"",SUMIF(ซื้อสินค้า!B:B,A497,ซื้อสินค้า!M:M),)</f>
        <v>0</v>
      </c>
      <c r="E497" s="23">
        <f t="shared" si="1"/>
        <v>0</v>
      </c>
    </row>
    <row r="498" spans="1:5" ht="12.75">
      <c r="A498" s="6"/>
      <c r="B498" s="9">
        <f>IFERROR(VLOOKUP(A498,ชื่อสินค้า!A:D,4,FALSE),)</f>
        <v>0</v>
      </c>
      <c r="C498" s="9">
        <f>IF(A498&lt;&gt;"",SUMIF(ซื้อสินค้า!B:B,A498,ซื้อสินค้า!E:E)-SUMIF(ขายสินค้า!B:B,A498,ขายสินค้า!E:E),)</f>
        <v>0</v>
      </c>
      <c r="D498" s="23">
        <f>IF(A498&lt;&gt;"",SUMIF(ซื้อสินค้า!B:B,A498,ซื้อสินค้า!M:M),)</f>
        <v>0</v>
      </c>
      <c r="E498" s="23">
        <f t="shared" si="1"/>
        <v>0</v>
      </c>
    </row>
    <row r="499" spans="1:5" ht="12.75">
      <c r="A499" s="6"/>
      <c r="B499" s="9">
        <f>IFERROR(VLOOKUP(A499,ชื่อสินค้า!A:D,4,FALSE),)</f>
        <v>0</v>
      </c>
      <c r="C499" s="9">
        <f>IF(A499&lt;&gt;"",SUMIF(ซื้อสินค้า!B:B,A499,ซื้อสินค้า!E:E)-SUMIF(ขายสินค้า!B:B,A499,ขายสินค้า!E:E),)</f>
        <v>0</v>
      </c>
      <c r="D499" s="23">
        <f>IF(A499&lt;&gt;"",SUMIF(ซื้อสินค้า!B:B,A499,ซื้อสินค้า!M:M),)</f>
        <v>0</v>
      </c>
      <c r="E499" s="23">
        <f t="shared" si="1"/>
        <v>0</v>
      </c>
    </row>
    <row r="500" spans="1:5" ht="12.75">
      <c r="A500" s="6"/>
      <c r="B500" s="9">
        <f>IFERROR(VLOOKUP(A500,ชื่อสินค้า!A:D,4,FALSE),)</f>
        <v>0</v>
      </c>
      <c r="C500" s="9">
        <f>IF(A500&lt;&gt;"",SUMIF(ซื้อสินค้า!B:B,A500,ซื้อสินค้า!E:E)-SUMIF(ขายสินค้า!B:B,A500,ขายสินค้า!E:E),)</f>
        <v>0</v>
      </c>
      <c r="D500" s="23">
        <f>IF(A500&lt;&gt;"",SUMIF(ซื้อสินค้า!B:B,A500,ซื้อสินค้า!M:M),)</f>
        <v>0</v>
      </c>
      <c r="E500" s="23">
        <f t="shared" si="1"/>
        <v>0</v>
      </c>
    </row>
    <row r="501" spans="1:5" ht="12.75">
      <c r="A501" s="6"/>
      <c r="B501" s="9">
        <f>IFERROR(VLOOKUP(A501,ชื่อสินค้า!A:D,4,FALSE),)</f>
        <v>0</v>
      </c>
      <c r="C501" s="9">
        <f>IF(A501&lt;&gt;"",SUMIF(ซื้อสินค้า!B:B,A501,ซื้อสินค้า!E:E)-SUMIF(ขายสินค้า!B:B,A501,ขายสินค้า!E:E),)</f>
        <v>0</v>
      </c>
      <c r="D501" s="23">
        <f>IF(A501&lt;&gt;"",SUMIF(ซื้อสินค้า!B:B,A501,ซื้อสินค้า!M:M),)</f>
        <v>0</v>
      </c>
      <c r="E501" s="23">
        <f t="shared" si="1"/>
        <v>0</v>
      </c>
    </row>
    <row r="502" spans="1:5" ht="12.75">
      <c r="A502" s="6"/>
      <c r="B502" s="9">
        <f>IFERROR(VLOOKUP(A502,ชื่อสินค้า!A:D,4,FALSE),)</f>
        <v>0</v>
      </c>
      <c r="C502" s="9">
        <f>IF(A502&lt;&gt;"",SUMIF(ซื้อสินค้า!B:B,A502,ซื้อสินค้า!E:E)-SUMIF(ขายสินค้า!B:B,A502,ขายสินค้า!E:E),)</f>
        <v>0</v>
      </c>
      <c r="D502" s="23">
        <f>IF(A502&lt;&gt;"",SUMIF(ซื้อสินค้า!B:B,A502,ซื้อสินค้า!M:M),)</f>
        <v>0</v>
      </c>
      <c r="E502" s="23">
        <f t="shared" si="1"/>
        <v>0</v>
      </c>
    </row>
    <row r="503" spans="1:5" ht="12.75">
      <c r="A503" s="6"/>
      <c r="B503" s="9">
        <f>IFERROR(VLOOKUP(A503,ชื่อสินค้า!A:D,4,FALSE),)</f>
        <v>0</v>
      </c>
      <c r="C503" s="9">
        <f>IF(A503&lt;&gt;"",SUMIF(ซื้อสินค้า!B:B,A503,ซื้อสินค้า!E:E)-SUMIF(ขายสินค้า!B:B,A503,ขายสินค้า!E:E),)</f>
        <v>0</v>
      </c>
      <c r="D503" s="23">
        <f>IF(A503&lt;&gt;"",SUMIF(ซื้อสินค้า!B:B,A503,ซื้อสินค้า!M:M),)</f>
        <v>0</v>
      </c>
      <c r="E503" s="23">
        <f t="shared" si="1"/>
        <v>0</v>
      </c>
    </row>
    <row r="504" spans="1:5" ht="12.75">
      <c r="A504" s="6"/>
      <c r="B504" s="9">
        <f>IFERROR(VLOOKUP(A504,ชื่อสินค้า!A:D,4,FALSE),)</f>
        <v>0</v>
      </c>
      <c r="C504" s="9">
        <f>IF(A504&lt;&gt;"",SUMIF(ซื้อสินค้า!B:B,A504,ซื้อสินค้า!E:E)-SUMIF(ขายสินค้า!B:B,A504,ขายสินค้า!E:E),)</f>
        <v>0</v>
      </c>
      <c r="D504" s="23">
        <f>IF(A504&lt;&gt;"",SUMIF(ซื้อสินค้า!B:B,A504,ซื้อสินค้า!M:M),)</f>
        <v>0</v>
      </c>
      <c r="E504" s="23">
        <f t="shared" si="1"/>
        <v>0</v>
      </c>
    </row>
    <row r="505" spans="1:5" ht="12.75">
      <c r="A505" s="6"/>
      <c r="B505" s="9">
        <f>IFERROR(VLOOKUP(A505,ชื่อสินค้า!A:D,4,FALSE),)</f>
        <v>0</v>
      </c>
      <c r="C505" s="9">
        <f>IF(A505&lt;&gt;"",SUMIF(ซื้อสินค้า!B:B,A505,ซื้อสินค้า!E:E)-SUMIF(ขายสินค้า!B:B,A505,ขายสินค้า!E:E),)</f>
        <v>0</v>
      </c>
      <c r="D505" s="23">
        <f>IF(A505&lt;&gt;"",SUMIF(ซื้อสินค้า!B:B,A505,ซื้อสินค้า!M:M),)</f>
        <v>0</v>
      </c>
      <c r="E505" s="23">
        <f t="shared" si="1"/>
        <v>0</v>
      </c>
    </row>
    <row r="506" spans="1:5" ht="12.75">
      <c r="A506" s="6"/>
      <c r="B506" s="9">
        <f>IFERROR(VLOOKUP(A506,ชื่อสินค้า!A:D,4,FALSE),)</f>
        <v>0</v>
      </c>
      <c r="C506" s="9">
        <f>IF(A506&lt;&gt;"",SUMIF(ซื้อสินค้า!B:B,A506,ซื้อสินค้า!E:E)-SUMIF(ขายสินค้า!B:B,A506,ขายสินค้า!E:E),)</f>
        <v>0</v>
      </c>
      <c r="D506" s="23">
        <f>IF(A506&lt;&gt;"",SUMIF(ซื้อสินค้า!B:B,A506,ซื้อสินค้า!M:M),)</f>
        <v>0</v>
      </c>
      <c r="E506" s="23">
        <f t="shared" si="1"/>
        <v>0</v>
      </c>
    </row>
    <row r="507" spans="1:5" ht="12.75">
      <c r="A507" s="6"/>
      <c r="B507" s="9">
        <f>IFERROR(VLOOKUP(A507,ชื่อสินค้า!A:D,4,FALSE),)</f>
        <v>0</v>
      </c>
      <c r="C507" s="9">
        <f>IF(A507&lt;&gt;"",SUMIF(ซื้อสินค้า!B:B,A507,ซื้อสินค้า!E:E)-SUMIF(ขายสินค้า!B:B,A507,ขายสินค้า!E:E),)</f>
        <v>0</v>
      </c>
      <c r="D507" s="23">
        <f>IF(A507&lt;&gt;"",SUMIF(ซื้อสินค้า!B:B,A507,ซื้อสินค้า!M:M),)</f>
        <v>0</v>
      </c>
      <c r="E507" s="23">
        <f t="shared" si="1"/>
        <v>0</v>
      </c>
    </row>
    <row r="508" spans="1:5" ht="12.75">
      <c r="A508" s="6"/>
      <c r="B508" s="9">
        <f>IFERROR(VLOOKUP(A508,ชื่อสินค้า!A:D,4,FALSE),)</f>
        <v>0</v>
      </c>
      <c r="C508" s="9">
        <f>IF(A508&lt;&gt;"",SUMIF(ซื้อสินค้า!B:B,A508,ซื้อสินค้า!E:E)-SUMIF(ขายสินค้า!B:B,A508,ขายสินค้า!E:E),)</f>
        <v>0</v>
      </c>
      <c r="D508" s="23">
        <f>IF(A508&lt;&gt;"",SUMIF(ซื้อสินค้า!B:B,A508,ซื้อสินค้า!M:M),)</f>
        <v>0</v>
      </c>
      <c r="E508" s="23">
        <f t="shared" si="1"/>
        <v>0</v>
      </c>
    </row>
    <row r="509" spans="1:5" ht="12.75">
      <c r="A509" s="6"/>
      <c r="B509" s="9">
        <f>IFERROR(VLOOKUP(A509,ชื่อสินค้า!A:D,4,FALSE),)</f>
        <v>0</v>
      </c>
      <c r="C509" s="9">
        <f>IF(A509&lt;&gt;"",SUMIF(ซื้อสินค้า!B:B,A509,ซื้อสินค้า!E:E)-SUMIF(ขายสินค้า!B:B,A509,ขายสินค้า!E:E),)</f>
        <v>0</v>
      </c>
      <c r="D509" s="23">
        <f>IF(A509&lt;&gt;"",SUMIF(ซื้อสินค้า!B:B,A509,ซื้อสินค้า!M:M),)</f>
        <v>0</v>
      </c>
      <c r="E509" s="23">
        <f t="shared" si="1"/>
        <v>0</v>
      </c>
    </row>
    <row r="510" spans="1:5" ht="12.75">
      <c r="A510" s="6"/>
      <c r="B510" s="9">
        <f>IFERROR(VLOOKUP(A510,ชื่อสินค้า!A:D,4,FALSE),)</f>
        <v>0</v>
      </c>
      <c r="C510" s="9">
        <f>IF(A510&lt;&gt;"",SUMIF(ซื้อสินค้า!B:B,A510,ซื้อสินค้า!E:E)-SUMIF(ขายสินค้า!B:B,A510,ขายสินค้า!E:E),)</f>
        <v>0</v>
      </c>
      <c r="D510" s="23">
        <f>IF(A510&lt;&gt;"",SUMIF(ซื้อสินค้า!B:B,A510,ซื้อสินค้า!M:M),)</f>
        <v>0</v>
      </c>
      <c r="E510" s="23">
        <f t="shared" si="1"/>
        <v>0</v>
      </c>
    </row>
    <row r="511" spans="1:5" ht="12.75">
      <c r="A511" s="6"/>
      <c r="B511" s="9">
        <f>IFERROR(VLOOKUP(A511,ชื่อสินค้า!A:D,4,FALSE),)</f>
        <v>0</v>
      </c>
      <c r="C511" s="9">
        <f>IF(A511&lt;&gt;"",SUMIF(ซื้อสินค้า!B:B,A511,ซื้อสินค้า!E:E)-SUMIF(ขายสินค้า!B:B,A511,ขายสินค้า!E:E),)</f>
        <v>0</v>
      </c>
      <c r="D511" s="23">
        <f>IF(A511&lt;&gt;"",SUMIF(ซื้อสินค้า!B:B,A511,ซื้อสินค้า!M:M),)</f>
        <v>0</v>
      </c>
      <c r="E511" s="23">
        <f t="shared" si="1"/>
        <v>0</v>
      </c>
    </row>
    <row r="512" spans="1:5" ht="12.75">
      <c r="A512" s="6"/>
      <c r="B512" s="9">
        <f>IFERROR(VLOOKUP(A512,ชื่อสินค้า!A:D,4,FALSE),)</f>
        <v>0</v>
      </c>
      <c r="C512" s="9">
        <f>IF(A512&lt;&gt;"",SUMIF(ซื้อสินค้า!B:B,A512,ซื้อสินค้า!E:E)-SUMIF(ขายสินค้า!B:B,A512,ขายสินค้า!E:E),)</f>
        <v>0</v>
      </c>
      <c r="D512" s="23">
        <f>IF(A512&lt;&gt;"",SUMIF(ซื้อสินค้า!B:B,A512,ซื้อสินค้า!M:M),)</f>
        <v>0</v>
      </c>
      <c r="E512" s="23">
        <f t="shared" ref="E512:E766" si="2">IFERROR(IF(A512&lt;&gt;"",D512/C512,),0)</f>
        <v>0</v>
      </c>
    </row>
    <row r="513" spans="1:5" ht="12.75">
      <c r="A513" s="6"/>
      <c r="B513" s="9">
        <f>IFERROR(VLOOKUP(A513,ชื่อสินค้า!A:D,4,FALSE),)</f>
        <v>0</v>
      </c>
      <c r="C513" s="9">
        <f>IF(A513&lt;&gt;"",SUMIF(ซื้อสินค้า!B:B,A513,ซื้อสินค้า!E:E)-SUMIF(ขายสินค้า!B:B,A513,ขายสินค้า!E:E),)</f>
        <v>0</v>
      </c>
      <c r="D513" s="23">
        <f>IF(A513&lt;&gt;"",SUMIF(ซื้อสินค้า!B:B,A513,ซื้อสินค้า!M:M),)</f>
        <v>0</v>
      </c>
      <c r="E513" s="23">
        <f t="shared" si="2"/>
        <v>0</v>
      </c>
    </row>
    <row r="514" spans="1:5" ht="12.75">
      <c r="A514" s="6"/>
      <c r="B514" s="9">
        <f>IFERROR(VLOOKUP(A514,ชื่อสินค้า!A:D,4,FALSE),)</f>
        <v>0</v>
      </c>
      <c r="C514" s="9">
        <f>IF(A514&lt;&gt;"",SUMIF(ซื้อสินค้า!B:B,A514,ซื้อสินค้า!E:E)-SUMIF(ขายสินค้า!B:B,A514,ขายสินค้า!E:E),)</f>
        <v>0</v>
      </c>
      <c r="D514" s="23">
        <f>IF(A514&lt;&gt;"",SUMIF(ซื้อสินค้า!B:B,A514,ซื้อสินค้า!M:M),)</f>
        <v>0</v>
      </c>
      <c r="E514" s="23">
        <f t="shared" si="2"/>
        <v>0</v>
      </c>
    </row>
    <row r="515" spans="1:5" ht="12.75">
      <c r="A515" s="6"/>
      <c r="B515" s="9">
        <f>IFERROR(VLOOKUP(A515,ชื่อสินค้า!A:D,4,FALSE),)</f>
        <v>0</v>
      </c>
      <c r="C515" s="9">
        <f>IF(A515&lt;&gt;"",SUMIF(ซื้อสินค้า!B:B,A515,ซื้อสินค้า!E:E)-SUMIF(ขายสินค้า!B:B,A515,ขายสินค้า!E:E),)</f>
        <v>0</v>
      </c>
      <c r="D515" s="23">
        <f>IF(A515&lt;&gt;"",SUMIF(ซื้อสินค้า!B:B,A515,ซื้อสินค้า!M:M),)</f>
        <v>0</v>
      </c>
      <c r="E515" s="23">
        <f t="shared" si="2"/>
        <v>0</v>
      </c>
    </row>
    <row r="516" spans="1:5" ht="12.75">
      <c r="A516" s="6"/>
      <c r="B516" s="9">
        <f>IFERROR(VLOOKUP(A516,ชื่อสินค้า!A:D,4,FALSE),)</f>
        <v>0</v>
      </c>
      <c r="C516" s="9">
        <f>IF(A516&lt;&gt;"",SUMIF(ซื้อสินค้า!B:B,A516,ซื้อสินค้า!E:E)-SUMIF(ขายสินค้า!B:B,A516,ขายสินค้า!E:E),)</f>
        <v>0</v>
      </c>
      <c r="D516" s="23">
        <f>IF(A516&lt;&gt;"",SUMIF(ซื้อสินค้า!B:B,A516,ซื้อสินค้า!M:M),)</f>
        <v>0</v>
      </c>
      <c r="E516" s="23">
        <f t="shared" si="2"/>
        <v>0</v>
      </c>
    </row>
    <row r="517" spans="1:5" ht="12.75">
      <c r="A517" s="6"/>
      <c r="B517" s="9">
        <f>IFERROR(VLOOKUP(A517,ชื่อสินค้า!A:D,4,FALSE),)</f>
        <v>0</v>
      </c>
      <c r="C517" s="9">
        <f>IF(A517&lt;&gt;"",SUMIF(ซื้อสินค้า!B:B,A517,ซื้อสินค้า!E:E)-SUMIF(ขายสินค้า!B:B,A517,ขายสินค้า!E:E),)</f>
        <v>0</v>
      </c>
      <c r="D517" s="23">
        <f>IF(A517&lt;&gt;"",SUMIF(ซื้อสินค้า!B:B,A517,ซื้อสินค้า!M:M),)</f>
        <v>0</v>
      </c>
      <c r="E517" s="23">
        <f t="shared" si="2"/>
        <v>0</v>
      </c>
    </row>
    <row r="518" spans="1:5" ht="12.75">
      <c r="A518" s="6"/>
      <c r="B518" s="9">
        <f>IFERROR(VLOOKUP(A518,ชื่อสินค้า!A:D,4,FALSE),)</f>
        <v>0</v>
      </c>
      <c r="C518" s="9">
        <f>IF(A518&lt;&gt;"",SUMIF(ซื้อสินค้า!B:B,A518,ซื้อสินค้า!E:E)-SUMIF(ขายสินค้า!B:B,A518,ขายสินค้า!E:E),)</f>
        <v>0</v>
      </c>
      <c r="D518" s="23">
        <f>IF(A518&lt;&gt;"",SUMIF(ซื้อสินค้า!B:B,A518,ซื้อสินค้า!M:M),)</f>
        <v>0</v>
      </c>
      <c r="E518" s="23">
        <f t="shared" si="2"/>
        <v>0</v>
      </c>
    </row>
    <row r="519" spans="1:5" ht="12.75">
      <c r="A519" s="6"/>
      <c r="B519" s="9">
        <f>IFERROR(VLOOKUP(A519,ชื่อสินค้า!A:D,4,FALSE),)</f>
        <v>0</v>
      </c>
      <c r="C519" s="9">
        <f>IF(A519&lt;&gt;"",SUMIF(ซื้อสินค้า!B:B,A519,ซื้อสินค้า!E:E)-SUMIF(ขายสินค้า!B:B,A519,ขายสินค้า!E:E),)</f>
        <v>0</v>
      </c>
      <c r="D519" s="23">
        <f>IF(A519&lt;&gt;"",SUMIF(ซื้อสินค้า!B:B,A519,ซื้อสินค้า!M:M),)</f>
        <v>0</v>
      </c>
      <c r="E519" s="23">
        <f t="shared" si="2"/>
        <v>0</v>
      </c>
    </row>
    <row r="520" spans="1:5" ht="12.75">
      <c r="A520" s="6"/>
      <c r="B520" s="9">
        <f>IFERROR(VLOOKUP(A520,ชื่อสินค้า!A:D,4,FALSE),)</f>
        <v>0</v>
      </c>
      <c r="C520" s="9">
        <f>IF(A520&lt;&gt;"",SUMIF(ซื้อสินค้า!B:B,A520,ซื้อสินค้า!E:E)-SUMIF(ขายสินค้า!B:B,A520,ขายสินค้า!E:E),)</f>
        <v>0</v>
      </c>
      <c r="D520" s="23">
        <f>IF(A520&lt;&gt;"",SUMIF(ซื้อสินค้า!B:B,A520,ซื้อสินค้า!M:M),)</f>
        <v>0</v>
      </c>
      <c r="E520" s="23">
        <f t="shared" si="2"/>
        <v>0</v>
      </c>
    </row>
    <row r="521" spans="1:5" ht="12.75">
      <c r="A521" s="6"/>
      <c r="B521" s="9">
        <f>IFERROR(VLOOKUP(A521,ชื่อสินค้า!A:D,4,FALSE),)</f>
        <v>0</v>
      </c>
      <c r="C521" s="9">
        <f>IF(A521&lt;&gt;"",SUMIF(ซื้อสินค้า!B:B,A521,ซื้อสินค้า!E:E)-SUMIF(ขายสินค้า!B:B,A521,ขายสินค้า!E:E),)</f>
        <v>0</v>
      </c>
      <c r="D521" s="23">
        <f>IF(A521&lt;&gt;"",SUMIF(ซื้อสินค้า!B:B,A521,ซื้อสินค้า!M:M),)</f>
        <v>0</v>
      </c>
      <c r="E521" s="23">
        <f t="shared" si="2"/>
        <v>0</v>
      </c>
    </row>
    <row r="522" spans="1:5" ht="12.75">
      <c r="A522" s="6"/>
      <c r="B522" s="9">
        <f>IFERROR(VLOOKUP(A522,ชื่อสินค้า!A:D,4,FALSE),)</f>
        <v>0</v>
      </c>
      <c r="C522" s="9">
        <f>IF(A522&lt;&gt;"",SUMIF(ซื้อสินค้า!B:B,A522,ซื้อสินค้า!E:E)-SUMIF(ขายสินค้า!B:B,A522,ขายสินค้า!E:E),)</f>
        <v>0</v>
      </c>
      <c r="D522" s="23">
        <f>IF(A522&lt;&gt;"",SUMIF(ซื้อสินค้า!B:B,A522,ซื้อสินค้า!M:M),)</f>
        <v>0</v>
      </c>
      <c r="E522" s="23">
        <f t="shared" si="2"/>
        <v>0</v>
      </c>
    </row>
    <row r="523" spans="1:5" ht="12.75">
      <c r="A523" s="6"/>
      <c r="B523" s="9">
        <f>IFERROR(VLOOKUP(A523,ชื่อสินค้า!A:D,4,FALSE),)</f>
        <v>0</v>
      </c>
      <c r="C523" s="9">
        <f>IF(A523&lt;&gt;"",SUMIF(ซื้อสินค้า!B:B,A523,ซื้อสินค้า!E:E)-SUMIF(ขายสินค้า!B:B,A523,ขายสินค้า!E:E),)</f>
        <v>0</v>
      </c>
      <c r="D523" s="23">
        <f>IF(A523&lt;&gt;"",SUMIF(ซื้อสินค้า!B:B,A523,ซื้อสินค้า!M:M),)</f>
        <v>0</v>
      </c>
      <c r="E523" s="23">
        <f t="shared" si="2"/>
        <v>0</v>
      </c>
    </row>
    <row r="524" spans="1:5" ht="12.75">
      <c r="A524" s="6"/>
      <c r="B524" s="9">
        <f>IFERROR(VLOOKUP(A524,ชื่อสินค้า!A:D,4,FALSE),)</f>
        <v>0</v>
      </c>
      <c r="C524" s="9">
        <f>IF(A524&lt;&gt;"",SUMIF(ซื้อสินค้า!B:B,A524,ซื้อสินค้า!E:E)-SUMIF(ขายสินค้า!B:B,A524,ขายสินค้า!E:E),)</f>
        <v>0</v>
      </c>
      <c r="D524" s="23">
        <f>IF(A524&lt;&gt;"",SUMIF(ซื้อสินค้า!B:B,A524,ซื้อสินค้า!M:M),)</f>
        <v>0</v>
      </c>
      <c r="E524" s="23">
        <f t="shared" si="2"/>
        <v>0</v>
      </c>
    </row>
    <row r="525" spans="1:5" ht="12.75">
      <c r="A525" s="6"/>
      <c r="B525" s="9">
        <f>IFERROR(VLOOKUP(A525,ชื่อสินค้า!A:D,4,FALSE),)</f>
        <v>0</v>
      </c>
      <c r="C525" s="9">
        <f>IF(A525&lt;&gt;"",SUMIF(ซื้อสินค้า!B:B,A525,ซื้อสินค้า!E:E)-SUMIF(ขายสินค้า!B:B,A525,ขายสินค้า!E:E),)</f>
        <v>0</v>
      </c>
      <c r="D525" s="23">
        <f>IF(A525&lt;&gt;"",SUMIF(ซื้อสินค้า!B:B,A525,ซื้อสินค้า!M:M),)</f>
        <v>0</v>
      </c>
      <c r="E525" s="23">
        <f t="shared" si="2"/>
        <v>0</v>
      </c>
    </row>
    <row r="526" spans="1:5" ht="12.75">
      <c r="A526" s="6"/>
      <c r="B526" s="9">
        <f>IFERROR(VLOOKUP(A526,ชื่อสินค้า!A:D,4,FALSE),)</f>
        <v>0</v>
      </c>
      <c r="C526" s="9">
        <f>IF(A526&lt;&gt;"",SUMIF(ซื้อสินค้า!B:B,A526,ซื้อสินค้า!E:E)-SUMIF(ขายสินค้า!B:B,A526,ขายสินค้า!E:E),)</f>
        <v>0</v>
      </c>
      <c r="D526" s="23">
        <f>IF(A526&lt;&gt;"",SUMIF(ซื้อสินค้า!B:B,A526,ซื้อสินค้า!M:M),)</f>
        <v>0</v>
      </c>
      <c r="E526" s="23">
        <f t="shared" si="2"/>
        <v>0</v>
      </c>
    </row>
    <row r="527" spans="1:5" ht="12.75">
      <c r="A527" s="6"/>
      <c r="B527" s="9">
        <f>IFERROR(VLOOKUP(A527,ชื่อสินค้า!A:D,4,FALSE),)</f>
        <v>0</v>
      </c>
      <c r="C527" s="9">
        <f>IF(A527&lt;&gt;"",SUMIF(ซื้อสินค้า!B:B,A527,ซื้อสินค้า!E:E)-SUMIF(ขายสินค้า!B:B,A527,ขายสินค้า!E:E),)</f>
        <v>0</v>
      </c>
      <c r="D527" s="23">
        <f>IF(A527&lt;&gt;"",SUMIF(ซื้อสินค้า!B:B,A527,ซื้อสินค้า!M:M),)</f>
        <v>0</v>
      </c>
      <c r="E527" s="23">
        <f t="shared" si="2"/>
        <v>0</v>
      </c>
    </row>
    <row r="528" spans="1:5" ht="12.75">
      <c r="A528" s="6"/>
      <c r="B528" s="9">
        <f>IFERROR(VLOOKUP(A528,ชื่อสินค้า!A:D,4,FALSE),)</f>
        <v>0</v>
      </c>
      <c r="C528" s="9">
        <f>IF(A528&lt;&gt;"",SUMIF(ซื้อสินค้า!B:B,A528,ซื้อสินค้า!E:E)-SUMIF(ขายสินค้า!B:B,A528,ขายสินค้า!E:E),)</f>
        <v>0</v>
      </c>
      <c r="D528" s="23">
        <f>IF(A528&lt;&gt;"",SUMIF(ซื้อสินค้า!B:B,A528,ซื้อสินค้า!M:M),)</f>
        <v>0</v>
      </c>
      <c r="E528" s="23">
        <f t="shared" si="2"/>
        <v>0</v>
      </c>
    </row>
    <row r="529" spans="1:5" ht="12.75">
      <c r="A529" s="6"/>
      <c r="B529" s="9">
        <f>IFERROR(VLOOKUP(A529,ชื่อสินค้า!A:D,4,FALSE),)</f>
        <v>0</v>
      </c>
      <c r="C529" s="9">
        <f>IF(A529&lt;&gt;"",SUMIF(ซื้อสินค้า!B:B,A529,ซื้อสินค้า!E:E)-SUMIF(ขายสินค้า!B:B,A529,ขายสินค้า!E:E),)</f>
        <v>0</v>
      </c>
      <c r="D529" s="23">
        <f>IF(A529&lt;&gt;"",SUMIF(ซื้อสินค้า!B:B,A529,ซื้อสินค้า!M:M),)</f>
        <v>0</v>
      </c>
      <c r="E529" s="23">
        <f t="shared" si="2"/>
        <v>0</v>
      </c>
    </row>
    <row r="530" spans="1:5" ht="12.75">
      <c r="A530" s="6"/>
      <c r="B530" s="9">
        <f>IFERROR(VLOOKUP(A530,ชื่อสินค้า!A:D,4,FALSE),)</f>
        <v>0</v>
      </c>
      <c r="C530" s="9">
        <f>IF(A530&lt;&gt;"",SUMIF(ซื้อสินค้า!B:B,A530,ซื้อสินค้า!E:E)-SUMIF(ขายสินค้า!B:B,A530,ขายสินค้า!E:E),)</f>
        <v>0</v>
      </c>
      <c r="D530" s="23">
        <f>IF(A530&lt;&gt;"",SUMIF(ซื้อสินค้า!B:B,A530,ซื้อสินค้า!M:M),)</f>
        <v>0</v>
      </c>
      <c r="E530" s="23">
        <f t="shared" si="2"/>
        <v>0</v>
      </c>
    </row>
    <row r="531" spans="1:5" ht="12.75">
      <c r="A531" s="6"/>
      <c r="B531" s="9">
        <f>IFERROR(VLOOKUP(A531,ชื่อสินค้า!A:D,4,FALSE),)</f>
        <v>0</v>
      </c>
      <c r="C531" s="9">
        <f>IF(A531&lt;&gt;"",SUMIF(ซื้อสินค้า!B:B,A531,ซื้อสินค้า!E:E)-SUMIF(ขายสินค้า!B:B,A531,ขายสินค้า!E:E),)</f>
        <v>0</v>
      </c>
      <c r="D531" s="23">
        <f>IF(A531&lt;&gt;"",SUMIF(ซื้อสินค้า!B:B,A531,ซื้อสินค้า!M:M),)</f>
        <v>0</v>
      </c>
      <c r="E531" s="23">
        <f t="shared" si="2"/>
        <v>0</v>
      </c>
    </row>
    <row r="532" spans="1:5" ht="12.75">
      <c r="A532" s="6"/>
      <c r="B532" s="9">
        <f>IFERROR(VLOOKUP(A532,ชื่อสินค้า!A:D,4,FALSE),)</f>
        <v>0</v>
      </c>
      <c r="C532" s="9">
        <f>IF(A532&lt;&gt;"",SUMIF(ซื้อสินค้า!B:B,A532,ซื้อสินค้า!E:E)-SUMIF(ขายสินค้า!B:B,A532,ขายสินค้า!E:E),)</f>
        <v>0</v>
      </c>
      <c r="D532" s="23">
        <f>IF(A532&lt;&gt;"",SUMIF(ซื้อสินค้า!B:B,A532,ซื้อสินค้า!M:M),)</f>
        <v>0</v>
      </c>
      <c r="E532" s="23">
        <f t="shared" si="2"/>
        <v>0</v>
      </c>
    </row>
    <row r="533" spans="1:5" ht="12.75">
      <c r="A533" s="6"/>
      <c r="B533" s="9">
        <f>IFERROR(VLOOKUP(A533,ชื่อสินค้า!A:D,4,FALSE),)</f>
        <v>0</v>
      </c>
      <c r="C533" s="9">
        <f>IF(A533&lt;&gt;"",SUMIF(ซื้อสินค้า!B:B,A533,ซื้อสินค้า!E:E)-SUMIF(ขายสินค้า!B:B,A533,ขายสินค้า!E:E),)</f>
        <v>0</v>
      </c>
      <c r="D533" s="23">
        <f>IF(A533&lt;&gt;"",SUMIF(ซื้อสินค้า!B:B,A533,ซื้อสินค้า!M:M),)</f>
        <v>0</v>
      </c>
      <c r="E533" s="23">
        <f t="shared" si="2"/>
        <v>0</v>
      </c>
    </row>
    <row r="534" spans="1:5" ht="12.75">
      <c r="A534" s="6"/>
      <c r="B534" s="9">
        <f>IFERROR(VLOOKUP(A534,ชื่อสินค้า!A:D,4,FALSE),)</f>
        <v>0</v>
      </c>
      <c r="C534" s="9">
        <f>IF(A534&lt;&gt;"",SUMIF(ซื้อสินค้า!B:B,A534,ซื้อสินค้า!E:E)-SUMIF(ขายสินค้า!B:B,A534,ขายสินค้า!E:E),)</f>
        <v>0</v>
      </c>
      <c r="D534" s="23">
        <f>IF(A534&lt;&gt;"",SUMIF(ซื้อสินค้า!B:B,A534,ซื้อสินค้า!M:M),)</f>
        <v>0</v>
      </c>
      <c r="E534" s="23">
        <f t="shared" si="2"/>
        <v>0</v>
      </c>
    </row>
    <row r="535" spans="1:5" ht="12.75">
      <c r="A535" s="6"/>
      <c r="B535" s="9">
        <f>IFERROR(VLOOKUP(A535,ชื่อสินค้า!A:D,4,FALSE),)</f>
        <v>0</v>
      </c>
      <c r="C535" s="9">
        <f>IF(A535&lt;&gt;"",SUMIF(ซื้อสินค้า!B:B,A535,ซื้อสินค้า!E:E)-SUMIF(ขายสินค้า!B:B,A535,ขายสินค้า!E:E),)</f>
        <v>0</v>
      </c>
      <c r="D535" s="23">
        <f>IF(A535&lt;&gt;"",SUMIF(ซื้อสินค้า!B:B,A535,ซื้อสินค้า!M:M),)</f>
        <v>0</v>
      </c>
      <c r="E535" s="23">
        <f t="shared" si="2"/>
        <v>0</v>
      </c>
    </row>
    <row r="536" spans="1:5" ht="12.75">
      <c r="A536" s="6"/>
      <c r="B536" s="9">
        <f>IFERROR(VLOOKUP(A536,ชื่อสินค้า!A:D,4,FALSE),)</f>
        <v>0</v>
      </c>
      <c r="C536" s="9">
        <f>IF(A536&lt;&gt;"",SUMIF(ซื้อสินค้า!B:B,A536,ซื้อสินค้า!E:E)-SUMIF(ขายสินค้า!B:B,A536,ขายสินค้า!E:E),)</f>
        <v>0</v>
      </c>
      <c r="D536" s="23">
        <f>IF(A536&lt;&gt;"",SUMIF(ซื้อสินค้า!B:B,A536,ซื้อสินค้า!M:M),)</f>
        <v>0</v>
      </c>
      <c r="E536" s="23">
        <f t="shared" si="2"/>
        <v>0</v>
      </c>
    </row>
    <row r="537" spans="1:5" ht="12.75">
      <c r="A537" s="6"/>
      <c r="B537" s="9">
        <f>IFERROR(VLOOKUP(A537,ชื่อสินค้า!A:D,4,FALSE),)</f>
        <v>0</v>
      </c>
      <c r="C537" s="9">
        <f>IF(A537&lt;&gt;"",SUMIF(ซื้อสินค้า!B:B,A537,ซื้อสินค้า!E:E)-SUMIF(ขายสินค้า!B:B,A537,ขายสินค้า!E:E),)</f>
        <v>0</v>
      </c>
      <c r="D537" s="23">
        <f>IF(A537&lt;&gt;"",SUMIF(ซื้อสินค้า!B:B,A537,ซื้อสินค้า!M:M),)</f>
        <v>0</v>
      </c>
      <c r="E537" s="23">
        <f t="shared" si="2"/>
        <v>0</v>
      </c>
    </row>
    <row r="538" spans="1:5" ht="12.75">
      <c r="A538" s="6"/>
      <c r="B538" s="9">
        <f>IFERROR(VLOOKUP(A538,ชื่อสินค้า!A:D,4,FALSE),)</f>
        <v>0</v>
      </c>
      <c r="C538" s="9">
        <f>IF(A538&lt;&gt;"",SUMIF(ซื้อสินค้า!B:B,A538,ซื้อสินค้า!E:E)-SUMIF(ขายสินค้า!B:B,A538,ขายสินค้า!E:E),)</f>
        <v>0</v>
      </c>
      <c r="D538" s="23">
        <f>IF(A538&lt;&gt;"",SUMIF(ซื้อสินค้า!B:B,A538,ซื้อสินค้า!M:M),)</f>
        <v>0</v>
      </c>
      <c r="E538" s="23">
        <f t="shared" si="2"/>
        <v>0</v>
      </c>
    </row>
    <row r="539" spans="1:5" ht="12.75">
      <c r="A539" s="6"/>
      <c r="B539" s="9">
        <f>IFERROR(VLOOKUP(A539,ชื่อสินค้า!A:D,4,FALSE),)</f>
        <v>0</v>
      </c>
      <c r="C539" s="9">
        <f>IF(A539&lt;&gt;"",SUMIF(ซื้อสินค้า!B:B,A539,ซื้อสินค้า!E:E)-SUMIF(ขายสินค้า!B:B,A539,ขายสินค้า!E:E),)</f>
        <v>0</v>
      </c>
      <c r="D539" s="23">
        <f>IF(A539&lt;&gt;"",SUMIF(ซื้อสินค้า!B:B,A539,ซื้อสินค้า!M:M),)</f>
        <v>0</v>
      </c>
      <c r="E539" s="23">
        <f t="shared" si="2"/>
        <v>0</v>
      </c>
    </row>
    <row r="540" spans="1:5" ht="12.75">
      <c r="A540" s="6"/>
      <c r="B540" s="9">
        <f>IFERROR(VLOOKUP(A540,ชื่อสินค้า!A:D,4,FALSE),)</f>
        <v>0</v>
      </c>
      <c r="C540" s="9">
        <f>IF(A540&lt;&gt;"",SUMIF(ซื้อสินค้า!B:B,A540,ซื้อสินค้า!E:E)-SUMIF(ขายสินค้า!B:B,A540,ขายสินค้า!E:E),)</f>
        <v>0</v>
      </c>
      <c r="D540" s="23">
        <f>IF(A540&lt;&gt;"",SUMIF(ซื้อสินค้า!B:B,A540,ซื้อสินค้า!M:M),)</f>
        <v>0</v>
      </c>
      <c r="E540" s="23">
        <f t="shared" si="2"/>
        <v>0</v>
      </c>
    </row>
    <row r="541" spans="1:5" ht="12.75">
      <c r="A541" s="6"/>
      <c r="B541" s="9">
        <f>IFERROR(VLOOKUP(A541,ชื่อสินค้า!A:D,4,FALSE),)</f>
        <v>0</v>
      </c>
      <c r="C541" s="9">
        <f>IF(A541&lt;&gt;"",SUMIF(ซื้อสินค้า!B:B,A541,ซื้อสินค้า!E:E)-SUMIF(ขายสินค้า!B:B,A541,ขายสินค้า!E:E),)</f>
        <v>0</v>
      </c>
      <c r="D541" s="23">
        <f>IF(A541&lt;&gt;"",SUMIF(ซื้อสินค้า!B:B,A541,ซื้อสินค้า!M:M),)</f>
        <v>0</v>
      </c>
      <c r="E541" s="23">
        <f t="shared" si="2"/>
        <v>0</v>
      </c>
    </row>
    <row r="542" spans="1:5" ht="12.75">
      <c r="A542" s="6"/>
      <c r="B542" s="9">
        <f>IFERROR(VLOOKUP(A542,ชื่อสินค้า!A:D,4,FALSE),)</f>
        <v>0</v>
      </c>
      <c r="C542" s="9">
        <f>IF(A542&lt;&gt;"",SUMIF(ซื้อสินค้า!B:B,A542,ซื้อสินค้า!E:E)-SUMIF(ขายสินค้า!B:B,A542,ขายสินค้า!E:E),)</f>
        <v>0</v>
      </c>
      <c r="D542" s="23">
        <f>IF(A542&lt;&gt;"",SUMIF(ซื้อสินค้า!B:B,A542,ซื้อสินค้า!M:M),)</f>
        <v>0</v>
      </c>
      <c r="E542" s="23">
        <f t="shared" si="2"/>
        <v>0</v>
      </c>
    </row>
    <row r="543" spans="1:5" ht="12.75">
      <c r="A543" s="6"/>
      <c r="B543" s="9">
        <f>IFERROR(VLOOKUP(A543,ชื่อสินค้า!A:D,4,FALSE),)</f>
        <v>0</v>
      </c>
      <c r="C543" s="9">
        <f>IF(A543&lt;&gt;"",SUMIF(ซื้อสินค้า!B:B,A543,ซื้อสินค้า!E:E)-SUMIF(ขายสินค้า!B:B,A543,ขายสินค้า!E:E),)</f>
        <v>0</v>
      </c>
      <c r="D543" s="23">
        <f>IF(A543&lt;&gt;"",SUMIF(ซื้อสินค้า!B:B,A543,ซื้อสินค้า!M:M),)</f>
        <v>0</v>
      </c>
      <c r="E543" s="23">
        <f t="shared" si="2"/>
        <v>0</v>
      </c>
    </row>
    <row r="544" spans="1:5" ht="12.75">
      <c r="A544" s="6"/>
      <c r="B544" s="9">
        <f>IFERROR(VLOOKUP(A544,ชื่อสินค้า!A:D,4,FALSE),)</f>
        <v>0</v>
      </c>
      <c r="C544" s="9">
        <f>IF(A544&lt;&gt;"",SUMIF(ซื้อสินค้า!B:B,A544,ซื้อสินค้า!E:E)-SUMIF(ขายสินค้า!B:B,A544,ขายสินค้า!E:E),)</f>
        <v>0</v>
      </c>
      <c r="D544" s="23">
        <f>IF(A544&lt;&gt;"",SUMIF(ซื้อสินค้า!B:B,A544,ซื้อสินค้า!M:M),)</f>
        <v>0</v>
      </c>
      <c r="E544" s="23">
        <f t="shared" si="2"/>
        <v>0</v>
      </c>
    </row>
    <row r="545" spans="1:5" ht="12.75">
      <c r="A545" s="6"/>
      <c r="B545" s="9">
        <f>IFERROR(VLOOKUP(A545,ชื่อสินค้า!A:D,4,FALSE),)</f>
        <v>0</v>
      </c>
      <c r="C545" s="9">
        <f>IF(A545&lt;&gt;"",SUMIF(ซื้อสินค้า!B:B,A545,ซื้อสินค้า!E:E)-SUMIF(ขายสินค้า!B:B,A545,ขายสินค้า!E:E),)</f>
        <v>0</v>
      </c>
      <c r="D545" s="23">
        <f>IF(A545&lt;&gt;"",SUMIF(ซื้อสินค้า!B:B,A545,ซื้อสินค้า!M:M),)</f>
        <v>0</v>
      </c>
      <c r="E545" s="23">
        <f t="shared" si="2"/>
        <v>0</v>
      </c>
    </row>
    <row r="546" spans="1:5" ht="12.75">
      <c r="A546" s="6"/>
      <c r="B546" s="9">
        <f>IFERROR(VLOOKUP(A546,ชื่อสินค้า!A:D,4,FALSE),)</f>
        <v>0</v>
      </c>
      <c r="C546" s="9">
        <f>IF(A546&lt;&gt;"",SUMIF(ซื้อสินค้า!B:B,A546,ซื้อสินค้า!E:E)-SUMIF(ขายสินค้า!B:B,A546,ขายสินค้า!E:E),)</f>
        <v>0</v>
      </c>
      <c r="D546" s="23">
        <f>IF(A546&lt;&gt;"",SUMIF(ซื้อสินค้า!B:B,A546,ซื้อสินค้า!M:M),)</f>
        <v>0</v>
      </c>
      <c r="E546" s="23">
        <f t="shared" si="2"/>
        <v>0</v>
      </c>
    </row>
    <row r="547" spans="1:5" ht="12.75">
      <c r="A547" s="6"/>
      <c r="B547" s="9">
        <f>IFERROR(VLOOKUP(A547,ชื่อสินค้า!A:D,4,FALSE),)</f>
        <v>0</v>
      </c>
      <c r="C547" s="9">
        <f>IF(A547&lt;&gt;"",SUMIF(ซื้อสินค้า!B:B,A547,ซื้อสินค้า!E:E)-SUMIF(ขายสินค้า!B:B,A547,ขายสินค้า!E:E),)</f>
        <v>0</v>
      </c>
      <c r="D547" s="23">
        <f>IF(A547&lt;&gt;"",SUMIF(ซื้อสินค้า!B:B,A547,ซื้อสินค้า!M:M),)</f>
        <v>0</v>
      </c>
      <c r="E547" s="23">
        <f t="shared" si="2"/>
        <v>0</v>
      </c>
    </row>
    <row r="548" spans="1:5" ht="12.75">
      <c r="A548" s="6"/>
      <c r="B548" s="9">
        <f>IFERROR(VLOOKUP(A548,ชื่อสินค้า!A:D,4,FALSE),)</f>
        <v>0</v>
      </c>
      <c r="C548" s="9">
        <f>IF(A548&lt;&gt;"",SUMIF(ซื้อสินค้า!B:B,A548,ซื้อสินค้า!E:E)-SUMIF(ขายสินค้า!B:B,A548,ขายสินค้า!E:E),)</f>
        <v>0</v>
      </c>
      <c r="D548" s="23">
        <f>IF(A548&lt;&gt;"",SUMIF(ซื้อสินค้า!B:B,A548,ซื้อสินค้า!M:M),)</f>
        <v>0</v>
      </c>
      <c r="E548" s="23">
        <f t="shared" si="2"/>
        <v>0</v>
      </c>
    </row>
    <row r="549" spans="1:5" ht="12.75">
      <c r="A549" s="6"/>
      <c r="B549" s="9">
        <f>IFERROR(VLOOKUP(A549,ชื่อสินค้า!A:D,4,FALSE),)</f>
        <v>0</v>
      </c>
      <c r="C549" s="9">
        <f>IF(A549&lt;&gt;"",SUMIF(ซื้อสินค้า!B:B,A549,ซื้อสินค้า!E:E)-SUMIF(ขายสินค้า!B:B,A549,ขายสินค้า!E:E),)</f>
        <v>0</v>
      </c>
      <c r="D549" s="23">
        <f>IF(A549&lt;&gt;"",SUMIF(ซื้อสินค้า!B:B,A549,ซื้อสินค้า!M:M),)</f>
        <v>0</v>
      </c>
      <c r="E549" s="23">
        <f t="shared" si="2"/>
        <v>0</v>
      </c>
    </row>
    <row r="550" spans="1:5" ht="12.75">
      <c r="A550" s="6"/>
      <c r="B550" s="9">
        <f>IFERROR(VLOOKUP(A550,ชื่อสินค้า!A:D,4,FALSE),)</f>
        <v>0</v>
      </c>
      <c r="C550" s="9">
        <f>IF(A550&lt;&gt;"",SUMIF(ซื้อสินค้า!B:B,A550,ซื้อสินค้า!E:E)-SUMIF(ขายสินค้า!B:B,A550,ขายสินค้า!E:E),)</f>
        <v>0</v>
      </c>
      <c r="D550" s="23">
        <f>IF(A550&lt;&gt;"",SUMIF(ซื้อสินค้า!B:B,A550,ซื้อสินค้า!M:M),)</f>
        <v>0</v>
      </c>
      <c r="E550" s="23">
        <f t="shared" si="2"/>
        <v>0</v>
      </c>
    </row>
    <row r="551" spans="1:5" ht="12.75">
      <c r="A551" s="6"/>
      <c r="B551" s="9">
        <f>IFERROR(VLOOKUP(A551,ชื่อสินค้า!A:D,4,FALSE),)</f>
        <v>0</v>
      </c>
      <c r="C551" s="9">
        <f>IF(A551&lt;&gt;"",SUMIF(ซื้อสินค้า!B:B,A551,ซื้อสินค้า!E:E)-SUMIF(ขายสินค้า!B:B,A551,ขายสินค้า!E:E),)</f>
        <v>0</v>
      </c>
      <c r="D551" s="23">
        <f>IF(A551&lt;&gt;"",SUMIF(ซื้อสินค้า!B:B,A551,ซื้อสินค้า!M:M),)</f>
        <v>0</v>
      </c>
      <c r="E551" s="23">
        <f t="shared" si="2"/>
        <v>0</v>
      </c>
    </row>
    <row r="552" spans="1:5" ht="12.75">
      <c r="A552" s="6"/>
      <c r="B552" s="9">
        <f>IFERROR(VLOOKUP(A552,ชื่อสินค้า!A:D,4,FALSE),)</f>
        <v>0</v>
      </c>
      <c r="C552" s="9">
        <f>IF(A552&lt;&gt;"",SUMIF(ซื้อสินค้า!B:B,A552,ซื้อสินค้า!E:E)-SUMIF(ขายสินค้า!B:B,A552,ขายสินค้า!E:E),)</f>
        <v>0</v>
      </c>
      <c r="D552" s="23">
        <f>IF(A552&lt;&gt;"",SUMIF(ซื้อสินค้า!B:B,A552,ซื้อสินค้า!M:M),)</f>
        <v>0</v>
      </c>
      <c r="E552" s="23">
        <f t="shared" si="2"/>
        <v>0</v>
      </c>
    </row>
    <row r="553" spans="1:5" ht="12.75">
      <c r="A553" s="6"/>
      <c r="B553" s="9">
        <f>IFERROR(VLOOKUP(A553,ชื่อสินค้า!A:D,4,FALSE),)</f>
        <v>0</v>
      </c>
      <c r="C553" s="9">
        <f>IF(A553&lt;&gt;"",SUMIF(ซื้อสินค้า!B:B,A553,ซื้อสินค้า!E:E)-SUMIF(ขายสินค้า!B:B,A553,ขายสินค้า!E:E),)</f>
        <v>0</v>
      </c>
      <c r="D553" s="23">
        <f>IF(A553&lt;&gt;"",SUMIF(ซื้อสินค้า!B:B,A553,ซื้อสินค้า!M:M),)</f>
        <v>0</v>
      </c>
      <c r="E553" s="23">
        <f t="shared" si="2"/>
        <v>0</v>
      </c>
    </row>
    <row r="554" spans="1:5" ht="12.75">
      <c r="A554" s="6"/>
      <c r="B554" s="9">
        <f>IFERROR(VLOOKUP(A554,ชื่อสินค้า!A:D,4,FALSE),)</f>
        <v>0</v>
      </c>
      <c r="C554" s="9">
        <f>IF(A554&lt;&gt;"",SUMIF(ซื้อสินค้า!B:B,A554,ซื้อสินค้า!E:E)-SUMIF(ขายสินค้า!B:B,A554,ขายสินค้า!E:E),)</f>
        <v>0</v>
      </c>
      <c r="D554" s="23">
        <f>IF(A554&lt;&gt;"",SUMIF(ซื้อสินค้า!B:B,A554,ซื้อสินค้า!M:M),)</f>
        <v>0</v>
      </c>
      <c r="E554" s="23">
        <f t="shared" si="2"/>
        <v>0</v>
      </c>
    </row>
    <row r="555" spans="1:5" ht="12.75">
      <c r="A555" s="6"/>
      <c r="B555" s="9">
        <f>IFERROR(VLOOKUP(A555,ชื่อสินค้า!A:D,4,FALSE),)</f>
        <v>0</v>
      </c>
      <c r="C555" s="9">
        <f>IF(A555&lt;&gt;"",SUMIF(ซื้อสินค้า!B:B,A555,ซื้อสินค้า!E:E)-SUMIF(ขายสินค้า!B:B,A555,ขายสินค้า!E:E),)</f>
        <v>0</v>
      </c>
      <c r="D555" s="23">
        <f>IF(A555&lt;&gt;"",SUMIF(ซื้อสินค้า!B:B,A555,ซื้อสินค้า!M:M),)</f>
        <v>0</v>
      </c>
      <c r="E555" s="23">
        <f t="shared" si="2"/>
        <v>0</v>
      </c>
    </row>
    <row r="556" spans="1:5" ht="12.75">
      <c r="A556" s="6"/>
      <c r="B556" s="9">
        <f>IFERROR(VLOOKUP(A556,ชื่อสินค้า!A:D,4,FALSE),)</f>
        <v>0</v>
      </c>
      <c r="C556" s="9">
        <f>IF(A556&lt;&gt;"",SUMIF(ซื้อสินค้า!B:B,A556,ซื้อสินค้า!E:E)-SUMIF(ขายสินค้า!B:B,A556,ขายสินค้า!E:E),)</f>
        <v>0</v>
      </c>
      <c r="D556" s="23">
        <f>IF(A556&lt;&gt;"",SUMIF(ซื้อสินค้า!B:B,A556,ซื้อสินค้า!M:M),)</f>
        <v>0</v>
      </c>
      <c r="E556" s="23">
        <f t="shared" si="2"/>
        <v>0</v>
      </c>
    </row>
    <row r="557" spans="1:5" ht="12.75">
      <c r="A557" s="6"/>
      <c r="B557" s="9">
        <f>IFERROR(VLOOKUP(A557,ชื่อสินค้า!A:D,4,FALSE),)</f>
        <v>0</v>
      </c>
      <c r="C557" s="9">
        <f>IF(A557&lt;&gt;"",SUMIF(ซื้อสินค้า!B:B,A557,ซื้อสินค้า!E:E)-SUMIF(ขายสินค้า!B:B,A557,ขายสินค้า!E:E),)</f>
        <v>0</v>
      </c>
      <c r="D557" s="23">
        <f>IF(A557&lt;&gt;"",SUMIF(ซื้อสินค้า!B:B,A557,ซื้อสินค้า!M:M),)</f>
        <v>0</v>
      </c>
      <c r="E557" s="23">
        <f t="shared" si="2"/>
        <v>0</v>
      </c>
    </row>
    <row r="558" spans="1:5" ht="12.75">
      <c r="A558" s="6"/>
      <c r="B558" s="9">
        <f>IFERROR(VLOOKUP(A558,ชื่อสินค้า!A:D,4,FALSE),)</f>
        <v>0</v>
      </c>
      <c r="C558" s="9">
        <f>IF(A558&lt;&gt;"",SUMIF(ซื้อสินค้า!B:B,A558,ซื้อสินค้า!E:E)-SUMIF(ขายสินค้า!B:B,A558,ขายสินค้า!E:E),)</f>
        <v>0</v>
      </c>
      <c r="D558" s="23">
        <f>IF(A558&lt;&gt;"",SUMIF(ซื้อสินค้า!B:B,A558,ซื้อสินค้า!M:M),)</f>
        <v>0</v>
      </c>
      <c r="E558" s="23">
        <f t="shared" si="2"/>
        <v>0</v>
      </c>
    </row>
    <row r="559" spans="1:5" ht="12.75">
      <c r="A559" s="6"/>
      <c r="B559" s="9">
        <f>IFERROR(VLOOKUP(A559,ชื่อสินค้า!A:D,4,FALSE),)</f>
        <v>0</v>
      </c>
      <c r="C559" s="9">
        <f>IF(A559&lt;&gt;"",SUMIF(ซื้อสินค้า!B:B,A559,ซื้อสินค้า!E:E)-SUMIF(ขายสินค้า!B:B,A559,ขายสินค้า!E:E),)</f>
        <v>0</v>
      </c>
      <c r="D559" s="23">
        <f>IF(A559&lt;&gt;"",SUMIF(ซื้อสินค้า!B:B,A559,ซื้อสินค้า!M:M),)</f>
        <v>0</v>
      </c>
      <c r="E559" s="23">
        <f t="shared" si="2"/>
        <v>0</v>
      </c>
    </row>
    <row r="560" spans="1:5" ht="12.75">
      <c r="A560" s="6"/>
      <c r="B560" s="9">
        <f>IFERROR(VLOOKUP(A560,ชื่อสินค้า!A:D,4,FALSE),)</f>
        <v>0</v>
      </c>
      <c r="C560" s="9">
        <f>IF(A560&lt;&gt;"",SUMIF(ซื้อสินค้า!B:B,A560,ซื้อสินค้า!E:E)-SUMIF(ขายสินค้า!B:B,A560,ขายสินค้า!E:E),)</f>
        <v>0</v>
      </c>
      <c r="D560" s="23">
        <f>IF(A560&lt;&gt;"",SUMIF(ซื้อสินค้า!B:B,A560,ซื้อสินค้า!M:M),)</f>
        <v>0</v>
      </c>
      <c r="E560" s="23">
        <f t="shared" si="2"/>
        <v>0</v>
      </c>
    </row>
    <row r="561" spans="1:5" ht="12.75">
      <c r="A561" s="6"/>
      <c r="B561" s="9">
        <f>IFERROR(VLOOKUP(A561,ชื่อสินค้า!A:D,4,FALSE),)</f>
        <v>0</v>
      </c>
      <c r="C561" s="9">
        <f>IF(A561&lt;&gt;"",SUMIF(ซื้อสินค้า!B:B,A561,ซื้อสินค้า!E:E)-SUMIF(ขายสินค้า!B:B,A561,ขายสินค้า!E:E),)</f>
        <v>0</v>
      </c>
      <c r="D561" s="23">
        <f>IF(A561&lt;&gt;"",SUMIF(ซื้อสินค้า!B:B,A561,ซื้อสินค้า!M:M),)</f>
        <v>0</v>
      </c>
      <c r="E561" s="23">
        <f t="shared" si="2"/>
        <v>0</v>
      </c>
    </row>
    <row r="562" spans="1:5" ht="12.75">
      <c r="A562" s="6"/>
      <c r="B562" s="9">
        <f>IFERROR(VLOOKUP(A562,ชื่อสินค้า!A:D,4,FALSE),)</f>
        <v>0</v>
      </c>
      <c r="C562" s="9">
        <f>IF(A562&lt;&gt;"",SUMIF(ซื้อสินค้า!B:B,A562,ซื้อสินค้า!E:E)-SUMIF(ขายสินค้า!B:B,A562,ขายสินค้า!E:E),)</f>
        <v>0</v>
      </c>
      <c r="D562" s="23">
        <f>IF(A562&lt;&gt;"",SUMIF(ซื้อสินค้า!B:B,A562,ซื้อสินค้า!M:M),)</f>
        <v>0</v>
      </c>
      <c r="E562" s="23">
        <f t="shared" si="2"/>
        <v>0</v>
      </c>
    </row>
    <row r="563" spans="1:5" ht="12.75">
      <c r="A563" s="6"/>
      <c r="B563" s="9">
        <f>IFERROR(VLOOKUP(A563,ชื่อสินค้า!A:D,4,FALSE),)</f>
        <v>0</v>
      </c>
      <c r="C563" s="9">
        <f>IF(A563&lt;&gt;"",SUMIF(ซื้อสินค้า!B:B,A563,ซื้อสินค้า!E:E)-SUMIF(ขายสินค้า!B:B,A563,ขายสินค้า!E:E),)</f>
        <v>0</v>
      </c>
      <c r="D563" s="23">
        <f>IF(A563&lt;&gt;"",SUMIF(ซื้อสินค้า!B:B,A563,ซื้อสินค้า!M:M),)</f>
        <v>0</v>
      </c>
      <c r="E563" s="23">
        <f t="shared" si="2"/>
        <v>0</v>
      </c>
    </row>
    <row r="564" spans="1:5" ht="12.75">
      <c r="A564" s="6"/>
      <c r="B564" s="9">
        <f>IFERROR(VLOOKUP(A564,ชื่อสินค้า!A:D,4,FALSE),)</f>
        <v>0</v>
      </c>
      <c r="C564" s="9">
        <f>IF(A564&lt;&gt;"",SUMIF(ซื้อสินค้า!B:B,A564,ซื้อสินค้า!E:E)-SUMIF(ขายสินค้า!B:B,A564,ขายสินค้า!E:E),)</f>
        <v>0</v>
      </c>
      <c r="D564" s="23">
        <f>IF(A564&lt;&gt;"",SUMIF(ซื้อสินค้า!B:B,A564,ซื้อสินค้า!M:M),)</f>
        <v>0</v>
      </c>
      <c r="E564" s="23">
        <f t="shared" si="2"/>
        <v>0</v>
      </c>
    </row>
    <row r="565" spans="1:5" ht="12.75">
      <c r="A565" s="6"/>
      <c r="B565" s="9">
        <f>IFERROR(VLOOKUP(A565,ชื่อสินค้า!A:D,4,FALSE),)</f>
        <v>0</v>
      </c>
      <c r="C565" s="9">
        <f>IF(A565&lt;&gt;"",SUMIF(ซื้อสินค้า!B:B,A565,ซื้อสินค้า!E:E)-SUMIF(ขายสินค้า!B:B,A565,ขายสินค้า!E:E),)</f>
        <v>0</v>
      </c>
      <c r="D565" s="23">
        <f>IF(A565&lt;&gt;"",SUMIF(ซื้อสินค้า!B:B,A565,ซื้อสินค้า!M:M),)</f>
        <v>0</v>
      </c>
      <c r="E565" s="23">
        <f t="shared" si="2"/>
        <v>0</v>
      </c>
    </row>
    <row r="566" spans="1:5" ht="12.75">
      <c r="A566" s="6"/>
      <c r="B566" s="9">
        <f>IFERROR(VLOOKUP(A566,ชื่อสินค้า!A:D,4,FALSE),)</f>
        <v>0</v>
      </c>
      <c r="C566" s="9">
        <f>IF(A566&lt;&gt;"",SUMIF(ซื้อสินค้า!B:B,A566,ซื้อสินค้า!E:E)-SUMIF(ขายสินค้า!B:B,A566,ขายสินค้า!E:E),)</f>
        <v>0</v>
      </c>
      <c r="D566" s="23">
        <f>IF(A566&lt;&gt;"",SUMIF(ซื้อสินค้า!B:B,A566,ซื้อสินค้า!M:M),)</f>
        <v>0</v>
      </c>
      <c r="E566" s="23">
        <f t="shared" si="2"/>
        <v>0</v>
      </c>
    </row>
    <row r="567" spans="1:5" ht="12.75">
      <c r="A567" s="6"/>
      <c r="B567" s="9">
        <f>IFERROR(VLOOKUP(A567,ชื่อสินค้า!A:D,4,FALSE),)</f>
        <v>0</v>
      </c>
      <c r="C567" s="9">
        <f>IF(A567&lt;&gt;"",SUMIF(ซื้อสินค้า!B:B,A567,ซื้อสินค้า!E:E)-SUMIF(ขายสินค้า!B:B,A567,ขายสินค้า!E:E),)</f>
        <v>0</v>
      </c>
      <c r="D567" s="23">
        <f>IF(A567&lt;&gt;"",SUMIF(ซื้อสินค้า!B:B,A567,ซื้อสินค้า!M:M),)</f>
        <v>0</v>
      </c>
      <c r="E567" s="23">
        <f t="shared" si="2"/>
        <v>0</v>
      </c>
    </row>
    <row r="568" spans="1:5" ht="12.75">
      <c r="A568" s="6"/>
      <c r="B568" s="9">
        <f>IFERROR(VLOOKUP(A568,ชื่อสินค้า!A:D,4,FALSE),)</f>
        <v>0</v>
      </c>
      <c r="C568" s="9">
        <f>IF(A568&lt;&gt;"",SUMIF(ซื้อสินค้า!B:B,A568,ซื้อสินค้า!E:E)-SUMIF(ขายสินค้า!B:B,A568,ขายสินค้า!E:E),)</f>
        <v>0</v>
      </c>
      <c r="D568" s="23">
        <f>IF(A568&lt;&gt;"",SUMIF(ซื้อสินค้า!B:B,A568,ซื้อสินค้า!M:M),)</f>
        <v>0</v>
      </c>
      <c r="E568" s="23">
        <f t="shared" si="2"/>
        <v>0</v>
      </c>
    </row>
    <row r="569" spans="1:5" ht="12.75">
      <c r="A569" s="6"/>
      <c r="B569" s="9">
        <f>IFERROR(VLOOKUP(A569,ชื่อสินค้า!A:D,4,FALSE),)</f>
        <v>0</v>
      </c>
      <c r="C569" s="9">
        <f>IF(A569&lt;&gt;"",SUMIF(ซื้อสินค้า!B:B,A569,ซื้อสินค้า!E:E)-SUMIF(ขายสินค้า!B:B,A569,ขายสินค้า!E:E),)</f>
        <v>0</v>
      </c>
      <c r="D569" s="23">
        <f>IF(A569&lt;&gt;"",SUMIF(ซื้อสินค้า!B:B,A569,ซื้อสินค้า!M:M),)</f>
        <v>0</v>
      </c>
      <c r="E569" s="23">
        <f t="shared" si="2"/>
        <v>0</v>
      </c>
    </row>
    <row r="570" spans="1:5" ht="12.75">
      <c r="A570" s="6"/>
      <c r="B570" s="9">
        <f>IFERROR(VLOOKUP(A570,ชื่อสินค้า!A:D,4,FALSE),)</f>
        <v>0</v>
      </c>
      <c r="C570" s="9">
        <f>IF(A570&lt;&gt;"",SUMIF(ซื้อสินค้า!B:B,A570,ซื้อสินค้า!E:E)-SUMIF(ขายสินค้า!B:B,A570,ขายสินค้า!E:E),)</f>
        <v>0</v>
      </c>
      <c r="D570" s="23">
        <f>IF(A570&lt;&gt;"",SUMIF(ซื้อสินค้า!B:B,A570,ซื้อสินค้า!M:M),)</f>
        <v>0</v>
      </c>
      <c r="E570" s="23">
        <f t="shared" si="2"/>
        <v>0</v>
      </c>
    </row>
    <row r="571" spans="1:5" ht="12.75">
      <c r="A571" s="6"/>
      <c r="B571" s="9">
        <f>IFERROR(VLOOKUP(A571,ชื่อสินค้า!A:D,4,FALSE),)</f>
        <v>0</v>
      </c>
      <c r="C571" s="9">
        <f>IF(A571&lt;&gt;"",SUMIF(ซื้อสินค้า!B:B,A571,ซื้อสินค้า!E:E)-SUMIF(ขายสินค้า!B:B,A571,ขายสินค้า!E:E),)</f>
        <v>0</v>
      </c>
      <c r="D571" s="23">
        <f>IF(A571&lt;&gt;"",SUMIF(ซื้อสินค้า!B:B,A571,ซื้อสินค้า!M:M),)</f>
        <v>0</v>
      </c>
      <c r="E571" s="23">
        <f t="shared" si="2"/>
        <v>0</v>
      </c>
    </row>
    <row r="572" spans="1:5" ht="12.75">
      <c r="A572" s="6"/>
      <c r="B572" s="9">
        <f>IFERROR(VLOOKUP(A572,ชื่อสินค้า!A:D,4,FALSE),)</f>
        <v>0</v>
      </c>
      <c r="C572" s="9">
        <f>IF(A572&lt;&gt;"",SUMIF(ซื้อสินค้า!B:B,A572,ซื้อสินค้า!E:E)-SUMIF(ขายสินค้า!B:B,A572,ขายสินค้า!E:E),)</f>
        <v>0</v>
      </c>
      <c r="D572" s="23">
        <f>IF(A572&lt;&gt;"",SUMIF(ซื้อสินค้า!B:B,A572,ซื้อสินค้า!M:M),)</f>
        <v>0</v>
      </c>
      <c r="E572" s="23">
        <f t="shared" si="2"/>
        <v>0</v>
      </c>
    </row>
    <row r="573" spans="1:5" ht="12.75">
      <c r="A573" s="6"/>
      <c r="B573" s="9">
        <f>IFERROR(VLOOKUP(A573,ชื่อสินค้า!A:D,4,FALSE),)</f>
        <v>0</v>
      </c>
      <c r="C573" s="9">
        <f>IF(A573&lt;&gt;"",SUMIF(ซื้อสินค้า!B:B,A573,ซื้อสินค้า!E:E)-SUMIF(ขายสินค้า!B:B,A573,ขายสินค้า!E:E),)</f>
        <v>0</v>
      </c>
      <c r="D573" s="23">
        <f>IF(A573&lt;&gt;"",SUMIF(ซื้อสินค้า!B:B,A573,ซื้อสินค้า!M:M),)</f>
        <v>0</v>
      </c>
      <c r="E573" s="23">
        <f t="shared" si="2"/>
        <v>0</v>
      </c>
    </row>
    <row r="574" spans="1:5" ht="12.75">
      <c r="A574" s="6"/>
      <c r="B574" s="9">
        <f>IFERROR(VLOOKUP(A574,ชื่อสินค้า!A:D,4,FALSE),)</f>
        <v>0</v>
      </c>
      <c r="C574" s="9">
        <f>IF(A574&lt;&gt;"",SUMIF(ซื้อสินค้า!B:B,A574,ซื้อสินค้า!E:E)-SUMIF(ขายสินค้า!B:B,A574,ขายสินค้า!E:E),)</f>
        <v>0</v>
      </c>
      <c r="D574" s="23">
        <f>IF(A574&lt;&gt;"",SUMIF(ซื้อสินค้า!B:B,A574,ซื้อสินค้า!M:M),)</f>
        <v>0</v>
      </c>
      <c r="E574" s="23">
        <f t="shared" si="2"/>
        <v>0</v>
      </c>
    </row>
    <row r="575" spans="1:5" ht="12.75">
      <c r="A575" s="6"/>
      <c r="B575" s="9">
        <f>IFERROR(VLOOKUP(A575,ชื่อสินค้า!A:D,4,FALSE),)</f>
        <v>0</v>
      </c>
      <c r="C575" s="9">
        <f>IF(A575&lt;&gt;"",SUMIF(ซื้อสินค้า!B:B,A575,ซื้อสินค้า!E:E)-SUMIF(ขายสินค้า!B:B,A575,ขายสินค้า!E:E),)</f>
        <v>0</v>
      </c>
      <c r="D575" s="23">
        <f>IF(A575&lt;&gt;"",SUMIF(ซื้อสินค้า!B:B,A575,ซื้อสินค้า!M:M),)</f>
        <v>0</v>
      </c>
      <c r="E575" s="23">
        <f t="shared" si="2"/>
        <v>0</v>
      </c>
    </row>
    <row r="576" spans="1:5" ht="12.75">
      <c r="A576" s="6"/>
      <c r="B576" s="9">
        <f>IFERROR(VLOOKUP(A576,ชื่อสินค้า!A:D,4,FALSE),)</f>
        <v>0</v>
      </c>
      <c r="C576" s="9">
        <f>IF(A576&lt;&gt;"",SUMIF(ซื้อสินค้า!B:B,A576,ซื้อสินค้า!E:E)-SUMIF(ขายสินค้า!B:B,A576,ขายสินค้า!E:E),)</f>
        <v>0</v>
      </c>
      <c r="D576" s="23">
        <f>IF(A576&lt;&gt;"",SUMIF(ซื้อสินค้า!B:B,A576,ซื้อสินค้า!M:M),)</f>
        <v>0</v>
      </c>
      <c r="E576" s="23">
        <f t="shared" si="2"/>
        <v>0</v>
      </c>
    </row>
    <row r="577" spans="1:5" ht="12.75">
      <c r="A577" s="6"/>
      <c r="B577" s="9">
        <f>IFERROR(VLOOKUP(A577,ชื่อสินค้า!A:D,4,FALSE),)</f>
        <v>0</v>
      </c>
      <c r="C577" s="9">
        <f>IF(A577&lt;&gt;"",SUMIF(ซื้อสินค้า!B:B,A577,ซื้อสินค้า!E:E)-SUMIF(ขายสินค้า!B:B,A577,ขายสินค้า!E:E),)</f>
        <v>0</v>
      </c>
      <c r="D577" s="23">
        <f>IF(A577&lt;&gt;"",SUMIF(ซื้อสินค้า!B:B,A577,ซื้อสินค้า!M:M),)</f>
        <v>0</v>
      </c>
      <c r="E577" s="23">
        <f t="shared" si="2"/>
        <v>0</v>
      </c>
    </row>
    <row r="578" spans="1:5" ht="12.75">
      <c r="A578" s="6"/>
      <c r="B578" s="9">
        <f>IFERROR(VLOOKUP(A578,ชื่อสินค้า!A:D,4,FALSE),)</f>
        <v>0</v>
      </c>
      <c r="C578" s="9">
        <f>IF(A578&lt;&gt;"",SUMIF(ซื้อสินค้า!B:B,A578,ซื้อสินค้า!E:E)-SUMIF(ขายสินค้า!B:B,A578,ขายสินค้า!E:E),)</f>
        <v>0</v>
      </c>
      <c r="D578" s="23">
        <f>IF(A578&lt;&gt;"",SUMIF(ซื้อสินค้า!B:B,A578,ซื้อสินค้า!M:M),)</f>
        <v>0</v>
      </c>
      <c r="E578" s="23">
        <f t="shared" si="2"/>
        <v>0</v>
      </c>
    </row>
    <row r="579" spans="1:5" ht="12.75">
      <c r="A579" s="6"/>
      <c r="B579" s="9">
        <f>IFERROR(VLOOKUP(A579,ชื่อสินค้า!A:D,4,FALSE),)</f>
        <v>0</v>
      </c>
      <c r="C579" s="9">
        <f>IF(A579&lt;&gt;"",SUMIF(ซื้อสินค้า!B:B,A579,ซื้อสินค้า!E:E)-SUMIF(ขายสินค้า!B:B,A579,ขายสินค้า!E:E),)</f>
        <v>0</v>
      </c>
      <c r="D579" s="23">
        <f>IF(A579&lt;&gt;"",SUMIF(ซื้อสินค้า!B:B,A579,ซื้อสินค้า!M:M),)</f>
        <v>0</v>
      </c>
      <c r="E579" s="23">
        <f t="shared" si="2"/>
        <v>0</v>
      </c>
    </row>
    <row r="580" spans="1:5" ht="12.75">
      <c r="A580" s="6"/>
      <c r="B580" s="9">
        <f>IFERROR(VLOOKUP(A580,ชื่อสินค้า!A:D,4,FALSE),)</f>
        <v>0</v>
      </c>
      <c r="C580" s="9">
        <f>IF(A580&lt;&gt;"",SUMIF(ซื้อสินค้า!B:B,A580,ซื้อสินค้า!E:E)-SUMIF(ขายสินค้า!B:B,A580,ขายสินค้า!E:E),)</f>
        <v>0</v>
      </c>
      <c r="D580" s="23">
        <f>IF(A580&lt;&gt;"",SUMIF(ซื้อสินค้า!B:B,A580,ซื้อสินค้า!M:M),)</f>
        <v>0</v>
      </c>
      <c r="E580" s="23">
        <f t="shared" si="2"/>
        <v>0</v>
      </c>
    </row>
    <row r="581" spans="1:5" ht="12.75">
      <c r="A581" s="6"/>
      <c r="B581" s="9">
        <f>IFERROR(VLOOKUP(A581,ชื่อสินค้า!A:D,4,FALSE),)</f>
        <v>0</v>
      </c>
      <c r="C581" s="9">
        <f>IF(A581&lt;&gt;"",SUMIF(ซื้อสินค้า!B:B,A581,ซื้อสินค้า!E:E)-SUMIF(ขายสินค้า!B:B,A581,ขายสินค้า!E:E),)</f>
        <v>0</v>
      </c>
      <c r="D581" s="23">
        <f>IF(A581&lt;&gt;"",SUMIF(ซื้อสินค้า!B:B,A581,ซื้อสินค้า!M:M),)</f>
        <v>0</v>
      </c>
      <c r="E581" s="23">
        <f t="shared" si="2"/>
        <v>0</v>
      </c>
    </row>
    <row r="582" spans="1:5" ht="12.75">
      <c r="A582" s="6"/>
      <c r="B582" s="9">
        <f>IFERROR(VLOOKUP(A582,ชื่อสินค้า!A:D,4,FALSE),)</f>
        <v>0</v>
      </c>
      <c r="C582" s="9">
        <f>IF(A582&lt;&gt;"",SUMIF(ซื้อสินค้า!B:B,A582,ซื้อสินค้า!E:E)-SUMIF(ขายสินค้า!B:B,A582,ขายสินค้า!E:E),)</f>
        <v>0</v>
      </c>
      <c r="D582" s="23">
        <f>IF(A582&lt;&gt;"",SUMIF(ซื้อสินค้า!B:B,A582,ซื้อสินค้า!M:M),)</f>
        <v>0</v>
      </c>
      <c r="E582" s="23">
        <f t="shared" si="2"/>
        <v>0</v>
      </c>
    </row>
    <row r="583" spans="1:5" ht="12.75">
      <c r="A583" s="6"/>
      <c r="B583" s="9">
        <f>IFERROR(VLOOKUP(A583,ชื่อสินค้า!A:D,4,FALSE),)</f>
        <v>0</v>
      </c>
      <c r="C583" s="9">
        <f>IF(A583&lt;&gt;"",SUMIF(ซื้อสินค้า!B:B,A583,ซื้อสินค้า!E:E)-SUMIF(ขายสินค้า!B:B,A583,ขายสินค้า!E:E),)</f>
        <v>0</v>
      </c>
      <c r="D583" s="23">
        <f>IF(A583&lt;&gt;"",SUMIF(ซื้อสินค้า!B:B,A583,ซื้อสินค้า!M:M),)</f>
        <v>0</v>
      </c>
      <c r="E583" s="23">
        <f t="shared" si="2"/>
        <v>0</v>
      </c>
    </row>
    <row r="584" spans="1:5" ht="12.75">
      <c r="A584" s="6"/>
      <c r="B584" s="9">
        <f>IFERROR(VLOOKUP(A584,ชื่อสินค้า!A:D,4,FALSE),)</f>
        <v>0</v>
      </c>
      <c r="C584" s="9">
        <f>IF(A584&lt;&gt;"",SUMIF(ซื้อสินค้า!B:B,A584,ซื้อสินค้า!E:E)-SUMIF(ขายสินค้า!B:B,A584,ขายสินค้า!E:E),)</f>
        <v>0</v>
      </c>
      <c r="D584" s="23">
        <f>IF(A584&lt;&gt;"",SUMIF(ซื้อสินค้า!B:B,A584,ซื้อสินค้า!M:M),)</f>
        <v>0</v>
      </c>
      <c r="E584" s="23">
        <f t="shared" si="2"/>
        <v>0</v>
      </c>
    </row>
    <row r="585" spans="1:5" ht="12.75">
      <c r="A585" s="6"/>
      <c r="B585" s="9">
        <f>IFERROR(VLOOKUP(A585,ชื่อสินค้า!A:D,4,FALSE),)</f>
        <v>0</v>
      </c>
      <c r="C585" s="9">
        <f>IF(A585&lt;&gt;"",SUMIF(ซื้อสินค้า!B:B,A585,ซื้อสินค้า!E:E)-SUMIF(ขายสินค้า!B:B,A585,ขายสินค้า!E:E),)</f>
        <v>0</v>
      </c>
      <c r="D585" s="23">
        <f>IF(A585&lt;&gt;"",SUMIF(ซื้อสินค้า!B:B,A585,ซื้อสินค้า!M:M),)</f>
        <v>0</v>
      </c>
      <c r="E585" s="23">
        <f t="shared" si="2"/>
        <v>0</v>
      </c>
    </row>
    <row r="586" spans="1:5" ht="12.75">
      <c r="A586" s="6"/>
      <c r="B586" s="9">
        <f>IFERROR(VLOOKUP(A586,ชื่อสินค้า!A:D,4,FALSE),)</f>
        <v>0</v>
      </c>
      <c r="C586" s="9">
        <f>IF(A586&lt;&gt;"",SUMIF(ซื้อสินค้า!B:B,A586,ซื้อสินค้า!E:E)-SUMIF(ขายสินค้า!B:B,A586,ขายสินค้า!E:E),)</f>
        <v>0</v>
      </c>
      <c r="D586" s="23">
        <f>IF(A586&lt;&gt;"",SUMIF(ซื้อสินค้า!B:B,A586,ซื้อสินค้า!M:M),)</f>
        <v>0</v>
      </c>
      <c r="E586" s="23">
        <f t="shared" si="2"/>
        <v>0</v>
      </c>
    </row>
    <row r="587" spans="1:5" ht="12.75">
      <c r="A587" s="6"/>
      <c r="B587" s="9">
        <f>IFERROR(VLOOKUP(A587,ชื่อสินค้า!A:D,4,FALSE),)</f>
        <v>0</v>
      </c>
      <c r="C587" s="9">
        <f>IF(A587&lt;&gt;"",SUMIF(ซื้อสินค้า!B:B,A587,ซื้อสินค้า!E:E)-SUMIF(ขายสินค้า!B:B,A587,ขายสินค้า!E:E),)</f>
        <v>0</v>
      </c>
      <c r="D587" s="23">
        <f>IF(A587&lt;&gt;"",SUMIF(ซื้อสินค้า!B:B,A587,ซื้อสินค้า!M:M),)</f>
        <v>0</v>
      </c>
      <c r="E587" s="23">
        <f t="shared" si="2"/>
        <v>0</v>
      </c>
    </row>
    <row r="588" spans="1:5" ht="12.75">
      <c r="A588" s="6"/>
      <c r="B588" s="9">
        <f>IFERROR(VLOOKUP(A588,ชื่อสินค้า!A:D,4,FALSE),)</f>
        <v>0</v>
      </c>
      <c r="C588" s="9">
        <f>IF(A588&lt;&gt;"",SUMIF(ซื้อสินค้า!B:B,A588,ซื้อสินค้า!E:E)-SUMIF(ขายสินค้า!B:B,A588,ขายสินค้า!E:E),)</f>
        <v>0</v>
      </c>
      <c r="D588" s="23">
        <f>IF(A588&lt;&gt;"",SUMIF(ซื้อสินค้า!B:B,A588,ซื้อสินค้า!M:M),)</f>
        <v>0</v>
      </c>
      <c r="E588" s="23">
        <f t="shared" si="2"/>
        <v>0</v>
      </c>
    </row>
    <row r="589" spans="1:5" ht="12.75">
      <c r="A589" s="6"/>
      <c r="B589" s="9">
        <f>IFERROR(VLOOKUP(A589,ชื่อสินค้า!A:D,4,FALSE),)</f>
        <v>0</v>
      </c>
      <c r="C589" s="9">
        <f>IF(A589&lt;&gt;"",SUMIF(ซื้อสินค้า!B:B,A589,ซื้อสินค้า!E:E)-SUMIF(ขายสินค้า!B:B,A589,ขายสินค้า!E:E),)</f>
        <v>0</v>
      </c>
      <c r="D589" s="23">
        <f>IF(A589&lt;&gt;"",SUMIF(ซื้อสินค้า!B:B,A589,ซื้อสินค้า!M:M),)</f>
        <v>0</v>
      </c>
      <c r="E589" s="23">
        <f t="shared" si="2"/>
        <v>0</v>
      </c>
    </row>
    <row r="590" spans="1:5" ht="12.75">
      <c r="A590" s="6"/>
      <c r="B590" s="9">
        <f>IFERROR(VLOOKUP(A590,ชื่อสินค้า!A:D,4,FALSE),)</f>
        <v>0</v>
      </c>
      <c r="C590" s="9">
        <f>IF(A590&lt;&gt;"",SUMIF(ซื้อสินค้า!B:B,A590,ซื้อสินค้า!E:E)-SUMIF(ขายสินค้า!B:B,A590,ขายสินค้า!E:E),)</f>
        <v>0</v>
      </c>
      <c r="D590" s="23">
        <f>IF(A590&lt;&gt;"",SUMIF(ซื้อสินค้า!B:B,A590,ซื้อสินค้า!M:M),)</f>
        <v>0</v>
      </c>
      <c r="E590" s="23">
        <f t="shared" si="2"/>
        <v>0</v>
      </c>
    </row>
    <row r="591" spans="1:5" ht="12.75">
      <c r="A591" s="6"/>
      <c r="B591" s="9">
        <f>IFERROR(VLOOKUP(A591,ชื่อสินค้า!A:D,4,FALSE),)</f>
        <v>0</v>
      </c>
      <c r="C591" s="9">
        <f>IF(A591&lt;&gt;"",SUMIF(ซื้อสินค้า!B:B,A591,ซื้อสินค้า!E:E)-SUMIF(ขายสินค้า!B:B,A591,ขายสินค้า!E:E),)</f>
        <v>0</v>
      </c>
      <c r="D591" s="23">
        <f>IF(A591&lt;&gt;"",SUMIF(ซื้อสินค้า!B:B,A591,ซื้อสินค้า!M:M),)</f>
        <v>0</v>
      </c>
      <c r="E591" s="23">
        <f t="shared" si="2"/>
        <v>0</v>
      </c>
    </row>
    <row r="592" spans="1:5" ht="12.75">
      <c r="A592" s="6"/>
      <c r="B592" s="9">
        <f>IFERROR(VLOOKUP(A592,ชื่อสินค้า!A:D,4,FALSE),)</f>
        <v>0</v>
      </c>
      <c r="C592" s="9">
        <f>IF(A592&lt;&gt;"",SUMIF(ซื้อสินค้า!B:B,A592,ซื้อสินค้า!E:E)-SUMIF(ขายสินค้า!B:B,A592,ขายสินค้า!E:E),)</f>
        <v>0</v>
      </c>
      <c r="D592" s="23">
        <f>IF(A592&lt;&gt;"",SUMIF(ซื้อสินค้า!B:B,A592,ซื้อสินค้า!M:M),)</f>
        <v>0</v>
      </c>
      <c r="E592" s="23">
        <f t="shared" si="2"/>
        <v>0</v>
      </c>
    </row>
    <row r="593" spans="1:5" ht="12.75">
      <c r="A593" s="6"/>
      <c r="B593" s="9">
        <f>IFERROR(VLOOKUP(A593,ชื่อสินค้า!A:D,4,FALSE),)</f>
        <v>0</v>
      </c>
      <c r="C593" s="9">
        <f>IF(A593&lt;&gt;"",SUMIF(ซื้อสินค้า!B:B,A593,ซื้อสินค้า!E:E)-SUMIF(ขายสินค้า!B:B,A593,ขายสินค้า!E:E),)</f>
        <v>0</v>
      </c>
      <c r="D593" s="23">
        <f>IF(A593&lt;&gt;"",SUMIF(ซื้อสินค้า!B:B,A593,ซื้อสินค้า!M:M),)</f>
        <v>0</v>
      </c>
      <c r="E593" s="23">
        <f t="shared" si="2"/>
        <v>0</v>
      </c>
    </row>
    <row r="594" spans="1:5" ht="12.75">
      <c r="A594" s="6"/>
      <c r="B594" s="9">
        <f>IFERROR(VLOOKUP(A594,ชื่อสินค้า!A:D,4,FALSE),)</f>
        <v>0</v>
      </c>
      <c r="C594" s="9">
        <f>IF(A594&lt;&gt;"",SUMIF(ซื้อสินค้า!B:B,A594,ซื้อสินค้า!E:E)-SUMIF(ขายสินค้า!B:B,A594,ขายสินค้า!E:E),)</f>
        <v>0</v>
      </c>
      <c r="D594" s="23">
        <f>IF(A594&lt;&gt;"",SUMIF(ซื้อสินค้า!B:B,A594,ซื้อสินค้า!M:M),)</f>
        <v>0</v>
      </c>
      <c r="E594" s="23">
        <f t="shared" si="2"/>
        <v>0</v>
      </c>
    </row>
    <row r="595" spans="1:5" ht="12.75">
      <c r="A595" s="6"/>
      <c r="B595" s="9">
        <f>IFERROR(VLOOKUP(A595,ชื่อสินค้า!A:D,4,FALSE),)</f>
        <v>0</v>
      </c>
      <c r="C595" s="9">
        <f>IF(A595&lt;&gt;"",SUMIF(ซื้อสินค้า!B:B,A595,ซื้อสินค้า!E:E)-SUMIF(ขายสินค้า!B:B,A595,ขายสินค้า!E:E),)</f>
        <v>0</v>
      </c>
      <c r="D595" s="23">
        <f>IF(A595&lt;&gt;"",SUMIF(ซื้อสินค้า!B:B,A595,ซื้อสินค้า!M:M),)</f>
        <v>0</v>
      </c>
      <c r="E595" s="23">
        <f t="shared" si="2"/>
        <v>0</v>
      </c>
    </row>
    <row r="596" spans="1:5" ht="12.75">
      <c r="A596" s="6"/>
      <c r="B596" s="9">
        <f>IFERROR(VLOOKUP(A596,ชื่อสินค้า!A:D,4,FALSE),)</f>
        <v>0</v>
      </c>
      <c r="C596" s="9">
        <f>IF(A596&lt;&gt;"",SUMIF(ซื้อสินค้า!B:B,A596,ซื้อสินค้า!E:E)-SUMIF(ขายสินค้า!B:B,A596,ขายสินค้า!E:E),)</f>
        <v>0</v>
      </c>
      <c r="D596" s="23">
        <f>IF(A596&lt;&gt;"",SUMIF(ซื้อสินค้า!B:B,A596,ซื้อสินค้า!M:M),)</f>
        <v>0</v>
      </c>
      <c r="E596" s="23">
        <f t="shared" si="2"/>
        <v>0</v>
      </c>
    </row>
    <row r="597" spans="1:5" ht="12.75">
      <c r="A597" s="6"/>
      <c r="B597" s="9">
        <f>IFERROR(VLOOKUP(A597,ชื่อสินค้า!A:D,4,FALSE),)</f>
        <v>0</v>
      </c>
      <c r="C597" s="9">
        <f>IF(A597&lt;&gt;"",SUMIF(ซื้อสินค้า!B:B,A597,ซื้อสินค้า!E:E)-SUMIF(ขายสินค้า!B:B,A597,ขายสินค้า!E:E),)</f>
        <v>0</v>
      </c>
      <c r="D597" s="23">
        <f>IF(A597&lt;&gt;"",SUMIF(ซื้อสินค้า!B:B,A597,ซื้อสินค้า!M:M),)</f>
        <v>0</v>
      </c>
      <c r="E597" s="23">
        <f t="shared" si="2"/>
        <v>0</v>
      </c>
    </row>
    <row r="598" spans="1:5" ht="12.75">
      <c r="A598" s="6"/>
      <c r="B598" s="9">
        <f>IFERROR(VLOOKUP(A598,ชื่อสินค้า!A:D,4,FALSE),)</f>
        <v>0</v>
      </c>
      <c r="C598" s="9">
        <f>IF(A598&lt;&gt;"",SUMIF(ซื้อสินค้า!B:B,A598,ซื้อสินค้า!E:E)-SUMIF(ขายสินค้า!B:B,A598,ขายสินค้า!E:E),)</f>
        <v>0</v>
      </c>
      <c r="D598" s="23">
        <f>IF(A598&lt;&gt;"",SUMIF(ซื้อสินค้า!B:B,A598,ซื้อสินค้า!M:M),)</f>
        <v>0</v>
      </c>
      <c r="E598" s="23">
        <f t="shared" si="2"/>
        <v>0</v>
      </c>
    </row>
    <row r="599" spans="1:5" ht="12.75">
      <c r="A599" s="6"/>
      <c r="B599" s="9">
        <f>IFERROR(VLOOKUP(A599,ชื่อสินค้า!A:D,4,FALSE),)</f>
        <v>0</v>
      </c>
      <c r="C599" s="9">
        <f>IF(A599&lt;&gt;"",SUMIF(ซื้อสินค้า!B:B,A599,ซื้อสินค้า!E:E)-SUMIF(ขายสินค้า!B:B,A599,ขายสินค้า!E:E),)</f>
        <v>0</v>
      </c>
      <c r="D599" s="23">
        <f>IF(A599&lt;&gt;"",SUMIF(ซื้อสินค้า!B:B,A599,ซื้อสินค้า!M:M),)</f>
        <v>0</v>
      </c>
      <c r="E599" s="23">
        <f t="shared" si="2"/>
        <v>0</v>
      </c>
    </row>
    <row r="600" spans="1:5" ht="12.75">
      <c r="A600" s="6"/>
      <c r="B600" s="9">
        <f>IFERROR(VLOOKUP(A600,ชื่อสินค้า!A:D,4,FALSE),)</f>
        <v>0</v>
      </c>
      <c r="C600" s="9">
        <f>IF(A600&lt;&gt;"",SUMIF(ซื้อสินค้า!B:B,A600,ซื้อสินค้า!E:E)-SUMIF(ขายสินค้า!B:B,A600,ขายสินค้า!E:E),)</f>
        <v>0</v>
      </c>
      <c r="D600" s="23">
        <f>IF(A600&lt;&gt;"",SUMIF(ซื้อสินค้า!B:B,A600,ซื้อสินค้า!M:M),)</f>
        <v>0</v>
      </c>
      <c r="E600" s="23">
        <f t="shared" si="2"/>
        <v>0</v>
      </c>
    </row>
    <row r="601" spans="1:5" ht="12.75">
      <c r="A601" s="6"/>
      <c r="B601" s="9">
        <f>IFERROR(VLOOKUP(A601,ชื่อสินค้า!A:D,4,FALSE),)</f>
        <v>0</v>
      </c>
      <c r="C601" s="9">
        <f>IF(A601&lt;&gt;"",SUMIF(ซื้อสินค้า!B:B,A601,ซื้อสินค้า!E:E)-SUMIF(ขายสินค้า!B:B,A601,ขายสินค้า!E:E),)</f>
        <v>0</v>
      </c>
      <c r="D601" s="23">
        <f>IF(A601&lt;&gt;"",SUMIF(ซื้อสินค้า!B:B,A601,ซื้อสินค้า!M:M),)</f>
        <v>0</v>
      </c>
      <c r="E601" s="23">
        <f t="shared" si="2"/>
        <v>0</v>
      </c>
    </row>
    <row r="602" spans="1:5" ht="12.75">
      <c r="A602" s="6"/>
      <c r="B602" s="9">
        <f>IFERROR(VLOOKUP(A602,ชื่อสินค้า!A:D,4,FALSE),)</f>
        <v>0</v>
      </c>
      <c r="C602" s="9">
        <f>IF(A602&lt;&gt;"",SUMIF(ซื้อสินค้า!B:B,A602,ซื้อสินค้า!E:E)-SUMIF(ขายสินค้า!B:B,A602,ขายสินค้า!E:E),)</f>
        <v>0</v>
      </c>
      <c r="D602" s="23">
        <f>IF(A602&lt;&gt;"",SUMIF(ซื้อสินค้า!B:B,A602,ซื้อสินค้า!M:M),)</f>
        <v>0</v>
      </c>
      <c r="E602" s="23">
        <f t="shared" si="2"/>
        <v>0</v>
      </c>
    </row>
    <row r="603" spans="1:5" ht="12.75">
      <c r="A603" s="6"/>
      <c r="B603" s="9">
        <f>IFERROR(VLOOKUP(A603,ชื่อสินค้า!A:D,4,FALSE),)</f>
        <v>0</v>
      </c>
      <c r="C603" s="9">
        <f>IF(A603&lt;&gt;"",SUMIF(ซื้อสินค้า!B:B,A603,ซื้อสินค้า!E:E)-SUMIF(ขายสินค้า!B:B,A603,ขายสินค้า!E:E),)</f>
        <v>0</v>
      </c>
      <c r="D603" s="23">
        <f>IF(A603&lt;&gt;"",SUMIF(ซื้อสินค้า!B:B,A603,ซื้อสินค้า!M:M),)</f>
        <v>0</v>
      </c>
      <c r="E603" s="23">
        <f t="shared" si="2"/>
        <v>0</v>
      </c>
    </row>
    <row r="604" spans="1:5" ht="12.75">
      <c r="A604" s="6"/>
      <c r="B604" s="9">
        <f>IFERROR(VLOOKUP(A604,ชื่อสินค้า!A:D,4,FALSE),)</f>
        <v>0</v>
      </c>
      <c r="C604" s="9">
        <f>IF(A604&lt;&gt;"",SUMIF(ซื้อสินค้า!B:B,A604,ซื้อสินค้า!E:E)-SUMIF(ขายสินค้า!B:B,A604,ขายสินค้า!E:E),)</f>
        <v>0</v>
      </c>
      <c r="D604" s="23">
        <f>IF(A604&lt;&gt;"",SUMIF(ซื้อสินค้า!B:B,A604,ซื้อสินค้า!M:M),)</f>
        <v>0</v>
      </c>
      <c r="E604" s="23">
        <f t="shared" si="2"/>
        <v>0</v>
      </c>
    </row>
    <row r="605" spans="1:5" ht="12.75">
      <c r="A605" s="6"/>
      <c r="B605" s="9">
        <f>IFERROR(VLOOKUP(A605,ชื่อสินค้า!A:D,4,FALSE),)</f>
        <v>0</v>
      </c>
      <c r="C605" s="9">
        <f>IF(A605&lt;&gt;"",SUMIF(ซื้อสินค้า!B:B,A605,ซื้อสินค้า!E:E)-SUMIF(ขายสินค้า!B:B,A605,ขายสินค้า!E:E),)</f>
        <v>0</v>
      </c>
      <c r="D605" s="23">
        <f>IF(A605&lt;&gt;"",SUMIF(ซื้อสินค้า!B:B,A605,ซื้อสินค้า!M:M),)</f>
        <v>0</v>
      </c>
      <c r="E605" s="23">
        <f t="shared" si="2"/>
        <v>0</v>
      </c>
    </row>
    <row r="606" spans="1:5" ht="12.75">
      <c r="A606" s="6"/>
      <c r="B606" s="9">
        <f>IFERROR(VLOOKUP(A606,ชื่อสินค้า!A:D,4,FALSE),)</f>
        <v>0</v>
      </c>
      <c r="C606" s="9">
        <f>IF(A606&lt;&gt;"",SUMIF(ซื้อสินค้า!B:B,A606,ซื้อสินค้า!E:E)-SUMIF(ขายสินค้า!B:B,A606,ขายสินค้า!E:E),)</f>
        <v>0</v>
      </c>
      <c r="D606" s="23">
        <f>IF(A606&lt;&gt;"",SUMIF(ซื้อสินค้า!B:B,A606,ซื้อสินค้า!M:M),)</f>
        <v>0</v>
      </c>
      <c r="E606" s="23">
        <f t="shared" si="2"/>
        <v>0</v>
      </c>
    </row>
    <row r="607" spans="1:5" ht="12.75">
      <c r="A607" s="6"/>
      <c r="B607" s="9">
        <f>IFERROR(VLOOKUP(A607,ชื่อสินค้า!A:D,4,FALSE),)</f>
        <v>0</v>
      </c>
      <c r="C607" s="9">
        <f>IF(A607&lt;&gt;"",SUMIF(ซื้อสินค้า!B:B,A607,ซื้อสินค้า!E:E)-SUMIF(ขายสินค้า!B:B,A607,ขายสินค้า!E:E),)</f>
        <v>0</v>
      </c>
      <c r="D607" s="23">
        <f>IF(A607&lt;&gt;"",SUMIF(ซื้อสินค้า!B:B,A607,ซื้อสินค้า!M:M),)</f>
        <v>0</v>
      </c>
      <c r="E607" s="23">
        <f t="shared" si="2"/>
        <v>0</v>
      </c>
    </row>
    <row r="608" spans="1:5" ht="12.75">
      <c r="A608" s="6"/>
      <c r="B608" s="9">
        <f>IFERROR(VLOOKUP(A608,ชื่อสินค้า!A:D,4,FALSE),)</f>
        <v>0</v>
      </c>
      <c r="C608" s="9">
        <f>IF(A608&lt;&gt;"",SUMIF(ซื้อสินค้า!B:B,A608,ซื้อสินค้า!E:E)-SUMIF(ขายสินค้า!B:B,A608,ขายสินค้า!E:E),)</f>
        <v>0</v>
      </c>
      <c r="D608" s="23">
        <f>IF(A608&lt;&gt;"",SUMIF(ซื้อสินค้า!B:B,A608,ซื้อสินค้า!M:M),)</f>
        <v>0</v>
      </c>
      <c r="E608" s="23">
        <f t="shared" si="2"/>
        <v>0</v>
      </c>
    </row>
    <row r="609" spans="1:5" ht="12.75">
      <c r="A609" s="6"/>
      <c r="B609" s="9">
        <f>IFERROR(VLOOKUP(A609,ชื่อสินค้า!A:D,4,FALSE),)</f>
        <v>0</v>
      </c>
      <c r="C609" s="9">
        <f>IF(A609&lt;&gt;"",SUMIF(ซื้อสินค้า!B:B,A609,ซื้อสินค้า!E:E)-SUMIF(ขายสินค้า!B:B,A609,ขายสินค้า!E:E),)</f>
        <v>0</v>
      </c>
      <c r="D609" s="23">
        <f>IF(A609&lt;&gt;"",SUMIF(ซื้อสินค้า!B:B,A609,ซื้อสินค้า!M:M),)</f>
        <v>0</v>
      </c>
      <c r="E609" s="23">
        <f t="shared" si="2"/>
        <v>0</v>
      </c>
    </row>
    <row r="610" spans="1:5" ht="12.75">
      <c r="A610" s="6"/>
      <c r="B610" s="9">
        <f>IFERROR(VLOOKUP(A610,ชื่อสินค้า!A:D,4,FALSE),)</f>
        <v>0</v>
      </c>
      <c r="C610" s="9">
        <f>IF(A610&lt;&gt;"",SUMIF(ซื้อสินค้า!B:B,A610,ซื้อสินค้า!E:E)-SUMIF(ขายสินค้า!B:B,A610,ขายสินค้า!E:E),)</f>
        <v>0</v>
      </c>
      <c r="D610" s="23">
        <f>IF(A610&lt;&gt;"",SUMIF(ซื้อสินค้า!B:B,A610,ซื้อสินค้า!M:M),)</f>
        <v>0</v>
      </c>
      <c r="E610" s="23">
        <f t="shared" si="2"/>
        <v>0</v>
      </c>
    </row>
    <row r="611" spans="1:5" ht="12.75">
      <c r="A611" s="6"/>
      <c r="B611" s="9">
        <f>IFERROR(VLOOKUP(A611,ชื่อสินค้า!A:D,4,FALSE),)</f>
        <v>0</v>
      </c>
      <c r="C611" s="9">
        <f>IF(A611&lt;&gt;"",SUMIF(ซื้อสินค้า!B:B,A611,ซื้อสินค้า!E:E)-SUMIF(ขายสินค้า!B:B,A611,ขายสินค้า!E:E),)</f>
        <v>0</v>
      </c>
      <c r="D611" s="23">
        <f>IF(A611&lt;&gt;"",SUMIF(ซื้อสินค้า!B:B,A611,ซื้อสินค้า!M:M),)</f>
        <v>0</v>
      </c>
      <c r="E611" s="23">
        <f t="shared" si="2"/>
        <v>0</v>
      </c>
    </row>
    <row r="612" spans="1:5" ht="12.75">
      <c r="A612" s="6"/>
      <c r="B612" s="9">
        <f>IFERROR(VLOOKUP(A612,ชื่อสินค้า!A:D,4,FALSE),)</f>
        <v>0</v>
      </c>
      <c r="C612" s="9">
        <f>IF(A612&lt;&gt;"",SUMIF(ซื้อสินค้า!B:B,A612,ซื้อสินค้า!E:E)-SUMIF(ขายสินค้า!B:B,A612,ขายสินค้า!E:E),)</f>
        <v>0</v>
      </c>
      <c r="D612" s="23">
        <f>IF(A612&lt;&gt;"",SUMIF(ซื้อสินค้า!B:B,A612,ซื้อสินค้า!M:M),)</f>
        <v>0</v>
      </c>
      <c r="E612" s="23">
        <f t="shared" si="2"/>
        <v>0</v>
      </c>
    </row>
    <row r="613" spans="1:5" ht="12.75">
      <c r="A613" s="6"/>
      <c r="B613" s="9">
        <f>IFERROR(VLOOKUP(A613,ชื่อสินค้า!A:D,4,FALSE),)</f>
        <v>0</v>
      </c>
      <c r="C613" s="9">
        <f>IF(A613&lt;&gt;"",SUMIF(ซื้อสินค้า!B:B,A613,ซื้อสินค้า!E:E)-SUMIF(ขายสินค้า!B:B,A613,ขายสินค้า!E:E),)</f>
        <v>0</v>
      </c>
      <c r="D613" s="23">
        <f>IF(A613&lt;&gt;"",SUMIF(ซื้อสินค้า!B:B,A613,ซื้อสินค้า!M:M),)</f>
        <v>0</v>
      </c>
      <c r="E613" s="23">
        <f t="shared" si="2"/>
        <v>0</v>
      </c>
    </row>
    <row r="614" spans="1:5" ht="12.75">
      <c r="A614" s="6"/>
      <c r="B614" s="9">
        <f>IFERROR(VLOOKUP(A614,ชื่อสินค้า!A:D,4,FALSE),)</f>
        <v>0</v>
      </c>
      <c r="C614" s="9">
        <f>IF(A614&lt;&gt;"",SUMIF(ซื้อสินค้า!B:B,A614,ซื้อสินค้า!E:E)-SUMIF(ขายสินค้า!B:B,A614,ขายสินค้า!E:E),)</f>
        <v>0</v>
      </c>
      <c r="D614" s="23">
        <f>IF(A614&lt;&gt;"",SUMIF(ซื้อสินค้า!B:B,A614,ซื้อสินค้า!M:M),)</f>
        <v>0</v>
      </c>
      <c r="E614" s="23">
        <f t="shared" si="2"/>
        <v>0</v>
      </c>
    </row>
    <row r="615" spans="1:5" ht="12.75">
      <c r="A615" s="6"/>
      <c r="B615" s="9">
        <f>IFERROR(VLOOKUP(A615,ชื่อสินค้า!A:D,4,FALSE),)</f>
        <v>0</v>
      </c>
      <c r="C615" s="9">
        <f>IF(A615&lt;&gt;"",SUMIF(ซื้อสินค้า!B:B,A615,ซื้อสินค้า!E:E)-SUMIF(ขายสินค้า!B:B,A615,ขายสินค้า!E:E),)</f>
        <v>0</v>
      </c>
      <c r="D615" s="23">
        <f>IF(A615&lt;&gt;"",SUMIF(ซื้อสินค้า!B:B,A615,ซื้อสินค้า!M:M),)</f>
        <v>0</v>
      </c>
      <c r="E615" s="23">
        <f t="shared" si="2"/>
        <v>0</v>
      </c>
    </row>
    <row r="616" spans="1:5" ht="12.75">
      <c r="A616" s="6"/>
      <c r="B616" s="9">
        <f>IFERROR(VLOOKUP(A616,ชื่อสินค้า!A:D,4,FALSE),)</f>
        <v>0</v>
      </c>
      <c r="C616" s="9">
        <f>IF(A616&lt;&gt;"",SUMIF(ซื้อสินค้า!B:B,A616,ซื้อสินค้า!E:E)-SUMIF(ขายสินค้า!B:B,A616,ขายสินค้า!E:E),)</f>
        <v>0</v>
      </c>
      <c r="D616" s="23">
        <f>IF(A616&lt;&gt;"",SUMIF(ซื้อสินค้า!B:B,A616,ซื้อสินค้า!M:M),)</f>
        <v>0</v>
      </c>
      <c r="E616" s="23">
        <f t="shared" si="2"/>
        <v>0</v>
      </c>
    </row>
    <row r="617" spans="1:5" ht="12.75">
      <c r="A617" s="6"/>
      <c r="B617" s="9">
        <f>IFERROR(VLOOKUP(A617,ชื่อสินค้า!A:D,4,FALSE),)</f>
        <v>0</v>
      </c>
      <c r="C617" s="9">
        <f>IF(A617&lt;&gt;"",SUMIF(ซื้อสินค้า!B:B,A617,ซื้อสินค้า!E:E)-SUMIF(ขายสินค้า!B:B,A617,ขายสินค้า!E:E),)</f>
        <v>0</v>
      </c>
      <c r="D617" s="23">
        <f>IF(A617&lt;&gt;"",SUMIF(ซื้อสินค้า!B:B,A617,ซื้อสินค้า!M:M),)</f>
        <v>0</v>
      </c>
      <c r="E617" s="23">
        <f t="shared" si="2"/>
        <v>0</v>
      </c>
    </row>
    <row r="618" spans="1:5" ht="12.75">
      <c r="A618" s="6"/>
      <c r="B618" s="9">
        <f>IFERROR(VLOOKUP(A618,ชื่อสินค้า!A:D,4,FALSE),)</f>
        <v>0</v>
      </c>
      <c r="C618" s="9">
        <f>IF(A618&lt;&gt;"",SUMIF(ซื้อสินค้า!B:B,A618,ซื้อสินค้า!E:E)-SUMIF(ขายสินค้า!B:B,A618,ขายสินค้า!E:E),)</f>
        <v>0</v>
      </c>
      <c r="D618" s="23">
        <f>IF(A618&lt;&gt;"",SUMIF(ซื้อสินค้า!B:B,A618,ซื้อสินค้า!M:M),)</f>
        <v>0</v>
      </c>
      <c r="E618" s="23">
        <f t="shared" si="2"/>
        <v>0</v>
      </c>
    </row>
    <row r="619" spans="1:5" ht="12.75">
      <c r="A619" s="6"/>
      <c r="B619" s="9">
        <f>IFERROR(VLOOKUP(A619,ชื่อสินค้า!A:D,4,FALSE),)</f>
        <v>0</v>
      </c>
      <c r="C619" s="9">
        <f>IF(A619&lt;&gt;"",SUMIF(ซื้อสินค้า!B:B,A619,ซื้อสินค้า!E:E)-SUMIF(ขายสินค้า!B:B,A619,ขายสินค้า!E:E),)</f>
        <v>0</v>
      </c>
      <c r="D619" s="23">
        <f>IF(A619&lt;&gt;"",SUMIF(ซื้อสินค้า!B:B,A619,ซื้อสินค้า!M:M),)</f>
        <v>0</v>
      </c>
      <c r="E619" s="23">
        <f t="shared" si="2"/>
        <v>0</v>
      </c>
    </row>
    <row r="620" spans="1:5" ht="12.75">
      <c r="A620" s="6"/>
      <c r="B620" s="9">
        <f>IFERROR(VLOOKUP(A620,ชื่อสินค้า!A:D,4,FALSE),)</f>
        <v>0</v>
      </c>
      <c r="C620" s="9">
        <f>IF(A620&lt;&gt;"",SUMIF(ซื้อสินค้า!B:B,A620,ซื้อสินค้า!E:E)-SUMIF(ขายสินค้า!B:B,A620,ขายสินค้า!E:E),)</f>
        <v>0</v>
      </c>
      <c r="D620" s="23">
        <f>IF(A620&lt;&gt;"",SUMIF(ซื้อสินค้า!B:B,A620,ซื้อสินค้า!M:M),)</f>
        <v>0</v>
      </c>
      <c r="E620" s="23">
        <f t="shared" si="2"/>
        <v>0</v>
      </c>
    </row>
    <row r="621" spans="1:5" ht="12.75">
      <c r="A621" s="6"/>
      <c r="B621" s="9">
        <f>IFERROR(VLOOKUP(A621,ชื่อสินค้า!A:D,4,FALSE),)</f>
        <v>0</v>
      </c>
      <c r="C621" s="9">
        <f>IF(A621&lt;&gt;"",SUMIF(ซื้อสินค้า!B:B,A621,ซื้อสินค้า!E:E)-SUMIF(ขายสินค้า!B:B,A621,ขายสินค้า!E:E),)</f>
        <v>0</v>
      </c>
      <c r="D621" s="23">
        <f>IF(A621&lt;&gt;"",SUMIF(ซื้อสินค้า!B:B,A621,ซื้อสินค้า!M:M),)</f>
        <v>0</v>
      </c>
      <c r="E621" s="23">
        <f t="shared" si="2"/>
        <v>0</v>
      </c>
    </row>
    <row r="622" spans="1:5" ht="12.75">
      <c r="A622" s="6"/>
      <c r="B622" s="9">
        <f>IFERROR(VLOOKUP(A622,ชื่อสินค้า!A:D,4,FALSE),)</f>
        <v>0</v>
      </c>
      <c r="C622" s="9">
        <f>IF(A622&lt;&gt;"",SUMIF(ซื้อสินค้า!B:B,A622,ซื้อสินค้า!E:E)-SUMIF(ขายสินค้า!B:B,A622,ขายสินค้า!E:E),)</f>
        <v>0</v>
      </c>
      <c r="D622" s="23">
        <f>IF(A622&lt;&gt;"",SUMIF(ซื้อสินค้า!B:B,A622,ซื้อสินค้า!M:M),)</f>
        <v>0</v>
      </c>
      <c r="E622" s="23">
        <f t="shared" si="2"/>
        <v>0</v>
      </c>
    </row>
    <row r="623" spans="1:5" ht="12.75">
      <c r="A623" s="6"/>
      <c r="B623" s="9">
        <f>IFERROR(VLOOKUP(A623,ชื่อสินค้า!A:D,4,FALSE),)</f>
        <v>0</v>
      </c>
      <c r="C623" s="9">
        <f>IF(A623&lt;&gt;"",SUMIF(ซื้อสินค้า!B:B,A623,ซื้อสินค้า!E:E)-SUMIF(ขายสินค้า!B:B,A623,ขายสินค้า!E:E),)</f>
        <v>0</v>
      </c>
      <c r="D623" s="23">
        <f>IF(A623&lt;&gt;"",SUMIF(ซื้อสินค้า!B:B,A623,ซื้อสินค้า!M:M),)</f>
        <v>0</v>
      </c>
      <c r="E623" s="23">
        <f t="shared" si="2"/>
        <v>0</v>
      </c>
    </row>
    <row r="624" spans="1:5" ht="12.75">
      <c r="A624" s="6"/>
      <c r="B624" s="9">
        <f>IFERROR(VLOOKUP(A624,ชื่อสินค้า!A:D,4,FALSE),)</f>
        <v>0</v>
      </c>
      <c r="C624" s="9">
        <f>IF(A624&lt;&gt;"",SUMIF(ซื้อสินค้า!B:B,A624,ซื้อสินค้า!E:E)-SUMIF(ขายสินค้า!B:B,A624,ขายสินค้า!E:E),)</f>
        <v>0</v>
      </c>
      <c r="D624" s="23">
        <f>IF(A624&lt;&gt;"",SUMIF(ซื้อสินค้า!B:B,A624,ซื้อสินค้า!M:M),)</f>
        <v>0</v>
      </c>
      <c r="E624" s="23">
        <f t="shared" si="2"/>
        <v>0</v>
      </c>
    </row>
    <row r="625" spans="1:5" ht="12.75">
      <c r="A625" s="6"/>
      <c r="B625" s="9">
        <f>IFERROR(VLOOKUP(A625,ชื่อสินค้า!A:D,4,FALSE),)</f>
        <v>0</v>
      </c>
      <c r="C625" s="9">
        <f>IF(A625&lt;&gt;"",SUMIF(ซื้อสินค้า!B:B,A625,ซื้อสินค้า!E:E)-SUMIF(ขายสินค้า!B:B,A625,ขายสินค้า!E:E),)</f>
        <v>0</v>
      </c>
      <c r="D625" s="23">
        <f>IF(A625&lt;&gt;"",SUMIF(ซื้อสินค้า!B:B,A625,ซื้อสินค้า!M:M),)</f>
        <v>0</v>
      </c>
      <c r="E625" s="23">
        <f t="shared" si="2"/>
        <v>0</v>
      </c>
    </row>
    <row r="626" spans="1:5" ht="12.75">
      <c r="A626" s="6"/>
      <c r="B626" s="9">
        <f>IFERROR(VLOOKUP(A626,ชื่อสินค้า!A:D,4,FALSE),)</f>
        <v>0</v>
      </c>
      <c r="C626" s="9">
        <f>IF(A626&lt;&gt;"",SUMIF(ซื้อสินค้า!B:B,A626,ซื้อสินค้า!E:E)-SUMIF(ขายสินค้า!B:B,A626,ขายสินค้า!E:E),)</f>
        <v>0</v>
      </c>
      <c r="D626" s="23">
        <f>IF(A626&lt;&gt;"",SUMIF(ซื้อสินค้า!B:B,A626,ซื้อสินค้า!M:M),)</f>
        <v>0</v>
      </c>
      <c r="E626" s="23">
        <f t="shared" si="2"/>
        <v>0</v>
      </c>
    </row>
    <row r="627" spans="1:5" ht="12.75">
      <c r="A627" s="6"/>
      <c r="B627" s="9">
        <f>IFERROR(VLOOKUP(A627,ชื่อสินค้า!A:D,4,FALSE),)</f>
        <v>0</v>
      </c>
      <c r="C627" s="9">
        <f>IF(A627&lt;&gt;"",SUMIF(ซื้อสินค้า!B:B,A627,ซื้อสินค้า!E:E)-SUMIF(ขายสินค้า!B:B,A627,ขายสินค้า!E:E),)</f>
        <v>0</v>
      </c>
      <c r="D627" s="23">
        <f>IF(A627&lt;&gt;"",SUMIF(ซื้อสินค้า!B:B,A627,ซื้อสินค้า!M:M),)</f>
        <v>0</v>
      </c>
      <c r="E627" s="23">
        <f t="shared" si="2"/>
        <v>0</v>
      </c>
    </row>
    <row r="628" spans="1:5" ht="12.75">
      <c r="A628" s="6"/>
      <c r="B628" s="9">
        <f>IFERROR(VLOOKUP(A628,ชื่อสินค้า!A:D,4,FALSE),)</f>
        <v>0</v>
      </c>
      <c r="C628" s="9">
        <f>IF(A628&lt;&gt;"",SUMIF(ซื้อสินค้า!B:B,A628,ซื้อสินค้า!E:E)-SUMIF(ขายสินค้า!B:B,A628,ขายสินค้า!E:E),)</f>
        <v>0</v>
      </c>
      <c r="D628" s="23">
        <f>IF(A628&lt;&gt;"",SUMIF(ซื้อสินค้า!B:B,A628,ซื้อสินค้า!M:M),)</f>
        <v>0</v>
      </c>
      <c r="E628" s="23">
        <f t="shared" si="2"/>
        <v>0</v>
      </c>
    </row>
    <row r="629" spans="1:5" ht="12.75">
      <c r="A629" s="6"/>
      <c r="B629" s="9">
        <f>IFERROR(VLOOKUP(A629,ชื่อสินค้า!A:D,4,FALSE),)</f>
        <v>0</v>
      </c>
      <c r="C629" s="9">
        <f>IF(A629&lt;&gt;"",SUMIF(ซื้อสินค้า!B:B,A629,ซื้อสินค้า!E:E)-SUMIF(ขายสินค้า!B:B,A629,ขายสินค้า!E:E),)</f>
        <v>0</v>
      </c>
      <c r="D629" s="23">
        <f>IF(A629&lt;&gt;"",SUMIF(ซื้อสินค้า!B:B,A629,ซื้อสินค้า!M:M),)</f>
        <v>0</v>
      </c>
      <c r="E629" s="23">
        <f t="shared" si="2"/>
        <v>0</v>
      </c>
    </row>
    <row r="630" spans="1:5" ht="12.75">
      <c r="A630" s="6"/>
      <c r="B630" s="9">
        <f>IFERROR(VLOOKUP(A630,ชื่อสินค้า!A:D,4,FALSE),)</f>
        <v>0</v>
      </c>
      <c r="C630" s="9">
        <f>IF(A630&lt;&gt;"",SUMIF(ซื้อสินค้า!B:B,A630,ซื้อสินค้า!E:E)-SUMIF(ขายสินค้า!B:B,A630,ขายสินค้า!E:E),)</f>
        <v>0</v>
      </c>
      <c r="D630" s="23">
        <f>IF(A630&lt;&gt;"",SUMIF(ซื้อสินค้า!B:B,A630,ซื้อสินค้า!M:M),)</f>
        <v>0</v>
      </c>
      <c r="E630" s="23">
        <f t="shared" si="2"/>
        <v>0</v>
      </c>
    </row>
    <row r="631" spans="1:5" ht="12.75">
      <c r="A631" s="6"/>
      <c r="B631" s="9">
        <f>IFERROR(VLOOKUP(A631,ชื่อสินค้า!A:D,4,FALSE),)</f>
        <v>0</v>
      </c>
      <c r="C631" s="9">
        <f>IF(A631&lt;&gt;"",SUMIF(ซื้อสินค้า!B:B,A631,ซื้อสินค้า!E:E)-SUMIF(ขายสินค้า!B:B,A631,ขายสินค้า!E:E),)</f>
        <v>0</v>
      </c>
      <c r="D631" s="23">
        <f>IF(A631&lt;&gt;"",SUMIF(ซื้อสินค้า!B:B,A631,ซื้อสินค้า!M:M),)</f>
        <v>0</v>
      </c>
      <c r="E631" s="23">
        <f t="shared" si="2"/>
        <v>0</v>
      </c>
    </row>
    <row r="632" spans="1:5" ht="12.75">
      <c r="A632" s="6"/>
      <c r="B632" s="9">
        <f>IFERROR(VLOOKUP(A632,ชื่อสินค้า!A:D,4,FALSE),)</f>
        <v>0</v>
      </c>
      <c r="C632" s="9">
        <f>IF(A632&lt;&gt;"",SUMIF(ซื้อสินค้า!B:B,A632,ซื้อสินค้า!E:E)-SUMIF(ขายสินค้า!B:B,A632,ขายสินค้า!E:E),)</f>
        <v>0</v>
      </c>
      <c r="D632" s="23">
        <f>IF(A632&lt;&gt;"",SUMIF(ซื้อสินค้า!B:B,A632,ซื้อสินค้า!M:M),)</f>
        <v>0</v>
      </c>
      <c r="E632" s="23">
        <f t="shared" si="2"/>
        <v>0</v>
      </c>
    </row>
    <row r="633" spans="1:5" ht="12.75">
      <c r="A633" s="6"/>
      <c r="B633" s="9">
        <f>IFERROR(VLOOKUP(A633,ชื่อสินค้า!A:D,4,FALSE),)</f>
        <v>0</v>
      </c>
      <c r="C633" s="9">
        <f>IF(A633&lt;&gt;"",SUMIF(ซื้อสินค้า!B:B,A633,ซื้อสินค้า!E:E)-SUMIF(ขายสินค้า!B:B,A633,ขายสินค้า!E:E),)</f>
        <v>0</v>
      </c>
      <c r="D633" s="23">
        <f>IF(A633&lt;&gt;"",SUMIF(ซื้อสินค้า!B:B,A633,ซื้อสินค้า!M:M),)</f>
        <v>0</v>
      </c>
      <c r="E633" s="23">
        <f t="shared" si="2"/>
        <v>0</v>
      </c>
    </row>
    <row r="634" spans="1:5" ht="12.75">
      <c r="A634" s="6"/>
      <c r="B634" s="9">
        <f>IFERROR(VLOOKUP(A634,ชื่อสินค้า!A:D,4,FALSE),)</f>
        <v>0</v>
      </c>
      <c r="C634" s="9">
        <f>IF(A634&lt;&gt;"",SUMIF(ซื้อสินค้า!B:B,A634,ซื้อสินค้า!E:E)-SUMIF(ขายสินค้า!B:B,A634,ขายสินค้า!E:E),)</f>
        <v>0</v>
      </c>
      <c r="D634" s="23">
        <f>IF(A634&lt;&gt;"",SUMIF(ซื้อสินค้า!B:B,A634,ซื้อสินค้า!M:M),)</f>
        <v>0</v>
      </c>
      <c r="E634" s="23">
        <f t="shared" si="2"/>
        <v>0</v>
      </c>
    </row>
    <row r="635" spans="1:5" ht="12.75">
      <c r="A635" s="6"/>
      <c r="B635" s="9">
        <f>IFERROR(VLOOKUP(A635,ชื่อสินค้า!A:D,4,FALSE),)</f>
        <v>0</v>
      </c>
      <c r="C635" s="9">
        <f>IF(A635&lt;&gt;"",SUMIF(ซื้อสินค้า!B:B,A635,ซื้อสินค้า!E:E)-SUMIF(ขายสินค้า!B:B,A635,ขายสินค้า!E:E),)</f>
        <v>0</v>
      </c>
      <c r="D635" s="23">
        <f>IF(A635&lt;&gt;"",SUMIF(ซื้อสินค้า!B:B,A635,ซื้อสินค้า!M:M),)</f>
        <v>0</v>
      </c>
      <c r="E635" s="23">
        <f t="shared" si="2"/>
        <v>0</v>
      </c>
    </row>
    <row r="636" spans="1:5" ht="12.75">
      <c r="A636" s="6"/>
      <c r="B636" s="9">
        <f>IFERROR(VLOOKUP(A636,ชื่อสินค้า!A:D,4,FALSE),)</f>
        <v>0</v>
      </c>
      <c r="C636" s="9">
        <f>IF(A636&lt;&gt;"",SUMIF(ซื้อสินค้า!B:B,A636,ซื้อสินค้า!E:E)-SUMIF(ขายสินค้า!B:B,A636,ขายสินค้า!E:E),)</f>
        <v>0</v>
      </c>
      <c r="D636" s="23">
        <f>IF(A636&lt;&gt;"",SUMIF(ซื้อสินค้า!B:B,A636,ซื้อสินค้า!M:M),)</f>
        <v>0</v>
      </c>
      <c r="E636" s="23">
        <f t="shared" si="2"/>
        <v>0</v>
      </c>
    </row>
    <row r="637" spans="1:5" ht="12.75">
      <c r="A637" s="6"/>
      <c r="B637" s="9">
        <f>IFERROR(VLOOKUP(A637,ชื่อสินค้า!A:D,4,FALSE),)</f>
        <v>0</v>
      </c>
      <c r="C637" s="9">
        <f>IF(A637&lt;&gt;"",SUMIF(ซื้อสินค้า!B:B,A637,ซื้อสินค้า!E:E)-SUMIF(ขายสินค้า!B:B,A637,ขายสินค้า!E:E),)</f>
        <v>0</v>
      </c>
      <c r="D637" s="23">
        <f>IF(A637&lt;&gt;"",SUMIF(ซื้อสินค้า!B:B,A637,ซื้อสินค้า!M:M),)</f>
        <v>0</v>
      </c>
      <c r="E637" s="23">
        <f t="shared" si="2"/>
        <v>0</v>
      </c>
    </row>
    <row r="638" spans="1:5" ht="12.75">
      <c r="A638" s="6"/>
      <c r="B638" s="9">
        <f>IFERROR(VLOOKUP(A638,ชื่อสินค้า!A:D,4,FALSE),)</f>
        <v>0</v>
      </c>
      <c r="C638" s="9">
        <f>IF(A638&lt;&gt;"",SUMIF(ซื้อสินค้า!B:B,A638,ซื้อสินค้า!E:E)-SUMIF(ขายสินค้า!B:B,A638,ขายสินค้า!E:E),)</f>
        <v>0</v>
      </c>
      <c r="D638" s="23">
        <f>IF(A638&lt;&gt;"",SUMIF(ซื้อสินค้า!B:B,A638,ซื้อสินค้า!M:M),)</f>
        <v>0</v>
      </c>
      <c r="E638" s="23">
        <f t="shared" si="2"/>
        <v>0</v>
      </c>
    </row>
    <row r="639" spans="1:5" ht="12.75">
      <c r="A639" s="6"/>
      <c r="B639" s="9">
        <f>IFERROR(VLOOKUP(A639,ชื่อสินค้า!A:D,4,FALSE),)</f>
        <v>0</v>
      </c>
      <c r="C639" s="9">
        <f>IF(A639&lt;&gt;"",SUMIF(ซื้อสินค้า!B:B,A639,ซื้อสินค้า!E:E)-SUMIF(ขายสินค้า!B:B,A639,ขายสินค้า!E:E),)</f>
        <v>0</v>
      </c>
      <c r="D639" s="23">
        <f>IF(A639&lt;&gt;"",SUMIF(ซื้อสินค้า!B:B,A639,ซื้อสินค้า!M:M),)</f>
        <v>0</v>
      </c>
      <c r="E639" s="23">
        <f t="shared" si="2"/>
        <v>0</v>
      </c>
    </row>
    <row r="640" spans="1:5" ht="12.75">
      <c r="A640" s="6"/>
      <c r="B640" s="9">
        <f>IFERROR(VLOOKUP(A640,ชื่อสินค้า!A:D,4,FALSE),)</f>
        <v>0</v>
      </c>
      <c r="C640" s="9">
        <f>IF(A640&lt;&gt;"",SUMIF(ซื้อสินค้า!B:B,A640,ซื้อสินค้า!E:E)-SUMIF(ขายสินค้า!B:B,A640,ขายสินค้า!E:E),)</f>
        <v>0</v>
      </c>
      <c r="D640" s="23">
        <f>IF(A640&lt;&gt;"",SUMIF(ซื้อสินค้า!B:B,A640,ซื้อสินค้า!M:M),)</f>
        <v>0</v>
      </c>
      <c r="E640" s="23">
        <f t="shared" si="2"/>
        <v>0</v>
      </c>
    </row>
    <row r="641" spans="1:5" ht="12.75">
      <c r="A641" s="6"/>
      <c r="B641" s="9">
        <f>IFERROR(VLOOKUP(A641,ชื่อสินค้า!A:D,4,FALSE),)</f>
        <v>0</v>
      </c>
      <c r="C641" s="9">
        <f>IF(A641&lt;&gt;"",SUMIF(ซื้อสินค้า!B:B,A641,ซื้อสินค้า!E:E)-SUMIF(ขายสินค้า!B:B,A641,ขายสินค้า!E:E),)</f>
        <v>0</v>
      </c>
      <c r="D641" s="23">
        <f>IF(A641&lt;&gt;"",SUMIF(ซื้อสินค้า!B:B,A641,ซื้อสินค้า!M:M),)</f>
        <v>0</v>
      </c>
      <c r="E641" s="23">
        <f t="shared" si="2"/>
        <v>0</v>
      </c>
    </row>
    <row r="642" spans="1:5" ht="12.75">
      <c r="A642" s="6"/>
      <c r="B642" s="9">
        <f>IFERROR(VLOOKUP(A642,ชื่อสินค้า!A:D,4,FALSE),)</f>
        <v>0</v>
      </c>
      <c r="C642" s="9">
        <f>IF(A642&lt;&gt;"",SUMIF(ซื้อสินค้า!B:B,A642,ซื้อสินค้า!E:E)-SUMIF(ขายสินค้า!B:B,A642,ขายสินค้า!E:E),)</f>
        <v>0</v>
      </c>
      <c r="D642" s="23">
        <f>IF(A642&lt;&gt;"",SUMIF(ซื้อสินค้า!B:B,A642,ซื้อสินค้า!M:M),)</f>
        <v>0</v>
      </c>
      <c r="E642" s="23">
        <f t="shared" si="2"/>
        <v>0</v>
      </c>
    </row>
    <row r="643" spans="1:5" ht="12.75">
      <c r="A643" s="6"/>
      <c r="B643" s="9">
        <f>IFERROR(VLOOKUP(A643,ชื่อสินค้า!A:D,4,FALSE),)</f>
        <v>0</v>
      </c>
      <c r="C643" s="9">
        <f>IF(A643&lt;&gt;"",SUMIF(ซื้อสินค้า!B:B,A643,ซื้อสินค้า!E:E)-SUMIF(ขายสินค้า!B:B,A643,ขายสินค้า!E:E),)</f>
        <v>0</v>
      </c>
      <c r="D643" s="23">
        <f>IF(A643&lt;&gt;"",SUMIF(ซื้อสินค้า!B:B,A643,ซื้อสินค้า!M:M),)</f>
        <v>0</v>
      </c>
      <c r="E643" s="23">
        <f t="shared" si="2"/>
        <v>0</v>
      </c>
    </row>
    <row r="644" spans="1:5" ht="12.75">
      <c r="A644" s="6"/>
      <c r="B644" s="9">
        <f>IFERROR(VLOOKUP(A644,ชื่อสินค้า!A:D,4,FALSE),)</f>
        <v>0</v>
      </c>
      <c r="C644" s="9">
        <f>IF(A644&lt;&gt;"",SUMIF(ซื้อสินค้า!B:B,A644,ซื้อสินค้า!E:E)-SUMIF(ขายสินค้า!B:B,A644,ขายสินค้า!E:E),)</f>
        <v>0</v>
      </c>
      <c r="D644" s="23">
        <f>IF(A644&lt;&gt;"",SUMIF(ซื้อสินค้า!B:B,A644,ซื้อสินค้า!M:M),)</f>
        <v>0</v>
      </c>
      <c r="E644" s="23">
        <f t="shared" si="2"/>
        <v>0</v>
      </c>
    </row>
    <row r="645" spans="1:5" ht="12.75">
      <c r="A645" s="6"/>
      <c r="B645" s="9">
        <f>IFERROR(VLOOKUP(A645,ชื่อสินค้า!A:D,4,FALSE),)</f>
        <v>0</v>
      </c>
      <c r="C645" s="9">
        <f>IF(A645&lt;&gt;"",SUMIF(ซื้อสินค้า!B:B,A645,ซื้อสินค้า!E:E)-SUMIF(ขายสินค้า!B:B,A645,ขายสินค้า!E:E),)</f>
        <v>0</v>
      </c>
      <c r="D645" s="23">
        <f>IF(A645&lt;&gt;"",SUMIF(ซื้อสินค้า!B:B,A645,ซื้อสินค้า!M:M),)</f>
        <v>0</v>
      </c>
      <c r="E645" s="23">
        <f t="shared" si="2"/>
        <v>0</v>
      </c>
    </row>
    <row r="646" spans="1:5" ht="12.75">
      <c r="A646" s="6"/>
      <c r="B646" s="9">
        <f>IFERROR(VLOOKUP(A646,ชื่อสินค้า!A:D,4,FALSE),)</f>
        <v>0</v>
      </c>
      <c r="C646" s="9">
        <f>IF(A646&lt;&gt;"",SUMIF(ซื้อสินค้า!B:B,A646,ซื้อสินค้า!E:E)-SUMIF(ขายสินค้า!B:B,A646,ขายสินค้า!E:E),)</f>
        <v>0</v>
      </c>
      <c r="D646" s="23">
        <f>IF(A646&lt;&gt;"",SUMIF(ซื้อสินค้า!B:B,A646,ซื้อสินค้า!M:M),)</f>
        <v>0</v>
      </c>
      <c r="E646" s="23">
        <f t="shared" si="2"/>
        <v>0</v>
      </c>
    </row>
    <row r="647" spans="1:5" ht="12.75">
      <c r="A647" s="6"/>
      <c r="B647" s="9">
        <f>IFERROR(VLOOKUP(A647,ชื่อสินค้า!A:D,4,FALSE),)</f>
        <v>0</v>
      </c>
      <c r="C647" s="9">
        <f>IF(A647&lt;&gt;"",SUMIF(ซื้อสินค้า!B:B,A647,ซื้อสินค้า!E:E)-SUMIF(ขายสินค้า!B:B,A647,ขายสินค้า!E:E),)</f>
        <v>0</v>
      </c>
      <c r="D647" s="23">
        <f>IF(A647&lt;&gt;"",SUMIF(ซื้อสินค้า!B:B,A647,ซื้อสินค้า!M:M),)</f>
        <v>0</v>
      </c>
      <c r="E647" s="23">
        <f t="shared" si="2"/>
        <v>0</v>
      </c>
    </row>
    <row r="648" spans="1:5" ht="12.75">
      <c r="A648" s="6"/>
      <c r="B648" s="9">
        <f>IFERROR(VLOOKUP(A648,ชื่อสินค้า!A:D,4,FALSE),)</f>
        <v>0</v>
      </c>
      <c r="C648" s="9">
        <f>IF(A648&lt;&gt;"",SUMIF(ซื้อสินค้า!B:B,A648,ซื้อสินค้า!E:E)-SUMIF(ขายสินค้า!B:B,A648,ขายสินค้า!E:E),)</f>
        <v>0</v>
      </c>
      <c r="D648" s="23">
        <f>IF(A648&lt;&gt;"",SUMIF(ซื้อสินค้า!B:B,A648,ซื้อสินค้า!M:M),)</f>
        <v>0</v>
      </c>
      <c r="E648" s="23">
        <f t="shared" si="2"/>
        <v>0</v>
      </c>
    </row>
    <row r="649" spans="1:5" ht="12.75">
      <c r="A649" s="6"/>
      <c r="B649" s="9">
        <f>IFERROR(VLOOKUP(A649,ชื่อสินค้า!A:D,4,FALSE),)</f>
        <v>0</v>
      </c>
      <c r="C649" s="9">
        <f>IF(A649&lt;&gt;"",SUMIF(ซื้อสินค้า!B:B,A649,ซื้อสินค้า!E:E)-SUMIF(ขายสินค้า!B:B,A649,ขายสินค้า!E:E),)</f>
        <v>0</v>
      </c>
      <c r="D649" s="23">
        <f>IF(A649&lt;&gt;"",SUMIF(ซื้อสินค้า!B:B,A649,ซื้อสินค้า!M:M),)</f>
        <v>0</v>
      </c>
      <c r="E649" s="23">
        <f t="shared" si="2"/>
        <v>0</v>
      </c>
    </row>
    <row r="650" spans="1:5" ht="12.75">
      <c r="A650" s="6"/>
      <c r="B650" s="9">
        <f>IFERROR(VLOOKUP(A650,ชื่อสินค้า!A:D,4,FALSE),)</f>
        <v>0</v>
      </c>
      <c r="C650" s="9">
        <f>IF(A650&lt;&gt;"",SUMIF(ซื้อสินค้า!B:B,A650,ซื้อสินค้า!E:E)-SUMIF(ขายสินค้า!B:B,A650,ขายสินค้า!E:E),)</f>
        <v>0</v>
      </c>
      <c r="D650" s="23">
        <f>IF(A650&lt;&gt;"",SUMIF(ซื้อสินค้า!B:B,A650,ซื้อสินค้า!M:M),)</f>
        <v>0</v>
      </c>
      <c r="E650" s="23">
        <f t="shared" si="2"/>
        <v>0</v>
      </c>
    </row>
    <row r="651" spans="1:5" ht="12.75">
      <c r="A651" s="6"/>
      <c r="B651" s="9">
        <f>IFERROR(VLOOKUP(A651,ชื่อสินค้า!A:D,4,FALSE),)</f>
        <v>0</v>
      </c>
      <c r="C651" s="9">
        <f>IF(A651&lt;&gt;"",SUMIF(ซื้อสินค้า!B:B,A651,ซื้อสินค้า!E:E)-SUMIF(ขายสินค้า!B:B,A651,ขายสินค้า!E:E),)</f>
        <v>0</v>
      </c>
      <c r="D651" s="23">
        <f>IF(A651&lt;&gt;"",SUMIF(ซื้อสินค้า!B:B,A651,ซื้อสินค้า!M:M),)</f>
        <v>0</v>
      </c>
      <c r="E651" s="23">
        <f t="shared" si="2"/>
        <v>0</v>
      </c>
    </row>
    <row r="652" spans="1:5" ht="12.75">
      <c r="A652" s="6"/>
      <c r="B652" s="9">
        <f>IFERROR(VLOOKUP(A652,ชื่อสินค้า!A:D,4,FALSE),)</f>
        <v>0</v>
      </c>
      <c r="C652" s="9">
        <f>IF(A652&lt;&gt;"",SUMIF(ซื้อสินค้า!B:B,A652,ซื้อสินค้า!E:E)-SUMIF(ขายสินค้า!B:B,A652,ขายสินค้า!E:E),)</f>
        <v>0</v>
      </c>
      <c r="D652" s="23">
        <f>IF(A652&lt;&gt;"",SUMIF(ซื้อสินค้า!B:B,A652,ซื้อสินค้า!M:M),)</f>
        <v>0</v>
      </c>
      <c r="E652" s="23">
        <f t="shared" si="2"/>
        <v>0</v>
      </c>
    </row>
    <row r="653" spans="1:5" ht="12.75">
      <c r="A653" s="6"/>
      <c r="B653" s="9">
        <f>IFERROR(VLOOKUP(A653,ชื่อสินค้า!A:D,4,FALSE),)</f>
        <v>0</v>
      </c>
      <c r="C653" s="9">
        <f>IF(A653&lt;&gt;"",SUMIF(ซื้อสินค้า!B:B,A653,ซื้อสินค้า!E:E)-SUMIF(ขายสินค้า!B:B,A653,ขายสินค้า!E:E),)</f>
        <v>0</v>
      </c>
      <c r="D653" s="23">
        <f>IF(A653&lt;&gt;"",SUMIF(ซื้อสินค้า!B:B,A653,ซื้อสินค้า!M:M),)</f>
        <v>0</v>
      </c>
      <c r="E653" s="23">
        <f t="shared" si="2"/>
        <v>0</v>
      </c>
    </row>
    <row r="654" spans="1:5" ht="12.75">
      <c r="A654" s="6"/>
      <c r="B654" s="9">
        <f>IFERROR(VLOOKUP(A654,ชื่อสินค้า!A:D,4,FALSE),)</f>
        <v>0</v>
      </c>
      <c r="C654" s="9">
        <f>IF(A654&lt;&gt;"",SUMIF(ซื้อสินค้า!B:B,A654,ซื้อสินค้า!E:E)-SUMIF(ขายสินค้า!B:B,A654,ขายสินค้า!E:E),)</f>
        <v>0</v>
      </c>
      <c r="D654" s="23">
        <f>IF(A654&lt;&gt;"",SUMIF(ซื้อสินค้า!B:B,A654,ซื้อสินค้า!M:M),)</f>
        <v>0</v>
      </c>
      <c r="E654" s="23">
        <f t="shared" si="2"/>
        <v>0</v>
      </c>
    </row>
    <row r="655" spans="1:5" ht="12.75">
      <c r="A655" s="6"/>
      <c r="B655" s="9">
        <f>IFERROR(VLOOKUP(A655,ชื่อสินค้า!A:D,4,FALSE),)</f>
        <v>0</v>
      </c>
      <c r="C655" s="9">
        <f>IF(A655&lt;&gt;"",SUMIF(ซื้อสินค้า!B:B,A655,ซื้อสินค้า!E:E)-SUMIF(ขายสินค้า!B:B,A655,ขายสินค้า!E:E),)</f>
        <v>0</v>
      </c>
      <c r="D655" s="23">
        <f>IF(A655&lt;&gt;"",SUMIF(ซื้อสินค้า!B:B,A655,ซื้อสินค้า!M:M),)</f>
        <v>0</v>
      </c>
      <c r="E655" s="23">
        <f t="shared" si="2"/>
        <v>0</v>
      </c>
    </row>
    <row r="656" spans="1:5" ht="12.75">
      <c r="A656" s="6"/>
      <c r="B656" s="9">
        <f>IFERROR(VLOOKUP(A656,ชื่อสินค้า!A:D,4,FALSE),)</f>
        <v>0</v>
      </c>
      <c r="C656" s="9">
        <f>IF(A656&lt;&gt;"",SUMIF(ซื้อสินค้า!B:B,A656,ซื้อสินค้า!E:E)-SUMIF(ขายสินค้า!B:B,A656,ขายสินค้า!E:E),)</f>
        <v>0</v>
      </c>
      <c r="D656" s="23">
        <f>IF(A656&lt;&gt;"",SUMIF(ซื้อสินค้า!B:B,A656,ซื้อสินค้า!M:M),)</f>
        <v>0</v>
      </c>
      <c r="E656" s="23">
        <f t="shared" si="2"/>
        <v>0</v>
      </c>
    </row>
    <row r="657" spans="1:5" ht="12.75">
      <c r="A657" s="6"/>
      <c r="B657" s="9">
        <f>IFERROR(VLOOKUP(A657,ชื่อสินค้า!A:D,4,FALSE),)</f>
        <v>0</v>
      </c>
      <c r="C657" s="9">
        <f>IF(A657&lt;&gt;"",SUMIF(ซื้อสินค้า!B:B,A657,ซื้อสินค้า!E:E)-SUMIF(ขายสินค้า!B:B,A657,ขายสินค้า!E:E),)</f>
        <v>0</v>
      </c>
      <c r="D657" s="23">
        <f>IF(A657&lt;&gt;"",SUMIF(ซื้อสินค้า!B:B,A657,ซื้อสินค้า!M:M),)</f>
        <v>0</v>
      </c>
      <c r="E657" s="23">
        <f t="shared" si="2"/>
        <v>0</v>
      </c>
    </row>
    <row r="658" spans="1:5" ht="12.75">
      <c r="A658" s="6"/>
      <c r="B658" s="9">
        <f>IFERROR(VLOOKUP(A658,ชื่อสินค้า!A:D,4,FALSE),)</f>
        <v>0</v>
      </c>
      <c r="C658" s="9">
        <f>IF(A658&lt;&gt;"",SUMIF(ซื้อสินค้า!B:B,A658,ซื้อสินค้า!E:E)-SUMIF(ขายสินค้า!B:B,A658,ขายสินค้า!E:E),)</f>
        <v>0</v>
      </c>
      <c r="D658" s="23">
        <f>IF(A658&lt;&gt;"",SUMIF(ซื้อสินค้า!B:B,A658,ซื้อสินค้า!M:M),)</f>
        <v>0</v>
      </c>
      <c r="E658" s="23">
        <f t="shared" si="2"/>
        <v>0</v>
      </c>
    </row>
    <row r="659" spans="1:5" ht="12.75">
      <c r="A659" s="6"/>
      <c r="B659" s="9">
        <f>IFERROR(VLOOKUP(A659,ชื่อสินค้า!A:D,4,FALSE),)</f>
        <v>0</v>
      </c>
      <c r="C659" s="9">
        <f>IF(A659&lt;&gt;"",SUMIF(ซื้อสินค้า!B:B,A659,ซื้อสินค้า!E:E)-SUMIF(ขายสินค้า!B:B,A659,ขายสินค้า!E:E),)</f>
        <v>0</v>
      </c>
      <c r="D659" s="23">
        <f>IF(A659&lt;&gt;"",SUMIF(ซื้อสินค้า!B:B,A659,ซื้อสินค้า!M:M),)</f>
        <v>0</v>
      </c>
      <c r="E659" s="23">
        <f t="shared" si="2"/>
        <v>0</v>
      </c>
    </row>
    <row r="660" spans="1:5" ht="12.75">
      <c r="A660" s="6"/>
      <c r="B660" s="9">
        <f>IFERROR(VLOOKUP(A660,ชื่อสินค้า!A:D,4,FALSE),)</f>
        <v>0</v>
      </c>
      <c r="C660" s="9">
        <f>IF(A660&lt;&gt;"",SUMIF(ซื้อสินค้า!B:B,A660,ซื้อสินค้า!E:E)-SUMIF(ขายสินค้า!B:B,A660,ขายสินค้า!E:E),)</f>
        <v>0</v>
      </c>
      <c r="D660" s="23">
        <f>IF(A660&lt;&gt;"",SUMIF(ซื้อสินค้า!B:B,A660,ซื้อสินค้า!M:M),)</f>
        <v>0</v>
      </c>
      <c r="E660" s="23">
        <f t="shared" si="2"/>
        <v>0</v>
      </c>
    </row>
    <row r="661" spans="1:5" ht="12.75">
      <c r="A661" s="6"/>
      <c r="B661" s="9">
        <f>IFERROR(VLOOKUP(A661,ชื่อสินค้า!A:D,4,FALSE),)</f>
        <v>0</v>
      </c>
      <c r="C661" s="9">
        <f>IF(A661&lt;&gt;"",SUMIF(ซื้อสินค้า!B:B,A661,ซื้อสินค้า!E:E)-SUMIF(ขายสินค้า!B:B,A661,ขายสินค้า!E:E),)</f>
        <v>0</v>
      </c>
      <c r="D661" s="23">
        <f>IF(A661&lt;&gt;"",SUMIF(ซื้อสินค้า!B:B,A661,ซื้อสินค้า!M:M),)</f>
        <v>0</v>
      </c>
      <c r="E661" s="23">
        <f t="shared" si="2"/>
        <v>0</v>
      </c>
    </row>
    <row r="662" spans="1:5" ht="12.75">
      <c r="A662" s="6"/>
      <c r="B662" s="9">
        <f>IFERROR(VLOOKUP(A662,ชื่อสินค้า!A:D,4,FALSE),)</f>
        <v>0</v>
      </c>
      <c r="C662" s="9">
        <f>IF(A662&lt;&gt;"",SUMIF(ซื้อสินค้า!B:B,A662,ซื้อสินค้า!E:E)-SUMIF(ขายสินค้า!B:B,A662,ขายสินค้า!E:E),)</f>
        <v>0</v>
      </c>
      <c r="D662" s="23">
        <f>IF(A662&lt;&gt;"",SUMIF(ซื้อสินค้า!B:B,A662,ซื้อสินค้า!M:M),)</f>
        <v>0</v>
      </c>
      <c r="E662" s="23">
        <f t="shared" si="2"/>
        <v>0</v>
      </c>
    </row>
    <row r="663" spans="1:5" ht="12.75">
      <c r="A663" s="6"/>
      <c r="B663" s="9">
        <f>IFERROR(VLOOKUP(A663,ชื่อสินค้า!A:D,4,FALSE),)</f>
        <v>0</v>
      </c>
      <c r="C663" s="9">
        <f>IF(A663&lt;&gt;"",SUMIF(ซื้อสินค้า!B:B,A663,ซื้อสินค้า!E:E)-SUMIF(ขายสินค้า!B:B,A663,ขายสินค้า!E:E),)</f>
        <v>0</v>
      </c>
      <c r="D663" s="23">
        <f>IF(A663&lt;&gt;"",SUMIF(ซื้อสินค้า!B:B,A663,ซื้อสินค้า!M:M),)</f>
        <v>0</v>
      </c>
      <c r="E663" s="23">
        <f t="shared" si="2"/>
        <v>0</v>
      </c>
    </row>
    <row r="664" spans="1:5" ht="12.75">
      <c r="A664" s="6"/>
      <c r="B664" s="9">
        <f>IFERROR(VLOOKUP(A664,ชื่อสินค้า!A:D,4,FALSE),)</f>
        <v>0</v>
      </c>
      <c r="C664" s="9">
        <f>IF(A664&lt;&gt;"",SUMIF(ซื้อสินค้า!B:B,A664,ซื้อสินค้า!E:E)-SUMIF(ขายสินค้า!B:B,A664,ขายสินค้า!E:E),)</f>
        <v>0</v>
      </c>
      <c r="D664" s="23">
        <f>IF(A664&lt;&gt;"",SUMIF(ซื้อสินค้า!B:B,A664,ซื้อสินค้า!M:M),)</f>
        <v>0</v>
      </c>
      <c r="E664" s="23">
        <f t="shared" si="2"/>
        <v>0</v>
      </c>
    </row>
    <row r="665" spans="1:5" ht="12.75">
      <c r="A665" s="6"/>
      <c r="B665" s="9">
        <f>IFERROR(VLOOKUP(A665,ชื่อสินค้า!A:D,4,FALSE),)</f>
        <v>0</v>
      </c>
      <c r="C665" s="9">
        <f>IF(A665&lt;&gt;"",SUMIF(ซื้อสินค้า!B:B,A665,ซื้อสินค้า!E:E)-SUMIF(ขายสินค้า!B:B,A665,ขายสินค้า!E:E),)</f>
        <v>0</v>
      </c>
      <c r="D665" s="23">
        <f>IF(A665&lt;&gt;"",SUMIF(ซื้อสินค้า!B:B,A665,ซื้อสินค้า!M:M),)</f>
        <v>0</v>
      </c>
      <c r="E665" s="23">
        <f t="shared" si="2"/>
        <v>0</v>
      </c>
    </row>
    <row r="666" spans="1:5" ht="12.75">
      <c r="A666" s="6"/>
      <c r="B666" s="9">
        <f>IFERROR(VLOOKUP(A666,ชื่อสินค้า!A:D,4,FALSE),)</f>
        <v>0</v>
      </c>
      <c r="C666" s="9">
        <f>IF(A666&lt;&gt;"",SUMIF(ซื้อสินค้า!B:B,A666,ซื้อสินค้า!E:E)-SUMIF(ขายสินค้า!B:B,A666,ขายสินค้า!E:E),)</f>
        <v>0</v>
      </c>
      <c r="D666" s="23">
        <f>IF(A666&lt;&gt;"",SUMIF(ซื้อสินค้า!B:B,A666,ซื้อสินค้า!M:M),)</f>
        <v>0</v>
      </c>
      <c r="E666" s="23">
        <f t="shared" si="2"/>
        <v>0</v>
      </c>
    </row>
    <row r="667" spans="1:5" ht="12.75">
      <c r="A667" s="6"/>
      <c r="B667" s="9">
        <f>IFERROR(VLOOKUP(A667,ชื่อสินค้า!A:D,4,FALSE),)</f>
        <v>0</v>
      </c>
      <c r="C667" s="9">
        <f>IF(A667&lt;&gt;"",SUMIF(ซื้อสินค้า!B:B,A667,ซื้อสินค้า!E:E)-SUMIF(ขายสินค้า!B:B,A667,ขายสินค้า!E:E),)</f>
        <v>0</v>
      </c>
      <c r="D667" s="23">
        <f>IF(A667&lt;&gt;"",SUMIF(ซื้อสินค้า!B:B,A667,ซื้อสินค้า!M:M),)</f>
        <v>0</v>
      </c>
      <c r="E667" s="23">
        <f t="shared" si="2"/>
        <v>0</v>
      </c>
    </row>
    <row r="668" spans="1:5" ht="12.75">
      <c r="A668" s="6"/>
      <c r="B668" s="9">
        <f>IFERROR(VLOOKUP(A668,ชื่อสินค้า!A:D,4,FALSE),)</f>
        <v>0</v>
      </c>
      <c r="C668" s="9">
        <f>IF(A668&lt;&gt;"",SUMIF(ซื้อสินค้า!B:B,A668,ซื้อสินค้า!E:E)-SUMIF(ขายสินค้า!B:B,A668,ขายสินค้า!E:E),)</f>
        <v>0</v>
      </c>
      <c r="D668" s="23">
        <f>IF(A668&lt;&gt;"",SUMIF(ซื้อสินค้า!B:B,A668,ซื้อสินค้า!M:M),)</f>
        <v>0</v>
      </c>
      <c r="E668" s="23">
        <f t="shared" si="2"/>
        <v>0</v>
      </c>
    </row>
    <row r="669" spans="1:5" ht="12.75">
      <c r="A669" s="6"/>
      <c r="B669" s="9">
        <f>IFERROR(VLOOKUP(A669,ชื่อสินค้า!A:D,4,FALSE),)</f>
        <v>0</v>
      </c>
      <c r="C669" s="9">
        <f>IF(A669&lt;&gt;"",SUMIF(ซื้อสินค้า!B:B,A669,ซื้อสินค้า!E:E)-SUMIF(ขายสินค้า!B:B,A669,ขายสินค้า!E:E),)</f>
        <v>0</v>
      </c>
      <c r="D669" s="23">
        <f>IF(A669&lt;&gt;"",SUMIF(ซื้อสินค้า!B:B,A669,ซื้อสินค้า!M:M),)</f>
        <v>0</v>
      </c>
      <c r="E669" s="23">
        <f t="shared" si="2"/>
        <v>0</v>
      </c>
    </row>
    <row r="670" spans="1:5" ht="12.75">
      <c r="A670" s="6"/>
      <c r="B670" s="9">
        <f>IFERROR(VLOOKUP(A670,ชื่อสินค้า!A:D,4,FALSE),)</f>
        <v>0</v>
      </c>
      <c r="C670" s="9">
        <f>IF(A670&lt;&gt;"",SUMIF(ซื้อสินค้า!B:B,A670,ซื้อสินค้า!E:E)-SUMIF(ขายสินค้า!B:B,A670,ขายสินค้า!E:E),)</f>
        <v>0</v>
      </c>
      <c r="D670" s="23">
        <f>IF(A670&lt;&gt;"",SUMIF(ซื้อสินค้า!B:B,A670,ซื้อสินค้า!M:M),)</f>
        <v>0</v>
      </c>
      <c r="E670" s="23">
        <f t="shared" si="2"/>
        <v>0</v>
      </c>
    </row>
    <row r="671" spans="1:5" ht="12.75">
      <c r="A671" s="6"/>
      <c r="B671" s="9">
        <f>IFERROR(VLOOKUP(A671,ชื่อสินค้า!A:D,4,FALSE),)</f>
        <v>0</v>
      </c>
      <c r="C671" s="9">
        <f>IF(A671&lt;&gt;"",SUMIF(ซื้อสินค้า!B:B,A671,ซื้อสินค้า!E:E)-SUMIF(ขายสินค้า!B:B,A671,ขายสินค้า!E:E),)</f>
        <v>0</v>
      </c>
      <c r="D671" s="23">
        <f>IF(A671&lt;&gt;"",SUMIF(ซื้อสินค้า!B:B,A671,ซื้อสินค้า!M:M),)</f>
        <v>0</v>
      </c>
      <c r="E671" s="23">
        <f t="shared" si="2"/>
        <v>0</v>
      </c>
    </row>
    <row r="672" spans="1:5" ht="12.75">
      <c r="A672" s="6"/>
      <c r="B672" s="9">
        <f>IFERROR(VLOOKUP(A672,ชื่อสินค้า!A:D,4,FALSE),)</f>
        <v>0</v>
      </c>
      <c r="C672" s="9">
        <f>IF(A672&lt;&gt;"",SUMIF(ซื้อสินค้า!B:B,A672,ซื้อสินค้า!E:E)-SUMIF(ขายสินค้า!B:B,A672,ขายสินค้า!E:E),)</f>
        <v>0</v>
      </c>
      <c r="D672" s="23">
        <f>IF(A672&lt;&gt;"",SUMIF(ซื้อสินค้า!B:B,A672,ซื้อสินค้า!M:M),)</f>
        <v>0</v>
      </c>
      <c r="E672" s="23">
        <f t="shared" si="2"/>
        <v>0</v>
      </c>
    </row>
    <row r="673" spans="1:5" ht="12.75">
      <c r="A673" s="6"/>
      <c r="B673" s="9">
        <f>IFERROR(VLOOKUP(A673,ชื่อสินค้า!A:D,4,FALSE),)</f>
        <v>0</v>
      </c>
      <c r="C673" s="9">
        <f>IF(A673&lt;&gt;"",SUMIF(ซื้อสินค้า!B:B,A673,ซื้อสินค้า!E:E)-SUMIF(ขายสินค้า!B:B,A673,ขายสินค้า!E:E),)</f>
        <v>0</v>
      </c>
      <c r="D673" s="23">
        <f>IF(A673&lt;&gt;"",SUMIF(ซื้อสินค้า!B:B,A673,ซื้อสินค้า!M:M),)</f>
        <v>0</v>
      </c>
      <c r="E673" s="23">
        <f t="shared" si="2"/>
        <v>0</v>
      </c>
    </row>
    <row r="674" spans="1:5" ht="12.75">
      <c r="A674" s="6"/>
      <c r="B674" s="9">
        <f>IFERROR(VLOOKUP(A674,ชื่อสินค้า!A:D,4,FALSE),)</f>
        <v>0</v>
      </c>
      <c r="C674" s="9">
        <f>IF(A674&lt;&gt;"",SUMIF(ซื้อสินค้า!B:B,A674,ซื้อสินค้า!E:E)-SUMIF(ขายสินค้า!B:B,A674,ขายสินค้า!E:E),)</f>
        <v>0</v>
      </c>
      <c r="D674" s="23">
        <f>IF(A674&lt;&gt;"",SUMIF(ซื้อสินค้า!B:B,A674,ซื้อสินค้า!M:M),)</f>
        <v>0</v>
      </c>
      <c r="E674" s="23">
        <f t="shared" si="2"/>
        <v>0</v>
      </c>
    </row>
    <row r="675" spans="1:5" ht="12.75">
      <c r="A675" s="6"/>
      <c r="B675" s="9">
        <f>IFERROR(VLOOKUP(A675,ชื่อสินค้า!A:D,4,FALSE),)</f>
        <v>0</v>
      </c>
      <c r="C675" s="9">
        <f>IF(A675&lt;&gt;"",SUMIF(ซื้อสินค้า!B:B,A675,ซื้อสินค้า!E:E)-SUMIF(ขายสินค้า!B:B,A675,ขายสินค้า!E:E),)</f>
        <v>0</v>
      </c>
      <c r="D675" s="23">
        <f>IF(A675&lt;&gt;"",SUMIF(ซื้อสินค้า!B:B,A675,ซื้อสินค้า!M:M),)</f>
        <v>0</v>
      </c>
      <c r="E675" s="23">
        <f t="shared" si="2"/>
        <v>0</v>
      </c>
    </row>
    <row r="676" spans="1:5" ht="12.75">
      <c r="A676" s="6"/>
      <c r="B676" s="9">
        <f>IFERROR(VLOOKUP(A676,ชื่อสินค้า!A:D,4,FALSE),)</f>
        <v>0</v>
      </c>
      <c r="C676" s="9">
        <f>IF(A676&lt;&gt;"",SUMIF(ซื้อสินค้า!B:B,A676,ซื้อสินค้า!E:E)-SUMIF(ขายสินค้า!B:B,A676,ขายสินค้า!E:E),)</f>
        <v>0</v>
      </c>
      <c r="D676" s="23">
        <f>IF(A676&lt;&gt;"",SUMIF(ซื้อสินค้า!B:B,A676,ซื้อสินค้า!M:M),)</f>
        <v>0</v>
      </c>
      <c r="E676" s="23">
        <f t="shared" si="2"/>
        <v>0</v>
      </c>
    </row>
    <row r="677" spans="1:5" ht="12.75">
      <c r="A677" s="6"/>
      <c r="B677" s="9">
        <f>IFERROR(VLOOKUP(A677,ชื่อสินค้า!A:D,4,FALSE),)</f>
        <v>0</v>
      </c>
      <c r="C677" s="9">
        <f>IF(A677&lt;&gt;"",SUMIF(ซื้อสินค้า!B:B,A677,ซื้อสินค้า!E:E)-SUMIF(ขายสินค้า!B:B,A677,ขายสินค้า!E:E),)</f>
        <v>0</v>
      </c>
      <c r="D677" s="23">
        <f>IF(A677&lt;&gt;"",SUMIF(ซื้อสินค้า!B:B,A677,ซื้อสินค้า!M:M),)</f>
        <v>0</v>
      </c>
      <c r="E677" s="23">
        <f t="shared" si="2"/>
        <v>0</v>
      </c>
    </row>
    <row r="678" spans="1:5" ht="12.75">
      <c r="A678" s="6"/>
      <c r="B678" s="9">
        <f>IFERROR(VLOOKUP(A678,ชื่อสินค้า!A:D,4,FALSE),)</f>
        <v>0</v>
      </c>
      <c r="C678" s="9">
        <f>IF(A678&lt;&gt;"",SUMIF(ซื้อสินค้า!B:B,A678,ซื้อสินค้า!E:E)-SUMIF(ขายสินค้า!B:B,A678,ขายสินค้า!E:E),)</f>
        <v>0</v>
      </c>
      <c r="D678" s="23">
        <f>IF(A678&lt;&gt;"",SUMIF(ซื้อสินค้า!B:B,A678,ซื้อสินค้า!M:M),)</f>
        <v>0</v>
      </c>
      <c r="E678" s="23">
        <f t="shared" si="2"/>
        <v>0</v>
      </c>
    </row>
    <row r="679" spans="1:5" ht="12.75">
      <c r="A679" s="6"/>
      <c r="B679" s="9">
        <f>IFERROR(VLOOKUP(A679,ชื่อสินค้า!A:D,4,FALSE),)</f>
        <v>0</v>
      </c>
      <c r="C679" s="9">
        <f>IF(A679&lt;&gt;"",SUMIF(ซื้อสินค้า!B:B,A679,ซื้อสินค้า!E:E)-SUMIF(ขายสินค้า!B:B,A679,ขายสินค้า!E:E),)</f>
        <v>0</v>
      </c>
      <c r="D679" s="23">
        <f>IF(A679&lt;&gt;"",SUMIF(ซื้อสินค้า!B:B,A679,ซื้อสินค้า!M:M),)</f>
        <v>0</v>
      </c>
      <c r="E679" s="23">
        <f t="shared" si="2"/>
        <v>0</v>
      </c>
    </row>
    <row r="680" spans="1:5" ht="12.75">
      <c r="A680" s="6"/>
      <c r="B680" s="9">
        <f>IFERROR(VLOOKUP(A680,ชื่อสินค้า!A:D,4,FALSE),)</f>
        <v>0</v>
      </c>
      <c r="C680" s="9">
        <f>IF(A680&lt;&gt;"",SUMIF(ซื้อสินค้า!B:B,A680,ซื้อสินค้า!E:E)-SUMIF(ขายสินค้า!B:B,A680,ขายสินค้า!E:E),)</f>
        <v>0</v>
      </c>
      <c r="D680" s="23">
        <f>IF(A680&lt;&gt;"",SUMIF(ซื้อสินค้า!B:B,A680,ซื้อสินค้า!M:M),)</f>
        <v>0</v>
      </c>
      <c r="E680" s="23">
        <f t="shared" si="2"/>
        <v>0</v>
      </c>
    </row>
    <row r="681" spans="1:5" ht="12.75">
      <c r="A681" s="6"/>
      <c r="B681" s="9">
        <f>IFERROR(VLOOKUP(A681,ชื่อสินค้า!A:D,4,FALSE),)</f>
        <v>0</v>
      </c>
      <c r="C681" s="9">
        <f>IF(A681&lt;&gt;"",SUMIF(ซื้อสินค้า!B:B,A681,ซื้อสินค้า!E:E)-SUMIF(ขายสินค้า!B:B,A681,ขายสินค้า!E:E),)</f>
        <v>0</v>
      </c>
      <c r="D681" s="23">
        <f>IF(A681&lt;&gt;"",SUMIF(ซื้อสินค้า!B:B,A681,ซื้อสินค้า!M:M),)</f>
        <v>0</v>
      </c>
      <c r="E681" s="23">
        <f t="shared" si="2"/>
        <v>0</v>
      </c>
    </row>
    <row r="682" spans="1:5" ht="12.75">
      <c r="A682" s="6"/>
      <c r="B682" s="9">
        <f>IFERROR(VLOOKUP(A682,ชื่อสินค้า!A:D,4,FALSE),)</f>
        <v>0</v>
      </c>
      <c r="C682" s="9">
        <f>IF(A682&lt;&gt;"",SUMIF(ซื้อสินค้า!B:B,A682,ซื้อสินค้า!E:E)-SUMIF(ขายสินค้า!B:B,A682,ขายสินค้า!E:E),)</f>
        <v>0</v>
      </c>
      <c r="D682" s="23">
        <f>IF(A682&lt;&gt;"",SUMIF(ซื้อสินค้า!B:B,A682,ซื้อสินค้า!M:M),)</f>
        <v>0</v>
      </c>
      <c r="E682" s="23">
        <f t="shared" si="2"/>
        <v>0</v>
      </c>
    </row>
    <row r="683" spans="1:5" ht="12.75">
      <c r="A683" s="6"/>
      <c r="B683" s="9">
        <f>IFERROR(VLOOKUP(A683,ชื่อสินค้า!A:D,4,FALSE),)</f>
        <v>0</v>
      </c>
      <c r="C683" s="9">
        <f>IF(A683&lt;&gt;"",SUMIF(ซื้อสินค้า!B:B,A683,ซื้อสินค้า!E:E)-SUMIF(ขายสินค้า!B:B,A683,ขายสินค้า!E:E),)</f>
        <v>0</v>
      </c>
      <c r="D683" s="23">
        <f>IF(A683&lt;&gt;"",SUMIF(ซื้อสินค้า!B:B,A683,ซื้อสินค้า!M:M),)</f>
        <v>0</v>
      </c>
      <c r="E683" s="23">
        <f t="shared" si="2"/>
        <v>0</v>
      </c>
    </row>
    <row r="684" spans="1:5" ht="12.75">
      <c r="A684" s="6"/>
      <c r="B684" s="9">
        <f>IFERROR(VLOOKUP(A684,ชื่อสินค้า!A:D,4,FALSE),)</f>
        <v>0</v>
      </c>
      <c r="C684" s="9">
        <f>IF(A684&lt;&gt;"",SUMIF(ซื้อสินค้า!B:B,A684,ซื้อสินค้า!E:E)-SUMIF(ขายสินค้า!B:B,A684,ขายสินค้า!E:E),)</f>
        <v>0</v>
      </c>
      <c r="D684" s="23">
        <f>IF(A684&lt;&gt;"",SUMIF(ซื้อสินค้า!B:B,A684,ซื้อสินค้า!M:M),)</f>
        <v>0</v>
      </c>
      <c r="E684" s="23">
        <f t="shared" si="2"/>
        <v>0</v>
      </c>
    </row>
    <row r="685" spans="1:5" ht="12.75">
      <c r="A685" s="6"/>
      <c r="B685" s="9">
        <f>IFERROR(VLOOKUP(A685,ชื่อสินค้า!A:D,4,FALSE),)</f>
        <v>0</v>
      </c>
      <c r="C685" s="9">
        <f>IF(A685&lt;&gt;"",SUMIF(ซื้อสินค้า!B:B,A685,ซื้อสินค้า!E:E)-SUMIF(ขายสินค้า!B:B,A685,ขายสินค้า!E:E),)</f>
        <v>0</v>
      </c>
      <c r="D685" s="23">
        <f>IF(A685&lt;&gt;"",SUMIF(ซื้อสินค้า!B:B,A685,ซื้อสินค้า!M:M),)</f>
        <v>0</v>
      </c>
      <c r="E685" s="23">
        <f t="shared" si="2"/>
        <v>0</v>
      </c>
    </row>
    <row r="686" spans="1:5" ht="12.75">
      <c r="A686" s="6"/>
      <c r="B686" s="9">
        <f>IFERROR(VLOOKUP(A686,ชื่อสินค้า!A:D,4,FALSE),)</f>
        <v>0</v>
      </c>
      <c r="C686" s="9">
        <f>IF(A686&lt;&gt;"",SUMIF(ซื้อสินค้า!B:B,A686,ซื้อสินค้า!E:E)-SUMIF(ขายสินค้า!B:B,A686,ขายสินค้า!E:E),)</f>
        <v>0</v>
      </c>
      <c r="D686" s="23">
        <f>IF(A686&lt;&gt;"",SUMIF(ซื้อสินค้า!B:B,A686,ซื้อสินค้า!M:M),)</f>
        <v>0</v>
      </c>
      <c r="E686" s="23">
        <f t="shared" si="2"/>
        <v>0</v>
      </c>
    </row>
    <row r="687" spans="1:5" ht="12.75">
      <c r="A687" s="6"/>
      <c r="B687" s="9">
        <f>IFERROR(VLOOKUP(A687,ชื่อสินค้า!A:D,4,FALSE),)</f>
        <v>0</v>
      </c>
      <c r="C687" s="9">
        <f>IF(A687&lt;&gt;"",SUMIF(ซื้อสินค้า!B:B,A687,ซื้อสินค้า!E:E)-SUMIF(ขายสินค้า!B:B,A687,ขายสินค้า!E:E),)</f>
        <v>0</v>
      </c>
      <c r="D687" s="23">
        <f>IF(A687&lt;&gt;"",SUMIF(ซื้อสินค้า!B:B,A687,ซื้อสินค้า!M:M),)</f>
        <v>0</v>
      </c>
      <c r="E687" s="23">
        <f t="shared" si="2"/>
        <v>0</v>
      </c>
    </row>
    <row r="688" spans="1:5" ht="12.75">
      <c r="A688" s="6"/>
      <c r="B688" s="9">
        <f>IFERROR(VLOOKUP(A688,ชื่อสินค้า!A:D,4,FALSE),)</f>
        <v>0</v>
      </c>
      <c r="C688" s="9">
        <f>IF(A688&lt;&gt;"",SUMIF(ซื้อสินค้า!B:B,A688,ซื้อสินค้า!E:E)-SUMIF(ขายสินค้า!B:B,A688,ขายสินค้า!E:E),)</f>
        <v>0</v>
      </c>
      <c r="D688" s="23">
        <f>IF(A688&lt;&gt;"",SUMIF(ซื้อสินค้า!B:B,A688,ซื้อสินค้า!M:M),)</f>
        <v>0</v>
      </c>
      <c r="E688" s="23">
        <f t="shared" si="2"/>
        <v>0</v>
      </c>
    </row>
    <row r="689" spans="1:5" ht="12.75">
      <c r="A689" s="6"/>
      <c r="B689" s="9">
        <f>IFERROR(VLOOKUP(A689,ชื่อสินค้า!A:D,4,FALSE),)</f>
        <v>0</v>
      </c>
      <c r="C689" s="9">
        <f>IF(A689&lt;&gt;"",SUMIF(ซื้อสินค้า!B:B,A689,ซื้อสินค้า!E:E)-SUMIF(ขายสินค้า!B:B,A689,ขายสินค้า!E:E),)</f>
        <v>0</v>
      </c>
      <c r="D689" s="23">
        <f>IF(A689&lt;&gt;"",SUMIF(ซื้อสินค้า!B:B,A689,ซื้อสินค้า!M:M),)</f>
        <v>0</v>
      </c>
      <c r="E689" s="23">
        <f t="shared" si="2"/>
        <v>0</v>
      </c>
    </row>
    <row r="690" spans="1:5" ht="12.75">
      <c r="A690" s="6"/>
      <c r="B690" s="9">
        <f>IFERROR(VLOOKUP(A690,ชื่อสินค้า!A:D,4,FALSE),)</f>
        <v>0</v>
      </c>
      <c r="C690" s="9">
        <f>IF(A690&lt;&gt;"",SUMIF(ซื้อสินค้า!B:B,A690,ซื้อสินค้า!E:E)-SUMIF(ขายสินค้า!B:B,A690,ขายสินค้า!E:E),)</f>
        <v>0</v>
      </c>
      <c r="D690" s="23">
        <f>IF(A690&lt;&gt;"",SUMIF(ซื้อสินค้า!B:B,A690,ซื้อสินค้า!M:M),)</f>
        <v>0</v>
      </c>
      <c r="E690" s="23">
        <f t="shared" si="2"/>
        <v>0</v>
      </c>
    </row>
    <row r="691" spans="1:5" ht="12.75">
      <c r="A691" s="6"/>
      <c r="B691" s="9">
        <f>IFERROR(VLOOKUP(A691,ชื่อสินค้า!A:D,4,FALSE),)</f>
        <v>0</v>
      </c>
      <c r="C691" s="9">
        <f>IF(A691&lt;&gt;"",SUMIF(ซื้อสินค้า!B:B,A691,ซื้อสินค้า!E:E)-SUMIF(ขายสินค้า!B:B,A691,ขายสินค้า!E:E),)</f>
        <v>0</v>
      </c>
      <c r="D691" s="23">
        <f>IF(A691&lt;&gt;"",SUMIF(ซื้อสินค้า!B:B,A691,ซื้อสินค้า!M:M),)</f>
        <v>0</v>
      </c>
      <c r="E691" s="23">
        <f t="shared" si="2"/>
        <v>0</v>
      </c>
    </row>
    <row r="692" spans="1:5" ht="12.75">
      <c r="A692" s="6"/>
      <c r="B692" s="9">
        <f>IFERROR(VLOOKUP(A692,ชื่อสินค้า!A:D,4,FALSE),)</f>
        <v>0</v>
      </c>
      <c r="C692" s="9">
        <f>IF(A692&lt;&gt;"",SUMIF(ซื้อสินค้า!B:B,A692,ซื้อสินค้า!E:E)-SUMIF(ขายสินค้า!B:B,A692,ขายสินค้า!E:E),)</f>
        <v>0</v>
      </c>
      <c r="D692" s="23">
        <f>IF(A692&lt;&gt;"",SUMIF(ซื้อสินค้า!B:B,A692,ซื้อสินค้า!M:M),)</f>
        <v>0</v>
      </c>
      <c r="E692" s="23">
        <f t="shared" si="2"/>
        <v>0</v>
      </c>
    </row>
    <row r="693" spans="1:5" ht="12.75">
      <c r="A693" s="6"/>
      <c r="B693" s="9">
        <f>IFERROR(VLOOKUP(A693,ชื่อสินค้า!A:D,4,FALSE),)</f>
        <v>0</v>
      </c>
      <c r="C693" s="9">
        <f>IF(A693&lt;&gt;"",SUMIF(ซื้อสินค้า!B:B,A693,ซื้อสินค้า!E:E)-SUMIF(ขายสินค้า!B:B,A693,ขายสินค้า!E:E),)</f>
        <v>0</v>
      </c>
      <c r="D693" s="23">
        <f>IF(A693&lt;&gt;"",SUMIF(ซื้อสินค้า!B:B,A693,ซื้อสินค้า!M:M),)</f>
        <v>0</v>
      </c>
      <c r="E693" s="23">
        <f t="shared" si="2"/>
        <v>0</v>
      </c>
    </row>
    <row r="694" spans="1:5" ht="12.75">
      <c r="A694" s="6"/>
      <c r="B694" s="9">
        <f>IFERROR(VLOOKUP(A694,ชื่อสินค้า!A:D,4,FALSE),)</f>
        <v>0</v>
      </c>
      <c r="C694" s="9">
        <f>IF(A694&lt;&gt;"",SUMIF(ซื้อสินค้า!B:B,A694,ซื้อสินค้า!E:E)-SUMIF(ขายสินค้า!B:B,A694,ขายสินค้า!E:E),)</f>
        <v>0</v>
      </c>
      <c r="D694" s="23">
        <f>IF(A694&lt;&gt;"",SUMIF(ซื้อสินค้า!B:B,A694,ซื้อสินค้า!M:M),)</f>
        <v>0</v>
      </c>
      <c r="E694" s="23">
        <f t="shared" si="2"/>
        <v>0</v>
      </c>
    </row>
    <row r="695" spans="1:5" ht="12.75">
      <c r="A695" s="6"/>
      <c r="B695" s="9">
        <f>IFERROR(VLOOKUP(A695,ชื่อสินค้า!A:D,4,FALSE),)</f>
        <v>0</v>
      </c>
      <c r="C695" s="9">
        <f>IF(A695&lt;&gt;"",SUMIF(ซื้อสินค้า!B:B,A695,ซื้อสินค้า!E:E)-SUMIF(ขายสินค้า!B:B,A695,ขายสินค้า!E:E),)</f>
        <v>0</v>
      </c>
      <c r="D695" s="23">
        <f>IF(A695&lt;&gt;"",SUMIF(ซื้อสินค้า!B:B,A695,ซื้อสินค้า!M:M),)</f>
        <v>0</v>
      </c>
      <c r="E695" s="23">
        <f t="shared" si="2"/>
        <v>0</v>
      </c>
    </row>
    <row r="696" spans="1:5" ht="12.75">
      <c r="A696" s="6"/>
      <c r="B696" s="9">
        <f>IFERROR(VLOOKUP(A696,ชื่อสินค้า!A:D,4,FALSE),)</f>
        <v>0</v>
      </c>
      <c r="C696" s="9">
        <f>IF(A696&lt;&gt;"",SUMIF(ซื้อสินค้า!B:B,A696,ซื้อสินค้า!E:E)-SUMIF(ขายสินค้า!B:B,A696,ขายสินค้า!E:E),)</f>
        <v>0</v>
      </c>
      <c r="D696" s="23">
        <f>IF(A696&lt;&gt;"",SUMIF(ซื้อสินค้า!B:B,A696,ซื้อสินค้า!M:M),)</f>
        <v>0</v>
      </c>
      <c r="E696" s="23">
        <f t="shared" si="2"/>
        <v>0</v>
      </c>
    </row>
    <row r="697" spans="1:5" ht="12.75">
      <c r="A697" s="6"/>
      <c r="B697" s="9">
        <f>IFERROR(VLOOKUP(A697,ชื่อสินค้า!A:D,4,FALSE),)</f>
        <v>0</v>
      </c>
      <c r="C697" s="9">
        <f>IF(A697&lt;&gt;"",SUMIF(ซื้อสินค้า!B:B,A697,ซื้อสินค้า!E:E)-SUMIF(ขายสินค้า!B:B,A697,ขายสินค้า!E:E),)</f>
        <v>0</v>
      </c>
      <c r="D697" s="23">
        <f>IF(A697&lt;&gt;"",SUMIF(ซื้อสินค้า!B:B,A697,ซื้อสินค้า!M:M),)</f>
        <v>0</v>
      </c>
      <c r="E697" s="23">
        <f t="shared" si="2"/>
        <v>0</v>
      </c>
    </row>
    <row r="698" spans="1:5" ht="12.75">
      <c r="A698" s="6"/>
      <c r="B698" s="9">
        <f>IFERROR(VLOOKUP(A698,ชื่อสินค้า!A:D,4,FALSE),)</f>
        <v>0</v>
      </c>
      <c r="C698" s="9">
        <f>IF(A698&lt;&gt;"",SUMIF(ซื้อสินค้า!B:B,A698,ซื้อสินค้า!E:E)-SUMIF(ขายสินค้า!B:B,A698,ขายสินค้า!E:E),)</f>
        <v>0</v>
      </c>
      <c r="D698" s="23">
        <f>IF(A698&lt;&gt;"",SUMIF(ซื้อสินค้า!B:B,A698,ซื้อสินค้า!M:M),)</f>
        <v>0</v>
      </c>
      <c r="E698" s="23">
        <f t="shared" si="2"/>
        <v>0</v>
      </c>
    </row>
    <row r="699" spans="1:5" ht="12.75">
      <c r="A699" s="6"/>
      <c r="B699" s="9">
        <f>IFERROR(VLOOKUP(A699,ชื่อสินค้า!A:D,4,FALSE),)</f>
        <v>0</v>
      </c>
      <c r="C699" s="9">
        <f>IF(A699&lt;&gt;"",SUMIF(ซื้อสินค้า!B:B,A699,ซื้อสินค้า!E:E)-SUMIF(ขายสินค้า!B:B,A699,ขายสินค้า!E:E),)</f>
        <v>0</v>
      </c>
      <c r="D699" s="23">
        <f>IF(A699&lt;&gt;"",SUMIF(ซื้อสินค้า!B:B,A699,ซื้อสินค้า!M:M),)</f>
        <v>0</v>
      </c>
      <c r="E699" s="23">
        <f t="shared" si="2"/>
        <v>0</v>
      </c>
    </row>
    <row r="700" spans="1:5" ht="12.75">
      <c r="A700" s="6"/>
      <c r="B700" s="9">
        <f>IFERROR(VLOOKUP(A700,ชื่อสินค้า!A:D,4,FALSE),)</f>
        <v>0</v>
      </c>
      <c r="C700" s="9">
        <f>IF(A700&lt;&gt;"",SUMIF(ซื้อสินค้า!B:B,A700,ซื้อสินค้า!E:E)-SUMIF(ขายสินค้า!B:B,A700,ขายสินค้า!E:E),)</f>
        <v>0</v>
      </c>
      <c r="D700" s="23">
        <f>IF(A700&lt;&gt;"",SUMIF(ซื้อสินค้า!B:B,A700,ซื้อสินค้า!M:M),)</f>
        <v>0</v>
      </c>
      <c r="E700" s="23">
        <f t="shared" si="2"/>
        <v>0</v>
      </c>
    </row>
    <row r="701" spans="1:5" ht="12.75">
      <c r="A701" s="6"/>
      <c r="B701" s="9">
        <f>IFERROR(VLOOKUP(A701,ชื่อสินค้า!A:D,4,FALSE),)</f>
        <v>0</v>
      </c>
      <c r="C701" s="9">
        <f>IF(A701&lt;&gt;"",SUMIF(ซื้อสินค้า!B:B,A701,ซื้อสินค้า!E:E)-SUMIF(ขายสินค้า!B:B,A701,ขายสินค้า!E:E),)</f>
        <v>0</v>
      </c>
      <c r="D701" s="23">
        <f>IF(A701&lt;&gt;"",SUMIF(ซื้อสินค้า!B:B,A701,ซื้อสินค้า!M:M),)</f>
        <v>0</v>
      </c>
      <c r="E701" s="23">
        <f t="shared" si="2"/>
        <v>0</v>
      </c>
    </row>
    <row r="702" spans="1:5" ht="12.75">
      <c r="A702" s="6"/>
      <c r="B702" s="9">
        <f>IFERROR(VLOOKUP(A702,ชื่อสินค้า!A:D,4,FALSE),)</f>
        <v>0</v>
      </c>
      <c r="C702" s="9">
        <f>IF(A702&lt;&gt;"",SUMIF(ซื้อสินค้า!B:B,A702,ซื้อสินค้า!E:E)-SUMIF(ขายสินค้า!B:B,A702,ขายสินค้า!E:E),)</f>
        <v>0</v>
      </c>
      <c r="D702" s="23">
        <f>IF(A702&lt;&gt;"",SUMIF(ซื้อสินค้า!B:B,A702,ซื้อสินค้า!M:M),)</f>
        <v>0</v>
      </c>
      <c r="E702" s="23">
        <f t="shared" si="2"/>
        <v>0</v>
      </c>
    </row>
    <row r="703" spans="1:5" ht="12.75">
      <c r="A703" s="6"/>
      <c r="B703" s="9">
        <f>IFERROR(VLOOKUP(A703,ชื่อสินค้า!A:D,4,FALSE),)</f>
        <v>0</v>
      </c>
      <c r="C703" s="9">
        <f>IF(A703&lt;&gt;"",SUMIF(ซื้อสินค้า!B:B,A703,ซื้อสินค้า!E:E)-SUMIF(ขายสินค้า!B:B,A703,ขายสินค้า!E:E),)</f>
        <v>0</v>
      </c>
      <c r="D703" s="23">
        <f>IF(A703&lt;&gt;"",SUMIF(ซื้อสินค้า!B:B,A703,ซื้อสินค้า!M:M),)</f>
        <v>0</v>
      </c>
      <c r="E703" s="23">
        <f t="shared" si="2"/>
        <v>0</v>
      </c>
    </row>
    <row r="704" spans="1:5" ht="12.75">
      <c r="A704" s="6"/>
      <c r="B704" s="9">
        <f>IFERROR(VLOOKUP(A704,ชื่อสินค้า!A:D,4,FALSE),)</f>
        <v>0</v>
      </c>
      <c r="C704" s="9">
        <f>IF(A704&lt;&gt;"",SUMIF(ซื้อสินค้า!B:B,A704,ซื้อสินค้า!E:E)-SUMIF(ขายสินค้า!B:B,A704,ขายสินค้า!E:E),)</f>
        <v>0</v>
      </c>
      <c r="D704" s="23">
        <f>IF(A704&lt;&gt;"",SUMIF(ซื้อสินค้า!B:B,A704,ซื้อสินค้า!M:M),)</f>
        <v>0</v>
      </c>
      <c r="E704" s="23">
        <f t="shared" si="2"/>
        <v>0</v>
      </c>
    </row>
    <row r="705" spans="1:5" ht="12.75">
      <c r="A705" s="6"/>
      <c r="B705" s="9">
        <f>IFERROR(VLOOKUP(A705,ชื่อสินค้า!A:D,4,FALSE),)</f>
        <v>0</v>
      </c>
      <c r="C705" s="9">
        <f>IF(A705&lt;&gt;"",SUMIF(ซื้อสินค้า!B:B,A705,ซื้อสินค้า!E:E)-SUMIF(ขายสินค้า!B:B,A705,ขายสินค้า!E:E),)</f>
        <v>0</v>
      </c>
      <c r="D705" s="23">
        <f>IF(A705&lt;&gt;"",SUMIF(ซื้อสินค้า!B:B,A705,ซื้อสินค้า!M:M),)</f>
        <v>0</v>
      </c>
      <c r="E705" s="23">
        <f t="shared" si="2"/>
        <v>0</v>
      </c>
    </row>
    <row r="706" spans="1:5" ht="12.75">
      <c r="A706" s="6"/>
      <c r="B706" s="9">
        <f>IFERROR(VLOOKUP(A706,ชื่อสินค้า!A:D,4,FALSE),)</f>
        <v>0</v>
      </c>
      <c r="C706" s="9">
        <f>IF(A706&lt;&gt;"",SUMIF(ซื้อสินค้า!B:B,A706,ซื้อสินค้า!E:E)-SUMIF(ขายสินค้า!B:B,A706,ขายสินค้า!E:E),)</f>
        <v>0</v>
      </c>
      <c r="D706" s="23">
        <f>IF(A706&lt;&gt;"",SUMIF(ซื้อสินค้า!B:B,A706,ซื้อสินค้า!M:M),)</f>
        <v>0</v>
      </c>
      <c r="E706" s="23">
        <f t="shared" si="2"/>
        <v>0</v>
      </c>
    </row>
    <row r="707" spans="1:5" ht="12.75">
      <c r="A707" s="6"/>
      <c r="B707" s="9">
        <f>IFERROR(VLOOKUP(A707,ชื่อสินค้า!A:D,4,FALSE),)</f>
        <v>0</v>
      </c>
      <c r="C707" s="9">
        <f>IF(A707&lt;&gt;"",SUMIF(ซื้อสินค้า!B:B,A707,ซื้อสินค้า!E:E)-SUMIF(ขายสินค้า!B:B,A707,ขายสินค้า!E:E),)</f>
        <v>0</v>
      </c>
      <c r="D707" s="23">
        <f>IF(A707&lt;&gt;"",SUMIF(ซื้อสินค้า!B:B,A707,ซื้อสินค้า!M:M),)</f>
        <v>0</v>
      </c>
      <c r="E707" s="23">
        <f t="shared" si="2"/>
        <v>0</v>
      </c>
    </row>
    <row r="708" spans="1:5" ht="12.75">
      <c r="A708" s="6"/>
      <c r="B708" s="9">
        <f>IFERROR(VLOOKUP(A708,ชื่อสินค้า!A:D,4,FALSE),)</f>
        <v>0</v>
      </c>
      <c r="C708" s="9">
        <f>IF(A708&lt;&gt;"",SUMIF(ซื้อสินค้า!B:B,A708,ซื้อสินค้า!E:E)-SUMIF(ขายสินค้า!B:B,A708,ขายสินค้า!E:E),)</f>
        <v>0</v>
      </c>
      <c r="D708" s="23">
        <f>IF(A708&lt;&gt;"",SUMIF(ซื้อสินค้า!B:B,A708,ซื้อสินค้า!M:M),)</f>
        <v>0</v>
      </c>
      <c r="E708" s="23">
        <f t="shared" si="2"/>
        <v>0</v>
      </c>
    </row>
    <row r="709" spans="1:5" ht="12.75">
      <c r="A709" s="6"/>
      <c r="B709" s="9">
        <f>IFERROR(VLOOKUP(A709,ชื่อสินค้า!A:D,4,FALSE),)</f>
        <v>0</v>
      </c>
      <c r="C709" s="9">
        <f>IF(A709&lt;&gt;"",SUMIF(ซื้อสินค้า!B:B,A709,ซื้อสินค้า!E:E)-SUMIF(ขายสินค้า!B:B,A709,ขายสินค้า!E:E),)</f>
        <v>0</v>
      </c>
      <c r="D709" s="23">
        <f>IF(A709&lt;&gt;"",SUMIF(ซื้อสินค้า!B:B,A709,ซื้อสินค้า!M:M),)</f>
        <v>0</v>
      </c>
      <c r="E709" s="23">
        <f t="shared" si="2"/>
        <v>0</v>
      </c>
    </row>
    <row r="710" spans="1:5" ht="12.75">
      <c r="A710" s="6"/>
      <c r="B710" s="9">
        <f>IFERROR(VLOOKUP(A710,ชื่อสินค้า!A:D,4,FALSE),)</f>
        <v>0</v>
      </c>
      <c r="C710" s="9">
        <f>IF(A710&lt;&gt;"",SUMIF(ซื้อสินค้า!B:B,A710,ซื้อสินค้า!E:E)-SUMIF(ขายสินค้า!B:B,A710,ขายสินค้า!E:E),)</f>
        <v>0</v>
      </c>
      <c r="D710" s="23">
        <f>IF(A710&lt;&gt;"",SUMIF(ซื้อสินค้า!B:B,A710,ซื้อสินค้า!M:M),)</f>
        <v>0</v>
      </c>
      <c r="E710" s="23">
        <f t="shared" si="2"/>
        <v>0</v>
      </c>
    </row>
    <row r="711" spans="1:5" ht="12.75">
      <c r="A711" s="6"/>
      <c r="B711" s="9">
        <f>IFERROR(VLOOKUP(A711,ชื่อสินค้า!A:D,4,FALSE),)</f>
        <v>0</v>
      </c>
      <c r="C711" s="9">
        <f>IF(A711&lt;&gt;"",SUMIF(ซื้อสินค้า!B:B,A711,ซื้อสินค้า!E:E)-SUMIF(ขายสินค้า!B:B,A711,ขายสินค้า!E:E),)</f>
        <v>0</v>
      </c>
      <c r="D711" s="23">
        <f>IF(A711&lt;&gt;"",SUMIF(ซื้อสินค้า!B:B,A711,ซื้อสินค้า!M:M),)</f>
        <v>0</v>
      </c>
      <c r="E711" s="23">
        <f t="shared" si="2"/>
        <v>0</v>
      </c>
    </row>
    <row r="712" spans="1:5" ht="12.75">
      <c r="A712" s="6"/>
      <c r="B712" s="9">
        <f>IFERROR(VLOOKUP(A712,ชื่อสินค้า!A:D,4,FALSE),)</f>
        <v>0</v>
      </c>
      <c r="C712" s="9">
        <f>IF(A712&lt;&gt;"",SUMIF(ซื้อสินค้า!B:B,A712,ซื้อสินค้า!E:E)-SUMIF(ขายสินค้า!B:B,A712,ขายสินค้า!E:E),)</f>
        <v>0</v>
      </c>
      <c r="D712" s="23">
        <f>IF(A712&lt;&gt;"",SUMIF(ซื้อสินค้า!B:B,A712,ซื้อสินค้า!M:M),)</f>
        <v>0</v>
      </c>
      <c r="E712" s="23">
        <f t="shared" si="2"/>
        <v>0</v>
      </c>
    </row>
    <row r="713" spans="1:5" ht="12.75">
      <c r="A713" s="6"/>
      <c r="B713" s="9">
        <f>IFERROR(VLOOKUP(A713,ชื่อสินค้า!A:D,4,FALSE),)</f>
        <v>0</v>
      </c>
      <c r="C713" s="9">
        <f>IF(A713&lt;&gt;"",SUMIF(ซื้อสินค้า!B:B,A713,ซื้อสินค้า!E:E)-SUMIF(ขายสินค้า!B:B,A713,ขายสินค้า!E:E),)</f>
        <v>0</v>
      </c>
      <c r="D713" s="23">
        <f>IF(A713&lt;&gt;"",SUMIF(ซื้อสินค้า!B:B,A713,ซื้อสินค้า!M:M),)</f>
        <v>0</v>
      </c>
      <c r="E713" s="23">
        <f t="shared" si="2"/>
        <v>0</v>
      </c>
    </row>
    <row r="714" spans="1:5" ht="12.75">
      <c r="A714" s="6"/>
      <c r="B714" s="9">
        <f>IFERROR(VLOOKUP(A714,ชื่อสินค้า!A:D,4,FALSE),)</f>
        <v>0</v>
      </c>
      <c r="C714" s="9">
        <f>IF(A714&lt;&gt;"",SUMIF(ซื้อสินค้า!B:B,A714,ซื้อสินค้า!E:E)-SUMIF(ขายสินค้า!B:B,A714,ขายสินค้า!E:E),)</f>
        <v>0</v>
      </c>
      <c r="D714" s="23">
        <f>IF(A714&lt;&gt;"",SUMIF(ซื้อสินค้า!B:B,A714,ซื้อสินค้า!M:M),)</f>
        <v>0</v>
      </c>
      <c r="E714" s="23">
        <f t="shared" si="2"/>
        <v>0</v>
      </c>
    </row>
    <row r="715" spans="1:5" ht="12.75">
      <c r="A715" s="6"/>
      <c r="B715" s="9">
        <f>IFERROR(VLOOKUP(A715,ชื่อสินค้า!A:D,4,FALSE),)</f>
        <v>0</v>
      </c>
      <c r="C715" s="9">
        <f>IF(A715&lt;&gt;"",SUMIF(ซื้อสินค้า!B:B,A715,ซื้อสินค้า!E:E)-SUMIF(ขายสินค้า!B:B,A715,ขายสินค้า!E:E),)</f>
        <v>0</v>
      </c>
      <c r="D715" s="23">
        <f>IF(A715&lt;&gt;"",SUMIF(ซื้อสินค้า!B:B,A715,ซื้อสินค้า!M:M),)</f>
        <v>0</v>
      </c>
      <c r="E715" s="23">
        <f t="shared" si="2"/>
        <v>0</v>
      </c>
    </row>
    <row r="716" spans="1:5" ht="12.75">
      <c r="A716" s="6"/>
      <c r="B716" s="9">
        <f>IFERROR(VLOOKUP(A716,ชื่อสินค้า!A:D,4,FALSE),)</f>
        <v>0</v>
      </c>
      <c r="C716" s="9">
        <f>IF(A716&lt;&gt;"",SUMIF(ซื้อสินค้า!B:B,A716,ซื้อสินค้า!E:E)-SUMIF(ขายสินค้า!B:B,A716,ขายสินค้า!E:E),)</f>
        <v>0</v>
      </c>
      <c r="D716" s="23">
        <f>IF(A716&lt;&gt;"",SUMIF(ซื้อสินค้า!B:B,A716,ซื้อสินค้า!M:M),)</f>
        <v>0</v>
      </c>
      <c r="E716" s="23">
        <f t="shared" si="2"/>
        <v>0</v>
      </c>
    </row>
    <row r="717" spans="1:5" ht="12.75">
      <c r="A717" s="6"/>
      <c r="B717" s="9">
        <f>IFERROR(VLOOKUP(A717,ชื่อสินค้า!A:D,4,FALSE),)</f>
        <v>0</v>
      </c>
      <c r="C717" s="9">
        <f>IF(A717&lt;&gt;"",SUMIF(ซื้อสินค้า!B:B,A717,ซื้อสินค้า!E:E)-SUMIF(ขายสินค้า!B:B,A717,ขายสินค้า!E:E),)</f>
        <v>0</v>
      </c>
      <c r="D717" s="23">
        <f>IF(A717&lt;&gt;"",SUMIF(ซื้อสินค้า!B:B,A717,ซื้อสินค้า!M:M),)</f>
        <v>0</v>
      </c>
      <c r="E717" s="23">
        <f t="shared" si="2"/>
        <v>0</v>
      </c>
    </row>
    <row r="718" spans="1:5" ht="12.75">
      <c r="A718" s="6"/>
      <c r="B718" s="9">
        <f>IFERROR(VLOOKUP(A718,ชื่อสินค้า!A:D,4,FALSE),)</f>
        <v>0</v>
      </c>
      <c r="C718" s="9">
        <f>IF(A718&lt;&gt;"",SUMIF(ซื้อสินค้า!B:B,A718,ซื้อสินค้า!E:E)-SUMIF(ขายสินค้า!B:B,A718,ขายสินค้า!E:E),)</f>
        <v>0</v>
      </c>
      <c r="D718" s="23">
        <f>IF(A718&lt;&gt;"",SUMIF(ซื้อสินค้า!B:B,A718,ซื้อสินค้า!M:M),)</f>
        <v>0</v>
      </c>
      <c r="E718" s="23">
        <f t="shared" si="2"/>
        <v>0</v>
      </c>
    </row>
    <row r="719" spans="1:5" ht="12.75">
      <c r="A719" s="6"/>
      <c r="B719" s="9">
        <f>IFERROR(VLOOKUP(A719,ชื่อสินค้า!A:D,4,FALSE),)</f>
        <v>0</v>
      </c>
      <c r="C719" s="9">
        <f>IF(A719&lt;&gt;"",SUMIF(ซื้อสินค้า!B:B,A719,ซื้อสินค้า!E:E)-SUMIF(ขายสินค้า!B:B,A719,ขายสินค้า!E:E),)</f>
        <v>0</v>
      </c>
      <c r="D719" s="23">
        <f>IF(A719&lt;&gt;"",SUMIF(ซื้อสินค้า!B:B,A719,ซื้อสินค้า!M:M),)</f>
        <v>0</v>
      </c>
      <c r="E719" s="23">
        <f t="shared" si="2"/>
        <v>0</v>
      </c>
    </row>
    <row r="720" spans="1:5" ht="12.75">
      <c r="A720" s="6"/>
      <c r="B720" s="9">
        <f>IFERROR(VLOOKUP(A720,ชื่อสินค้า!A:D,4,FALSE),)</f>
        <v>0</v>
      </c>
      <c r="C720" s="9">
        <f>IF(A720&lt;&gt;"",SUMIF(ซื้อสินค้า!B:B,A720,ซื้อสินค้า!E:E)-SUMIF(ขายสินค้า!B:B,A720,ขายสินค้า!E:E),)</f>
        <v>0</v>
      </c>
      <c r="D720" s="23">
        <f>IF(A720&lt;&gt;"",SUMIF(ซื้อสินค้า!B:B,A720,ซื้อสินค้า!M:M),)</f>
        <v>0</v>
      </c>
      <c r="E720" s="23">
        <f t="shared" si="2"/>
        <v>0</v>
      </c>
    </row>
    <row r="721" spans="1:5" ht="12.75">
      <c r="A721" s="6"/>
      <c r="B721" s="9">
        <f>IFERROR(VLOOKUP(A721,ชื่อสินค้า!A:D,4,FALSE),)</f>
        <v>0</v>
      </c>
      <c r="C721" s="9">
        <f>IF(A721&lt;&gt;"",SUMIF(ซื้อสินค้า!B:B,A721,ซื้อสินค้า!E:E)-SUMIF(ขายสินค้า!B:B,A721,ขายสินค้า!E:E),)</f>
        <v>0</v>
      </c>
      <c r="D721" s="23">
        <f>IF(A721&lt;&gt;"",SUMIF(ซื้อสินค้า!B:B,A721,ซื้อสินค้า!M:M),)</f>
        <v>0</v>
      </c>
      <c r="E721" s="23">
        <f t="shared" si="2"/>
        <v>0</v>
      </c>
    </row>
    <row r="722" spans="1:5" ht="12.75">
      <c r="A722" s="6"/>
      <c r="B722" s="9">
        <f>IFERROR(VLOOKUP(A722,ชื่อสินค้า!A:D,4,FALSE),)</f>
        <v>0</v>
      </c>
      <c r="C722" s="9">
        <f>IF(A722&lt;&gt;"",SUMIF(ซื้อสินค้า!B:B,A722,ซื้อสินค้า!E:E)-SUMIF(ขายสินค้า!B:B,A722,ขายสินค้า!E:E),)</f>
        <v>0</v>
      </c>
      <c r="D722" s="23">
        <f>IF(A722&lt;&gt;"",SUMIF(ซื้อสินค้า!B:B,A722,ซื้อสินค้า!M:M),)</f>
        <v>0</v>
      </c>
      <c r="E722" s="23">
        <f t="shared" si="2"/>
        <v>0</v>
      </c>
    </row>
    <row r="723" spans="1:5" ht="12.75">
      <c r="A723" s="6"/>
      <c r="B723" s="9">
        <f>IFERROR(VLOOKUP(A723,ชื่อสินค้า!A:D,4,FALSE),)</f>
        <v>0</v>
      </c>
      <c r="C723" s="9">
        <f>IF(A723&lt;&gt;"",SUMIF(ซื้อสินค้า!B:B,A723,ซื้อสินค้า!E:E)-SUMIF(ขายสินค้า!B:B,A723,ขายสินค้า!E:E),)</f>
        <v>0</v>
      </c>
      <c r="D723" s="23">
        <f>IF(A723&lt;&gt;"",SUMIF(ซื้อสินค้า!B:B,A723,ซื้อสินค้า!M:M),)</f>
        <v>0</v>
      </c>
      <c r="E723" s="23">
        <f t="shared" si="2"/>
        <v>0</v>
      </c>
    </row>
    <row r="724" spans="1:5" ht="12.75">
      <c r="A724" s="6"/>
      <c r="B724" s="9">
        <f>IFERROR(VLOOKUP(A724,ชื่อสินค้า!A:D,4,FALSE),)</f>
        <v>0</v>
      </c>
      <c r="C724" s="9">
        <f>IF(A724&lt;&gt;"",SUMIF(ซื้อสินค้า!B:B,A724,ซื้อสินค้า!E:E)-SUMIF(ขายสินค้า!B:B,A724,ขายสินค้า!E:E),)</f>
        <v>0</v>
      </c>
      <c r="D724" s="23">
        <f>IF(A724&lt;&gt;"",SUMIF(ซื้อสินค้า!B:B,A724,ซื้อสินค้า!M:M),)</f>
        <v>0</v>
      </c>
      <c r="E724" s="23">
        <f t="shared" si="2"/>
        <v>0</v>
      </c>
    </row>
    <row r="725" spans="1:5" ht="12.75">
      <c r="A725" s="6"/>
      <c r="B725" s="9">
        <f>IFERROR(VLOOKUP(A725,ชื่อสินค้า!A:D,4,FALSE),)</f>
        <v>0</v>
      </c>
      <c r="C725" s="9">
        <f>IF(A725&lt;&gt;"",SUMIF(ซื้อสินค้า!B:B,A725,ซื้อสินค้า!E:E)-SUMIF(ขายสินค้า!B:B,A725,ขายสินค้า!E:E),)</f>
        <v>0</v>
      </c>
      <c r="D725" s="23">
        <f>IF(A725&lt;&gt;"",SUMIF(ซื้อสินค้า!B:B,A725,ซื้อสินค้า!M:M),)</f>
        <v>0</v>
      </c>
      <c r="E725" s="23">
        <f t="shared" si="2"/>
        <v>0</v>
      </c>
    </row>
    <row r="726" spans="1:5" ht="12.75">
      <c r="A726" s="6"/>
      <c r="B726" s="9">
        <f>IFERROR(VLOOKUP(A726,ชื่อสินค้า!A:D,4,FALSE),)</f>
        <v>0</v>
      </c>
      <c r="C726" s="9">
        <f>IF(A726&lt;&gt;"",SUMIF(ซื้อสินค้า!B:B,A726,ซื้อสินค้า!E:E)-SUMIF(ขายสินค้า!B:B,A726,ขายสินค้า!E:E),)</f>
        <v>0</v>
      </c>
      <c r="D726" s="23">
        <f>IF(A726&lt;&gt;"",SUMIF(ซื้อสินค้า!B:B,A726,ซื้อสินค้า!M:M),)</f>
        <v>0</v>
      </c>
      <c r="E726" s="23">
        <f t="shared" si="2"/>
        <v>0</v>
      </c>
    </row>
    <row r="727" spans="1:5" ht="12.75">
      <c r="A727" s="6"/>
      <c r="B727" s="9">
        <f>IFERROR(VLOOKUP(A727,ชื่อสินค้า!A:D,4,FALSE),)</f>
        <v>0</v>
      </c>
      <c r="C727" s="9">
        <f>IF(A727&lt;&gt;"",SUMIF(ซื้อสินค้า!B:B,A727,ซื้อสินค้า!E:E)-SUMIF(ขายสินค้า!B:B,A727,ขายสินค้า!E:E),)</f>
        <v>0</v>
      </c>
      <c r="D727" s="23">
        <f>IF(A727&lt;&gt;"",SUMIF(ซื้อสินค้า!B:B,A727,ซื้อสินค้า!M:M),)</f>
        <v>0</v>
      </c>
      <c r="E727" s="23">
        <f t="shared" si="2"/>
        <v>0</v>
      </c>
    </row>
    <row r="728" spans="1:5" ht="12.75">
      <c r="A728" s="6"/>
      <c r="B728" s="9">
        <f>IFERROR(VLOOKUP(A728,ชื่อสินค้า!A:D,4,FALSE),)</f>
        <v>0</v>
      </c>
      <c r="C728" s="9">
        <f>IF(A728&lt;&gt;"",SUMIF(ซื้อสินค้า!B:B,A728,ซื้อสินค้า!E:E)-SUMIF(ขายสินค้า!B:B,A728,ขายสินค้า!E:E),)</f>
        <v>0</v>
      </c>
      <c r="D728" s="23">
        <f>IF(A728&lt;&gt;"",SUMIF(ซื้อสินค้า!B:B,A728,ซื้อสินค้า!M:M),)</f>
        <v>0</v>
      </c>
      <c r="E728" s="23">
        <f t="shared" si="2"/>
        <v>0</v>
      </c>
    </row>
    <row r="729" spans="1:5" ht="12.75">
      <c r="A729" s="6"/>
      <c r="B729" s="9">
        <f>IFERROR(VLOOKUP(A729,ชื่อสินค้า!A:D,4,FALSE),)</f>
        <v>0</v>
      </c>
      <c r="C729" s="9">
        <f>IF(A729&lt;&gt;"",SUMIF(ซื้อสินค้า!B:B,A729,ซื้อสินค้า!E:E)-SUMIF(ขายสินค้า!B:B,A729,ขายสินค้า!E:E),)</f>
        <v>0</v>
      </c>
      <c r="D729" s="23">
        <f>IF(A729&lt;&gt;"",SUMIF(ซื้อสินค้า!B:B,A729,ซื้อสินค้า!M:M),)</f>
        <v>0</v>
      </c>
      <c r="E729" s="23">
        <f t="shared" si="2"/>
        <v>0</v>
      </c>
    </row>
    <row r="730" spans="1:5" ht="12.75">
      <c r="A730" s="6"/>
      <c r="B730" s="9">
        <f>IFERROR(VLOOKUP(A730,ชื่อสินค้า!A:D,4,FALSE),)</f>
        <v>0</v>
      </c>
      <c r="C730" s="9">
        <f>IF(A730&lt;&gt;"",SUMIF(ซื้อสินค้า!B:B,A730,ซื้อสินค้า!E:E)-SUMIF(ขายสินค้า!B:B,A730,ขายสินค้า!E:E),)</f>
        <v>0</v>
      </c>
      <c r="D730" s="23">
        <f>IF(A730&lt;&gt;"",SUMIF(ซื้อสินค้า!B:B,A730,ซื้อสินค้า!M:M),)</f>
        <v>0</v>
      </c>
      <c r="E730" s="23">
        <f t="shared" si="2"/>
        <v>0</v>
      </c>
    </row>
    <row r="731" spans="1:5" ht="12.75">
      <c r="A731" s="6"/>
      <c r="B731" s="9">
        <f>IFERROR(VLOOKUP(A731,ชื่อสินค้า!A:D,4,FALSE),)</f>
        <v>0</v>
      </c>
      <c r="C731" s="9">
        <f>IF(A731&lt;&gt;"",SUMIF(ซื้อสินค้า!B:B,A731,ซื้อสินค้า!E:E)-SUMIF(ขายสินค้า!B:B,A731,ขายสินค้า!E:E),)</f>
        <v>0</v>
      </c>
      <c r="D731" s="23">
        <f>IF(A731&lt;&gt;"",SUMIF(ซื้อสินค้า!B:B,A731,ซื้อสินค้า!M:M),)</f>
        <v>0</v>
      </c>
      <c r="E731" s="23">
        <f t="shared" si="2"/>
        <v>0</v>
      </c>
    </row>
    <row r="732" spans="1:5" ht="12.75">
      <c r="A732" s="6"/>
      <c r="B732" s="9">
        <f>IFERROR(VLOOKUP(A732,ชื่อสินค้า!A:D,4,FALSE),)</f>
        <v>0</v>
      </c>
      <c r="C732" s="9">
        <f>IF(A732&lt;&gt;"",SUMIF(ซื้อสินค้า!B:B,A732,ซื้อสินค้า!E:E)-SUMIF(ขายสินค้า!B:B,A732,ขายสินค้า!E:E),)</f>
        <v>0</v>
      </c>
      <c r="D732" s="23">
        <f>IF(A732&lt;&gt;"",SUMIF(ซื้อสินค้า!B:B,A732,ซื้อสินค้า!M:M),)</f>
        <v>0</v>
      </c>
      <c r="E732" s="23">
        <f t="shared" si="2"/>
        <v>0</v>
      </c>
    </row>
    <row r="733" spans="1:5" ht="12.75">
      <c r="A733" s="6"/>
      <c r="B733" s="9">
        <f>IFERROR(VLOOKUP(A733,ชื่อสินค้า!A:D,4,FALSE),)</f>
        <v>0</v>
      </c>
      <c r="C733" s="9">
        <f>IF(A733&lt;&gt;"",SUMIF(ซื้อสินค้า!B:B,A733,ซื้อสินค้า!E:E)-SUMIF(ขายสินค้า!B:B,A733,ขายสินค้า!E:E),)</f>
        <v>0</v>
      </c>
      <c r="D733" s="23">
        <f>IF(A733&lt;&gt;"",SUMIF(ซื้อสินค้า!B:B,A733,ซื้อสินค้า!M:M),)</f>
        <v>0</v>
      </c>
      <c r="E733" s="23">
        <f t="shared" si="2"/>
        <v>0</v>
      </c>
    </row>
    <row r="734" spans="1:5" ht="12.75">
      <c r="A734" s="6"/>
      <c r="B734" s="9">
        <f>IFERROR(VLOOKUP(A734,ชื่อสินค้า!A:D,4,FALSE),)</f>
        <v>0</v>
      </c>
      <c r="C734" s="9">
        <f>IF(A734&lt;&gt;"",SUMIF(ซื้อสินค้า!B:B,A734,ซื้อสินค้า!E:E)-SUMIF(ขายสินค้า!B:B,A734,ขายสินค้า!E:E),)</f>
        <v>0</v>
      </c>
      <c r="D734" s="23">
        <f>IF(A734&lt;&gt;"",SUMIF(ซื้อสินค้า!B:B,A734,ซื้อสินค้า!M:M),)</f>
        <v>0</v>
      </c>
      <c r="E734" s="23">
        <f t="shared" si="2"/>
        <v>0</v>
      </c>
    </row>
    <row r="735" spans="1:5" ht="12.75">
      <c r="A735" s="6"/>
      <c r="B735" s="9">
        <f>IFERROR(VLOOKUP(A735,ชื่อสินค้า!A:D,4,FALSE),)</f>
        <v>0</v>
      </c>
      <c r="C735" s="9">
        <f>IF(A735&lt;&gt;"",SUMIF(ซื้อสินค้า!B:B,A735,ซื้อสินค้า!E:E)-SUMIF(ขายสินค้า!B:B,A735,ขายสินค้า!E:E),)</f>
        <v>0</v>
      </c>
      <c r="D735" s="23">
        <f>IF(A735&lt;&gt;"",SUMIF(ซื้อสินค้า!B:B,A735,ซื้อสินค้า!M:M),)</f>
        <v>0</v>
      </c>
      <c r="E735" s="23">
        <f t="shared" si="2"/>
        <v>0</v>
      </c>
    </row>
    <row r="736" spans="1:5" ht="12.75">
      <c r="A736" s="6"/>
      <c r="B736" s="9">
        <f>IFERROR(VLOOKUP(A736,ชื่อสินค้า!A:D,4,FALSE),)</f>
        <v>0</v>
      </c>
      <c r="C736" s="9">
        <f>IF(A736&lt;&gt;"",SUMIF(ซื้อสินค้า!B:B,A736,ซื้อสินค้า!E:E)-SUMIF(ขายสินค้า!B:B,A736,ขายสินค้า!E:E),)</f>
        <v>0</v>
      </c>
      <c r="D736" s="23">
        <f>IF(A736&lt;&gt;"",SUMIF(ซื้อสินค้า!B:B,A736,ซื้อสินค้า!M:M),)</f>
        <v>0</v>
      </c>
      <c r="E736" s="23">
        <f t="shared" si="2"/>
        <v>0</v>
      </c>
    </row>
    <row r="737" spans="1:5" ht="12.75">
      <c r="A737" s="6"/>
      <c r="B737" s="9">
        <f>IFERROR(VLOOKUP(A737,ชื่อสินค้า!A:D,4,FALSE),)</f>
        <v>0</v>
      </c>
      <c r="C737" s="9">
        <f>IF(A737&lt;&gt;"",SUMIF(ซื้อสินค้า!B:B,A737,ซื้อสินค้า!E:E)-SUMIF(ขายสินค้า!B:B,A737,ขายสินค้า!E:E),)</f>
        <v>0</v>
      </c>
      <c r="D737" s="23">
        <f>IF(A737&lt;&gt;"",SUMIF(ซื้อสินค้า!B:B,A737,ซื้อสินค้า!M:M),)</f>
        <v>0</v>
      </c>
      <c r="E737" s="23">
        <f t="shared" si="2"/>
        <v>0</v>
      </c>
    </row>
    <row r="738" spans="1:5" ht="12.75">
      <c r="A738" s="6"/>
      <c r="B738" s="9">
        <f>IFERROR(VLOOKUP(A738,ชื่อสินค้า!A:D,4,FALSE),)</f>
        <v>0</v>
      </c>
      <c r="C738" s="9">
        <f>IF(A738&lt;&gt;"",SUMIF(ซื้อสินค้า!B:B,A738,ซื้อสินค้า!E:E)-SUMIF(ขายสินค้า!B:B,A738,ขายสินค้า!E:E),)</f>
        <v>0</v>
      </c>
      <c r="D738" s="23">
        <f>IF(A738&lt;&gt;"",SUMIF(ซื้อสินค้า!B:B,A738,ซื้อสินค้า!M:M),)</f>
        <v>0</v>
      </c>
      <c r="E738" s="23">
        <f t="shared" si="2"/>
        <v>0</v>
      </c>
    </row>
    <row r="739" spans="1:5" ht="12.75">
      <c r="A739" s="6"/>
      <c r="B739" s="9">
        <f>IFERROR(VLOOKUP(A739,ชื่อสินค้า!A:D,4,FALSE),)</f>
        <v>0</v>
      </c>
      <c r="C739" s="9">
        <f>IF(A739&lt;&gt;"",SUMIF(ซื้อสินค้า!B:B,A739,ซื้อสินค้า!E:E)-SUMIF(ขายสินค้า!B:B,A739,ขายสินค้า!E:E),)</f>
        <v>0</v>
      </c>
      <c r="D739" s="23">
        <f>IF(A739&lt;&gt;"",SUMIF(ซื้อสินค้า!B:B,A739,ซื้อสินค้า!M:M),)</f>
        <v>0</v>
      </c>
      <c r="E739" s="23">
        <f t="shared" si="2"/>
        <v>0</v>
      </c>
    </row>
    <row r="740" spans="1:5" ht="12.75">
      <c r="A740" s="6"/>
      <c r="B740" s="9">
        <f>IFERROR(VLOOKUP(A740,ชื่อสินค้า!A:D,4,FALSE),)</f>
        <v>0</v>
      </c>
      <c r="C740" s="9">
        <f>IF(A740&lt;&gt;"",SUMIF(ซื้อสินค้า!B:B,A740,ซื้อสินค้า!E:E)-SUMIF(ขายสินค้า!B:B,A740,ขายสินค้า!E:E),)</f>
        <v>0</v>
      </c>
      <c r="D740" s="23">
        <f>IF(A740&lt;&gt;"",SUMIF(ซื้อสินค้า!B:B,A740,ซื้อสินค้า!M:M),)</f>
        <v>0</v>
      </c>
      <c r="E740" s="23">
        <f t="shared" si="2"/>
        <v>0</v>
      </c>
    </row>
    <row r="741" spans="1:5" ht="12.75">
      <c r="A741" s="6"/>
      <c r="B741" s="9">
        <f>IFERROR(VLOOKUP(A741,ชื่อสินค้า!A:D,4,FALSE),)</f>
        <v>0</v>
      </c>
      <c r="C741" s="9">
        <f>IF(A741&lt;&gt;"",SUMIF(ซื้อสินค้า!B:B,A741,ซื้อสินค้า!E:E)-SUMIF(ขายสินค้า!B:B,A741,ขายสินค้า!E:E),)</f>
        <v>0</v>
      </c>
      <c r="D741" s="23">
        <f>IF(A741&lt;&gt;"",SUMIF(ซื้อสินค้า!B:B,A741,ซื้อสินค้า!M:M),)</f>
        <v>0</v>
      </c>
      <c r="E741" s="23">
        <f t="shared" si="2"/>
        <v>0</v>
      </c>
    </row>
    <row r="742" spans="1:5" ht="12.75">
      <c r="A742" s="6"/>
      <c r="B742" s="9">
        <f>IFERROR(VLOOKUP(A742,ชื่อสินค้า!A:D,4,FALSE),)</f>
        <v>0</v>
      </c>
      <c r="C742" s="9">
        <f>IF(A742&lt;&gt;"",SUMIF(ซื้อสินค้า!B:B,A742,ซื้อสินค้า!E:E)-SUMIF(ขายสินค้า!B:B,A742,ขายสินค้า!E:E),)</f>
        <v>0</v>
      </c>
      <c r="D742" s="23">
        <f>IF(A742&lt;&gt;"",SUMIF(ซื้อสินค้า!B:B,A742,ซื้อสินค้า!M:M),)</f>
        <v>0</v>
      </c>
      <c r="E742" s="23">
        <f t="shared" si="2"/>
        <v>0</v>
      </c>
    </row>
    <row r="743" spans="1:5" ht="12.75">
      <c r="A743" s="6"/>
      <c r="B743" s="9">
        <f>IFERROR(VLOOKUP(A743,ชื่อสินค้า!A:D,4,FALSE),)</f>
        <v>0</v>
      </c>
      <c r="C743" s="9">
        <f>IF(A743&lt;&gt;"",SUMIF(ซื้อสินค้า!B:B,A743,ซื้อสินค้า!E:E)-SUMIF(ขายสินค้า!B:B,A743,ขายสินค้า!E:E),)</f>
        <v>0</v>
      </c>
      <c r="D743" s="23">
        <f>IF(A743&lt;&gt;"",SUMIF(ซื้อสินค้า!B:B,A743,ซื้อสินค้า!M:M),)</f>
        <v>0</v>
      </c>
      <c r="E743" s="23">
        <f t="shared" si="2"/>
        <v>0</v>
      </c>
    </row>
    <row r="744" spans="1:5" ht="12.75">
      <c r="A744" s="6"/>
      <c r="B744" s="9">
        <f>IFERROR(VLOOKUP(A744,ชื่อสินค้า!A:D,4,FALSE),)</f>
        <v>0</v>
      </c>
      <c r="C744" s="9">
        <f>IF(A744&lt;&gt;"",SUMIF(ซื้อสินค้า!B:B,A744,ซื้อสินค้า!E:E)-SUMIF(ขายสินค้า!B:B,A744,ขายสินค้า!E:E),)</f>
        <v>0</v>
      </c>
      <c r="D744" s="23">
        <f>IF(A744&lt;&gt;"",SUMIF(ซื้อสินค้า!B:B,A744,ซื้อสินค้า!M:M),)</f>
        <v>0</v>
      </c>
      <c r="E744" s="23">
        <f t="shared" si="2"/>
        <v>0</v>
      </c>
    </row>
    <row r="745" spans="1:5" ht="12.75">
      <c r="A745" s="6"/>
      <c r="B745" s="9">
        <f>IFERROR(VLOOKUP(A745,ชื่อสินค้า!A:D,4,FALSE),)</f>
        <v>0</v>
      </c>
      <c r="C745" s="9">
        <f>IF(A745&lt;&gt;"",SUMIF(ซื้อสินค้า!B:B,A745,ซื้อสินค้า!E:E)-SUMIF(ขายสินค้า!B:B,A745,ขายสินค้า!E:E),)</f>
        <v>0</v>
      </c>
      <c r="D745" s="23">
        <f>IF(A745&lt;&gt;"",SUMIF(ซื้อสินค้า!B:B,A745,ซื้อสินค้า!M:M),)</f>
        <v>0</v>
      </c>
      <c r="E745" s="23">
        <f t="shared" si="2"/>
        <v>0</v>
      </c>
    </row>
    <row r="746" spans="1:5" ht="12.75">
      <c r="A746" s="6"/>
      <c r="B746" s="9">
        <f>IFERROR(VLOOKUP(A746,ชื่อสินค้า!A:D,4,FALSE),)</f>
        <v>0</v>
      </c>
      <c r="C746" s="9">
        <f>IF(A746&lt;&gt;"",SUMIF(ซื้อสินค้า!B:B,A746,ซื้อสินค้า!E:E)-SUMIF(ขายสินค้า!B:B,A746,ขายสินค้า!E:E),)</f>
        <v>0</v>
      </c>
      <c r="D746" s="23">
        <f>IF(A746&lt;&gt;"",SUMIF(ซื้อสินค้า!B:B,A746,ซื้อสินค้า!M:M),)</f>
        <v>0</v>
      </c>
      <c r="E746" s="23">
        <f t="shared" si="2"/>
        <v>0</v>
      </c>
    </row>
    <row r="747" spans="1:5" ht="12.75">
      <c r="A747" s="6"/>
      <c r="B747" s="9">
        <f>IFERROR(VLOOKUP(A747,ชื่อสินค้า!A:D,4,FALSE),)</f>
        <v>0</v>
      </c>
      <c r="C747" s="9">
        <f>IF(A747&lt;&gt;"",SUMIF(ซื้อสินค้า!B:B,A747,ซื้อสินค้า!E:E)-SUMIF(ขายสินค้า!B:B,A747,ขายสินค้า!E:E),)</f>
        <v>0</v>
      </c>
      <c r="D747" s="23">
        <f>IF(A747&lt;&gt;"",SUMIF(ซื้อสินค้า!B:B,A747,ซื้อสินค้า!M:M),)</f>
        <v>0</v>
      </c>
      <c r="E747" s="23">
        <f t="shared" si="2"/>
        <v>0</v>
      </c>
    </row>
    <row r="748" spans="1:5" ht="12.75">
      <c r="A748" s="6"/>
      <c r="B748" s="9">
        <f>IFERROR(VLOOKUP(A748,ชื่อสินค้า!A:D,4,FALSE),)</f>
        <v>0</v>
      </c>
      <c r="C748" s="9">
        <f>IF(A748&lt;&gt;"",SUMIF(ซื้อสินค้า!B:B,A748,ซื้อสินค้า!E:E)-SUMIF(ขายสินค้า!B:B,A748,ขายสินค้า!E:E),)</f>
        <v>0</v>
      </c>
      <c r="D748" s="23">
        <f>IF(A748&lt;&gt;"",SUMIF(ซื้อสินค้า!B:B,A748,ซื้อสินค้า!M:M),)</f>
        <v>0</v>
      </c>
      <c r="E748" s="23">
        <f t="shared" si="2"/>
        <v>0</v>
      </c>
    </row>
    <row r="749" spans="1:5" ht="12.75">
      <c r="A749" s="6"/>
      <c r="B749" s="9">
        <f>IFERROR(VLOOKUP(A749,ชื่อสินค้า!A:D,4,FALSE),)</f>
        <v>0</v>
      </c>
      <c r="C749" s="9">
        <f>IF(A749&lt;&gt;"",SUMIF(ซื้อสินค้า!B:B,A749,ซื้อสินค้า!E:E)-SUMIF(ขายสินค้า!B:B,A749,ขายสินค้า!E:E),)</f>
        <v>0</v>
      </c>
      <c r="D749" s="23">
        <f>IF(A749&lt;&gt;"",SUMIF(ซื้อสินค้า!B:B,A749,ซื้อสินค้า!M:M),)</f>
        <v>0</v>
      </c>
      <c r="E749" s="23">
        <f t="shared" si="2"/>
        <v>0</v>
      </c>
    </row>
    <row r="750" spans="1:5" ht="12.75">
      <c r="A750" s="6"/>
      <c r="B750" s="9">
        <f>IFERROR(VLOOKUP(A750,ชื่อสินค้า!A:D,4,FALSE),)</f>
        <v>0</v>
      </c>
      <c r="C750" s="9">
        <f>IF(A750&lt;&gt;"",SUMIF(ซื้อสินค้า!B:B,A750,ซื้อสินค้า!E:E)-SUMIF(ขายสินค้า!B:B,A750,ขายสินค้า!E:E),)</f>
        <v>0</v>
      </c>
      <c r="D750" s="23">
        <f>IF(A750&lt;&gt;"",SUMIF(ซื้อสินค้า!B:B,A750,ซื้อสินค้า!M:M),)</f>
        <v>0</v>
      </c>
      <c r="E750" s="23">
        <f t="shared" si="2"/>
        <v>0</v>
      </c>
    </row>
    <row r="751" spans="1:5" ht="12.75">
      <c r="A751" s="6"/>
      <c r="B751" s="9">
        <f>IFERROR(VLOOKUP(A751,ชื่อสินค้า!A:D,4,FALSE),)</f>
        <v>0</v>
      </c>
      <c r="C751" s="9">
        <f>IF(A751&lt;&gt;"",SUMIF(ซื้อสินค้า!B:B,A751,ซื้อสินค้า!E:E)-SUMIF(ขายสินค้า!B:B,A751,ขายสินค้า!E:E),)</f>
        <v>0</v>
      </c>
      <c r="D751" s="23">
        <f>IF(A751&lt;&gt;"",SUMIF(ซื้อสินค้า!B:B,A751,ซื้อสินค้า!M:M),)</f>
        <v>0</v>
      </c>
      <c r="E751" s="23">
        <f t="shared" si="2"/>
        <v>0</v>
      </c>
    </row>
    <row r="752" spans="1:5" ht="12.75">
      <c r="A752" s="6"/>
      <c r="B752" s="9">
        <f>IFERROR(VLOOKUP(A752,ชื่อสินค้า!A:D,4,FALSE),)</f>
        <v>0</v>
      </c>
      <c r="C752" s="9">
        <f>IF(A752&lt;&gt;"",SUMIF(ซื้อสินค้า!B:B,A752,ซื้อสินค้า!E:E)-SUMIF(ขายสินค้า!B:B,A752,ขายสินค้า!E:E),)</f>
        <v>0</v>
      </c>
      <c r="D752" s="23">
        <f>IF(A752&lt;&gt;"",SUMIF(ซื้อสินค้า!B:B,A752,ซื้อสินค้า!M:M),)</f>
        <v>0</v>
      </c>
      <c r="E752" s="23">
        <f t="shared" si="2"/>
        <v>0</v>
      </c>
    </row>
    <row r="753" spans="1:5" ht="12.75">
      <c r="A753" s="6"/>
      <c r="B753" s="9">
        <f>IFERROR(VLOOKUP(A753,ชื่อสินค้า!A:D,4,FALSE),)</f>
        <v>0</v>
      </c>
      <c r="C753" s="9">
        <f>IF(A753&lt;&gt;"",SUMIF(ซื้อสินค้า!B:B,A753,ซื้อสินค้า!E:E)-SUMIF(ขายสินค้า!B:B,A753,ขายสินค้า!E:E),)</f>
        <v>0</v>
      </c>
      <c r="D753" s="23">
        <f>IF(A753&lt;&gt;"",SUMIF(ซื้อสินค้า!B:B,A753,ซื้อสินค้า!M:M),)</f>
        <v>0</v>
      </c>
      <c r="E753" s="23">
        <f t="shared" si="2"/>
        <v>0</v>
      </c>
    </row>
    <row r="754" spans="1:5" ht="12.75">
      <c r="A754" s="6"/>
      <c r="B754" s="9">
        <f>IFERROR(VLOOKUP(A754,ชื่อสินค้า!A:D,4,FALSE),)</f>
        <v>0</v>
      </c>
      <c r="C754" s="9">
        <f>IF(A754&lt;&gt;"",SUMIF(ซื้อสินค้า!B:B,A754,ซื้อสินค้า!E:E)-SUMIF(ขายสินค้า!B:B,A754,ขายสินค้า!E:E),)</f>
        <v>0</v>
      </c>
      <c r="D754" s="23">
        <f>IF(A754&lt;&gt;"",SUMIF(ซื้อสินค้า!B:B,A754,ซื้อสินค้า!M:M),)</f>
        <v>0</v>
      </c>
      <c r="E754" s="23">
        <f t="shared" si="2"/>
        <v>0</v>
      </c>
    </row>
    <row r="755" spans="1:5" ht="12.75">
      <c r="A755" s="6"/>
      <c r="B755" s="9">
        <f>IFERROR(VLOOKUP(A755,ชื่อสินค้า!A:D,4,FALSE),)</f>
        <v>0</v>
      </c>
      <c r="C755" s="9">
        <f>IF(A755&lt;&gt;"",SUMIF(ซื้อสินค้า!B:B,A755,ซื้อสินค้า!E:E)-SUMIF(ขายสินค้า!B:B,A755,ขายสินค้า!E:E),)</f>
        <v>0</v>
      </c>
      <c r="D755" s="23">
        <f>IF(A755&lt;&gt;"",SUMIF(ซื้อสินค้า!B:B,A755,ซื้อสินค้า!M:M),)</f>
        <v>0</v>
      </c>
      <c r="E755" s="23">
        <f t="shared" si="2"/>
        <v>0</v>
      </c>
    </row>
    <row r="756" spans="1:5" ht="12.75">
      <c r="A756" s="6"/>
      <c r="B756" s="9">
        <f>IFERROR(VLOOKUP(A756,ชื่อสินค้า!A:D,4,FALSE),)</f>
        <v>0</v>
      </c>
      <c r="C756" s="9">
        <f>IF(A756&lt;&gt;"",SUMIF(ซื้อสินค้า!B:B,A756,ซื้อสินค้า!E:E)-SUMIF(ขายสินค้า!B:B,A756,ขายสินค้า!E:E),)</f>
        <v>0</v>
      </c>
      <c r="D756" s="23">
        <f>IF(A756&lt;&gt;"",SUMIF(ซื้อสินค้า!B:B,A756,ซื้อสินค้า!M:M),)</f>
        <v>0</v>
      </c>
      <c r="E756" s="23">
        <f t="shared" si="2"/>
        <v>0</v>
      </c>
    </row>
    <row r="757" spans="1:5" ht="12.75">
      <c r="A757" s="6"/>
      <c r="B757" s="9">
        <f>IFERROR(VLOOKUP(A757,ชื่อสินค้า!A:D,4,FALSE),)</f>
        <v>0</v>
      </c>
      <c r="C757" s="9">
        <f>IF(A757&lt;&gt;"",SUMIF(ซื้อสินค้า!B:B,A757,ซื้อสินค้า!E:E)-SUMIF(ขายสินค้า!B:B,A757,ขายสินค้า!E:E),)</f>
        <v>0</v>
      </c>
      <c r="D757" s="23">
        <f>IF(A757&lt;&gt;"",SUMIF(ซื้อสินค้า!B:B,A757,ซื้อสินค้า!M:M),)</f>
        <v>0</v>
      </c>
      <c r="E757" s="23">
        <f t="shared" si="2"/>
        <v>0</v>
      </c>
    </row>
    <row r="758" spans="1:5" ht="12.75">
      <c r="A758" s="6"/>
      <c r="B758" s="9">
        <f>IFERROR(VLOOKUP(A758,ชื่อสินค้า!A:D,4,FALSE),)</f>
        <v>0</v>
      </c>
      <c r="C758" s="9">
        <f>IF(A758&lt;&gt;"",SUMIF(ซื้อสินค้า!B:B,A758,ซื้อสินค้า!E:E)-SUMIF(ขายสินค้า!B:B,A758,ขายสินค้า!E:E),)</f>
        <v>0</v>
      </c>
      <c r="D758" s="23">
        <f>IF(A758&lt;&gt;"",SUMIF(ซื้อสินค้า!B:B,A758,ซื้อสินค้า!M:M),)</f>
        <v>0</v>
      </c>
      <c r="E758" s="23">
        <f t="shared" si="2"/>
        <v>0</v>
      </c>
    </row>
    <row r="759" spans="1:5" ht="12.75">
      <c r="A759" s="6"/>
      <c r="B759" s="9">
        <f>IFERROR(VLOOKUP(A759,ชื่อสินค้า!A:D,4,FALSE),)</f>
        <v>0</v>
      </c>
      <c r="C759" s="9">
        <f>IF(A759&lt;&gt;"",SUMIF(ซื้อสินค้า!B:B,A759,ซื้อสินค้า!E:E)-SUMIF(ขายสินค้า!B:B,A759,ขายสินค้า!E:E),)</f>
        <v>0</v>
      </c>
      <c r="D759" s="23">
        <f>IF(A759&lt;&gt;"",SUMIF(ซื้อสินค้า!B:B,A759,ซื้อสินค้า!M:M),)</f>
        <v>0</v>
      </c>
      <c r="E759" s="23">
        <f t="shared" si="2"/>
        <v>0</v>
      </c>
    </row>
    <row r="760" spans="1:5" ht="12.75">
      <c r="A760" s="6"/>
      <c r="B760" s="9">
        <f>IFERROR(VLOOKUP(A760,ชื่อสินค้า!A:D,4,FALSE),)</f>
        <v>0</v>
      </c>
      <c r="C760" s="9">
        <f>IF(A760&lt;&gt;"",SUMIF(ซื้อสินค้า!B:B,A760,ซื้อสินค้า!E:E)-SUMIF(ขายสินค้า!B:B,A760,ขายสินค้า!E:E),)</f>
        <v>0</v>
      </c>
      <c r="D760" s="23">
        <f>IF(A760&lt;&gt;"",SUMIF(ซื้อสินค้า!B:B,A760,ซื้อสินค้า!M:M),)</f>
        <v>0</v>
      </c>
      <c r="E760" s="23">
        <f t="shared" si="2"/>
        <v>0</v>
      </c>
    </row>
    <row r="761" spans="1:5" ht="12.75">
      <c r="A761" s="6"/>
      <c r="B761" s="9">
        <f>IFERROR(VLOOKUP(A761,ชื่อสินค้า!A:D,4,FALSE),)</f>
        <v>0</v>
      </c>
      <c r="C761" s="9">
        <f>IF(A761&lt;&gt;"",SUMIF(ซื้อสินค้า!B:B,A761,ซื้อสินค้า!E:E)-SUMIF(ขายสินค้า!B:B,A761,ขายสินค้า!E:E),)</f>
        <v>0</v>
      </c>
      <c r="D761" s="23">
        <f>IF(A761&lt;&gt;"",SUMIF(ซื้อสินค้า!B:B,A761,ซื้อสินค้า!M:M),)</f>
        <v>0</v>
      </c>
      <c r="E761" s="23">
        <f t="shared" si="2"/>
        <v>0</v>
      </c>
    </row>
    <row r="762" spans="1:5" ht="12.75">
      <c r="A762" s="6"/>
      <c r="B762" s="9">
        <f>IFERROR(VLOOKUP(A762,ชื่อสินค้า!A:D,4,FALSE),)</f>
        <v>0</v>
      </c>
      <c r="C762" s="9">
        <f>IF(A762&lt;&gt;"",SUMIF(ซื้อสินค้า!B:B,A762,ซื้อสินค้า!E:E)-SUMIF(ขายสินค้า!B:B,A762,ขายสินค้า!E:E),)</f>
        <v>0</v>
      </c>
      <c r="D762" s="23">
        <f>IF(A762&lt;&gt;"",SUMIF(ซื้อสินค้า!B:B,A762,ซื้อสินค้า!M:M),)</f>
        <v>0</v>
      </c>
      <c r="E762" s="23">
        <f t="shared" si="2"/>
        <v>0</v>
      </c>
    </row>
    <row r="763" spans="1:5" ht="12.75">
      <c r="A763" s="6"/>
      <c r="B763" s="9">
        <f>IFERROR(VLOOKUP(A763,ชื่อสินค้า!A:D,4,FALSE),)</f>
        <v>0</v>
      </c>
      <c r="C763" s="9">
        <f>IF(A763&lt;&gt;"",SUMIF(ซื้อสินค้า!B:B,A763,ซื้อสินค้า!E:E)-SUMIF(ขายสินค้า!B:B,A763,ขายสินค้า!E:E),)</f>
        <v>0</v>
      </c>
      <c r="D763" s="23">
        <f>IF(A763&lt;&gt;"",SUMIF(ซื้อสินค้า!B:B,A763,ซื้อสินค้า!M:M),)</f>
        <v>0</v>
      </c>
      <c r="E763" s="23">
        <f t="shared" si="2"/>
        <v>0</v>
      </c>
    </row>
    <row r="764" spans="1:5" ht="12.75">
      <c r="A764" s="6"/>
      <c r="B764" s="9">
        <f>IFERROR(VLOOKUP(A764,ชื่อสินค้า!A:D,4,FALSE),)</f>
        <v>0</v>
      </c>
      <c r="C764" s="9">
        <f>IF(A764&lt;&gt;"",SUMIF(ซื้อสินค้า!B:B,A764,ซื้อสินค้า!E:E)-SUMIF(ขายสินค้า!B:B,A764,ขายสินค้า!E:E),)</f>
        <v>0</v>
      </c>
      <c r="D764" s="23">
        <f>IF(A764&lt;&gt;"",SUMIF(ซื้อสินค้า!B:B,A764,ซื้อสินค้า!M:M),)</f>
        <v>0</v>
      </c>
      <c r="E764" s="23">
        <f t="shared" si="2"/>
        <v>0</v>
      </c>
    </row>
    <row r="765" spans="1:5" ht="12.75">
      <c r="A765" s="6"/>
      <c r="B765" s="9">
        <f>IFERROR(VLOOKUP(A765,ชื่อสินค้า!A:D,4,FALSE),)</f>
        <v>0</v>
      </c>
      <c r="C765" s="9">
        <f>IF(A765&lt;&gt;"",SUMIF(ซื้อสินค้า!B:B,A765,ซื้อสินค้า!E:E)-SUMIF(ขายสินค้า!B:B,A765,ขายสินค้า!E:E),)</f>
        <v>0</v>
      </c>
      <c r="D765" s="23">
        <f>IF(A765&lt;&gt;"",SUMIF(ซื้อสินค้า!B:B,A765,ซื้อสินค้า!M:M),)</f>
        <v>0</v>
      </c>
      <c r="E765" s="23">
        <f t="shared" si="2"/>
        <v>0</v>
      </c>
    </row>
    <row r="766" spans="1:5" ht="12.75">
      <c r="A766" s="6"/>
      <c r="B766" s="9">
        <f>IFERROR(VLOOKUP(A766,ชื่อสินค้า!A:D,4,FALSE),)</f>
        <v>0</v>
      </c>
      <c r="C766" s="9">
        <f>IF(A766&lt;&gt;"",SUMIF(ซื้อสินค้า!B:B,A766,ซื้อสินค้า!E:E)-SUMIF(ขายสินค้า!B:B,A766,ขายสินค้า!E:E),)</f>
        <v>0</v>
      </c>
      <c r="D766" s="23">
        <f>IF(A766&lt;&gt;"",SUMIF(ซื้อสินค้า!B:B,A766,ซื้อสินค้า!M:M),)</f>
        <v>0</v>
      </c>
      <c r="E766" s="23">
        <f t="shared" si="2"/>
        <v>0</v>
      </c>
    </row>
    <row r="767" spans="1:5" ht="12.75">
      <c r="A767" s="6"/>
      <c r="B767" s="9">
        <f>IFERROR(VLOOKUP(A767,ชื่อสินค้า!A:D,4,FALSE),)</f>
        <v>0</v>
      </c>
      <c r="C767" s="9">
        <f>IF(A767&lt;&gt;"",SUMIF(ซื้อสินค้า!B:B,A767,ซื้อสินค้า!E:E)-SUMIF(ขายสินค้า!B:B,A767,ขายสินค้า!E:E),)</f>
        <v>0</v>
      </c>
      <c r="D767" s="23">
        <f>IF(A767&lt;&gt;"",SUMIF(ซื้อสินค้า!B:B,A767,ซื้อสินค้า!M:M),)</f>
        <v>0</v>
      </c>
      <c r="E767" s="23">
        <f t="shared" ref="E767:E1000" si="3">IFERROR(IF(A767&lt;&gt;"",D767/C767,),0)</f>
        <v>0</v>
      </c>
    </row>
    <row r="768" spans="1:5" ht="12.75">
      <c r="A768" s="6"/>
      <c r="B768" s="9">
        <f>IFERROR(VLOOKUP(A768,ชื่อสินค้า!A:D,4,FALSE),)</f>
        <v>0</v>
      </c>
      <c r="C768" s="9">
        <f>IF(A768&lt;&gt;"",SUMIF(ซื้อสินค้า!B:B,A768,ซื้อสินค้า!E:E)-SUMIF(ขายสินค้า!B:B,A768,ขายสินค้า!E:E),)</f>
        <v>0</v>
      </c>
      <c r="D768" s="23">
        <f>IF(A768&lt;&gt;"",SUMIF(ซื้อสินค้า!B:B,A768,ซื้อสินค้า!M:M),)</f>
        <v>0</v>
      </c>
      <c r="E768" s="23">
        <f t="shared" si="3"/>
        <v>0</v>
      </c>
    </row>
    <row r="769" spans="1:5" ht="12.75">
      <c r="A769" s="6"/>
      <c r="B769" s="9">
        <f>IFERROR(VLOOKUP(A769,ชื่อสินค้า!A:D,4,FALSE),)</f>
        <v>0</v>
      </c>
      <c r="C769" s="9">
        <f>IF(A769&lt;&gt;"",SUMIF(ซื้อสินค้า!B:B,A769,ซื้อสินค้า!E:E)-SUMIF(ขายสินค้า!B:B,A769,ขายสินค้า!E:E),)</f>
        <v>0</v>
      </c>
      <c r="D769" s="23">
        <f>IF(A769&lt;&gt;"",SUMIF(ซื้อสินค้า!B:B,A769,ซื้อสินค้า!M:M),)</f>
        <v>0</v>
      </c>
      <c r="E769" s="23">
        <f t="shared" si="3"/>
        <v>0</v>
      </c>
    </row>
    <row r="770" spans="1:5" ht="12.75">
      <c r="A770" s="6"/>
      <c r="B770" s="9">
        <f>IFERROR(VLOOKUP(A770,ชื่อสินค้า!A:D,4,FALSE),)</f>
        <v>0</v>
      </c>
      <c r="C770" s="9">
        <f>IF(A770&lt;&gt;"",SUMIF(ซื้อสินค้า!B:B,A770,ซื้อสินค้า!E:E)-SUMIF(ขายสินค้า!B:B,A770,ขายสินค้า!E:E),)</f>
        <v>0</v>
      </c>
      <c r="D770" s="23">
        <f>IF(A770&lt;&gt;"",SUMIF(ซื้อสินค้า!B:B,A770,ซื้อสินค้า!M:M),)</f>
        <v>0</v>
      </c>
      <c r="E770" s="23">
        <f t="shared" si="3"/>
        <v>0</v>
      </c>
    </row>
    <row r="771" spans="1:5" ht="12.75">
      <c r="A771" s="6"/>
      <c r="B771" s="9">
        <f>IFERROR(VLOOKUP(A771,ชื่อสินค้า!A:D,4,FALSE),)</f>
        <v>0</v>
      </c>
      <c r="C771" s="9">
        <f>IF(A771&lt;&gt;"",SUMIF(ซื้อสินค้า!B:B,A771,ซื้อสินค้า!E:E)-SUMIF(ขายสินค้า!B:B,A771,ขายสินค้า!E:E),)</f>
        <v>0</v>
      </c>
      <c r="D771" s="23">
        <f>IF(A771&lt;&gt;"",SUMIF(ซื้อสินค้า!B:B,A771,ซื้อสินค้า!M:M),)</f>
        <v>0</v>
      </c>
      <c r="E771" s="23">
        <f t="shared" si="3"/>
        <v>0</v>
      </c>
    </row>
    <row r="772" spans="1:5" ht="12.75">
      <c r="A772" s="6"/>
      <c r="B772" s="9">
        <f>IFERROR(VLOOKUP(A772,ชื่อสินค้า!A:D,4,FALSE),)</f>
        <v>0</v>
      </c>
      <c r="C772" s="9">
        <f>IF(A772&lt;&gt;"",SUMIF(ซื้อสินค้า!B:B,A772,ซื้อสินค้า!E:E)-SUMIF(ขายสินค้า!B:B,A772,ขายสินค้า!E:E),)</f>
        <v>0</v>
      </c>
      <c r="D772" s="23">
        <f>IF(A772&lt;&gt;"",SUMIF(ซื้อสินค้า!B:B,A772,ซื้อสินค้า!M:M),)</f>
        <v>0</v>
      </c>
      <c r="E772" s="23">
        <f t="shared" si="3"/>
        <v>0</v>
      </c>
    </row>
    <row r="773" spans="1:5" ht="12.75">
      <c r="A773" s="6"/>
      <c r="B773" s="9">
        <f>IFERROR(VLOOKUP(A773,ชื่อสินค้า!A:D,4,FALSE),)</f>
        <v>0</v>
      </c>
      <c r="C773" s="9">
        <f>IF(A773&lt;&gt;"",SUMIF(ซื้อสินค้า!B:B,A773,ซื้อสินค้า!E:E)-SUMIF(ขายสินค้า!B:B,A773,ขายสินค้า!E:E),)</f>
        <v>0</v>
      </c>
      <c r="D773" s="23">
        <f>IF(A773&lt;&gt;"",SUMIF(ซื้อสินค้า!B:B,A773,ซื้อสินค้า!M:M),)</f>
        <v>0</v>
      </c>
      <c r="E773" s="23">
        <f t="shared" si="3"/>
        <v>0</v>
      </c>
    </row>
    <row r="774" spans="1:5" ht="12.75">
      <c r="A774" s="6"/>
      <c r="B774" s="9">
        <f>IFERROR(VLOOKUP(A774,ชื่อสินค้า!A:D,4,FALSE),)</f>
        <v>0</v>
      </c>
      <c r="C774" s="9">
        <f>IF(A774&lt;&gt;"",SUMIF(ซื้อสินค้า!B:B,A774,ซื้อสินค้า!E:E)-SUMIF(ขายสินค้า!B:B,A774,ขายสินค้า!E:E),)</f>
        <v>0</v>
      </c>
      <c r="D774" s="23">
        <f>IF(A774&lt;&gt;"",SUMIF(ซื้อสินค้า!B:B,A774,ซื้อสินค้า!M:M),)</f>
        <v>0</v>
      </c>
      <c r="E774" s="23">
        <f t="shared" si="3"/>
        <v>0</v>
      </c>
    </row>
    <row r="775" spans="1:5" ht="12.75">
      <c r="A775" s="6"/>
      <c r="B775" s="9">
        <f>IFERROR(VLOOKUP(A775,ชื่อสินค้า!A:D,4,FALSE),)</f>
        <v>0</v>
      </c>
      <c r="C775" s="9">
        <f>IF(A775&lt;&gt;"",SUMIF(ซื้อสินค้า!B:B,A775,ซื้อสินค้า!E:E)-SUMIF(ขายสินค้า!B:B,A775,ขายสินค้า!E:E),)</f>
        <v>0</v>
      </c>
      <c r="D775" s="23">
        <f>IF(A775&lt;&gt;"",SUMIF(ซื้อสินค้า!B:B,A775,ซื้อสินค้า!M:M),)</f>
        <v>0</v>
      </c>
      <c r="E775" s="23">
        <f t="shared" si="3"/>
        <v>0</v>
      </c>
    </row>
    <row r="776" spans="1:5" ht="12.75">
      <c r="A776" s="6"/>
      <c r="B776" s="9">
        <f>IFERROR(VLOOKUP(A776,ชื่อสินค้า!A:D,4,FALSE),)</f>
        <v>0</v>
      </c>
      <c r="C776" s="9">
        <f>IF(A776&lt;&gt;"",SUMIF(ซื้อสินค้า!B:B,A776,ซื้อสินค้า!E:E)-SUMIF(ขายสินค้า!B:B,A776,ขายสินค้า!E:E),)</f>
        <v>0</v>
      </c>
      <c r="D776" s="23">
        <f>IF(A776&lt;&gt;"",SUMIF(ซื้อสินค้า!B:B,A776,ซื้อสินค้า!M:M),)</f>
        <v>0</v>
      </c>
      <c r="E776" s="23">
        <f t="shared" si="3"/>
        <v>0</v>
      </c>
    </row>
    <row r="777" spans="1:5" ht="12.75">
      <c r="A777" s="6"/>
      <c r="B777" s="9">
        <f>IFERROR(VLOOKUP(A777,ชื่อสินค้า!A:D,4,FALSE),)</f>
        <v>0</v>
      </c>
      <c r="C777" s="9">
        <f>IF(A777&lt;&gt;"",SUMIF(ซื้อสินค้า!B:B,A777,ซื้อสินค้า!E:E)-SUMIF(ขายสินค้า!B:B,A777,ขายสินค้า!E:E),)</f>
        <v>0</v>
      </c>
      <c r="D777" s="23">
        <f>IF(A777&lt;&gt;"",SUMIF(ซื้อสินค้า!B:B,A777,ซื้อสินค้า!M:M),)</f>
        <v>0</v>
      </c>
      <c r="E777" s="23">
        <f t="shared" si="3"/>
        <v>0</v>
      </c>
    </row>
    <row r="778" spans="1:5" ht="12.75">
      <c r="A778" s="6"/>
      <c r="B778" s="9">
        <f>IFERROR(VLOOKUP(A778,ชื่อสินค้า!A:D,4,FALSE),)</f>
        <v>0</v>
      </c>
      <c r="C778" s="9">
        <f>IF(A778&lt;&gt;"",SUMIF(ซื้อสินค้า!B:B,A778,ซื้อสินค้า!E:E)-SUMIF(ขายสินค้า!B:B,A778,ขายสินค้า!E:E),)</f>
        <v>0</v>
      </c>
      <c r="D778" s="23">
        <f>IF(A778&lt;&gt;"",SUMIF(ซื้อสินค้า!B:B,A778,ซื้อสินค้า!M:M),)</f>
        <v>0</v>
      </c>
      <c r="E778" s="23">
        <f t="shared" si="3"/>
        <v>0</v>
      </c>
    </row>
    <row r="779" spans="1:5" ht="12.75">
      <c r="A779" s="6"/>
      <c r="B779" s="9">
        <f>IFERROR(VLOOKUP(A779,ชื่อสินค้า!A:D,4,FALSE),)</f>
        <v>0</v>
      </c>
      <c r="C779" s="9">
        <f>IF(A779&lt;&gt;"",SUMIF(ซื้อสินค้า!B:B,A779,ซื้อสินค้า!E:E)-SUMIF(ขายสินค้า!B:B,A779,ขายสินค้า!E:E),)</f>
        <v>0</v>
      </c>
      <c r="D779" s="23">
        <f>IF(A779&lt;&gt;"",SUMIF(ซื้อสินค้า!B:B,A779,ซื้อสินค้า!M:M),)</f>
        <v>0</v>
      </c>
      <c r="E779" s="23">
        <f t="shared" si="3"/>
        <v>0</v>
      </c>
    </row>
    <row r="780" spans="1:5" ht="12.75">
      <c r="A780" s="6"/>
      <c r="B780" s="9">
        <f>IFERROR(VLOOKUP(A780,ชื่อสินค้า!A:D,4,FALSE),)</f>
        <v>0</v>
      </c>
      <c r="C780" s="9">
        <f>IF(A780&lt;&gt;"",SUMIF(ซื้อสินค้า!B:B,A780,ซื้อสินค้า!E:E)-SUMIF(ขายสินค้า!B:B,A780,ขายสินค้า!E:E),)</f>
        <v>0</v>
      </c>
      <c r="D780" s="23">
        <f>IF(A780&lt;&gt;"",SUMIF(ซื้อสินค้า!B:B,A780,ซื้อสินค้า!M:M),)</f>
        <v>0</v>
      </c>
      <c r="E780" s="23">
        <f t="shared" si="3"/>
        <v>0</v>
      </c>
    </row>
    <row r="781" spans="1:5" ht="12.75">
      <c r="A781" s="6"/>
      <c r="B781" s="9">
        <f>IFERROR(VLOOKUP(A781,ชื่อสินค้า!A:D,4,FALSE),)</f>
        <v>0</v>
      </c>
      <c r="C781" s="9">
        <f>IF(A781&lt;&gt;"",SUMIF(ซื้อสินค้า!B:B,A781,ซื้อสินค้า!E:E)-SUMIF(ขายสินค้า!B:B,A781,ขายสินค้า!E:E),)</f>
        <v>0</v>
      </c>
      <c r="D781" s="23">
        <f>IF(A781&lt;&gt;"",SUMIF(ซื้อสินค้า!B:B,A781,ซื้อสินค้า!M:M),)</f>
        <v>0</v>
      </c>
      <c r="E781" s="23">
        <f t="shared" si="3"/>
        <v>0</v>
      </c>
    </row>
    <row r="782" spans="1:5" ht="12.75">
      <c r="A782" s="6"/>
      <c r="B782" s="9">
        <f>IFERROR(VLOOKUP(A782,ชื่อสินค้า!A:D,4,FALSE),)</f>
        <v>0</v>
      </c>
      <c r="C782" s="9">
        <f>IF(A782&lt;&gt;"",SUMIF(ซื้อสินค้า!B:B,A782,ซื้อสินค้า!E:E)-SUMIF(ขายสินค้า!B:B,A782,ขายสินค้า!E:E),)</f>
        <v>0</v>
      </c>
      <c r="D782" s="23">
        <f>IF(A782&lt;&gt;"",SUMIF(ซื้อสินค้า!B:B,A782,ซื้อสินค้า!M:M),)</f>
        <v>0</v>
      </c>
      <c r="E782" s="23">
        <f t="shared" si="3"/>
        <v>0</v>
      </c>
    </row>
    <row r="783" spans="1:5" ht="12.75">
      <c r="A783" s="6"/>
      <c r="B783" s="9">
        <f>IFERROR(VLOOKUP(A783,ชื่อสินค้า!A:D,4,FALSE),)</f>
        <v>0</v>
      </c>
      <c r="C783" s="9">
        <f>IF(A783&lt;&gt;"",SUMIF(ซื้อสินค้า!B:B,A783,ซื้อสินค้า!E:E)-SUMIF(ขายสินค้า!B:B,A783,ขายสินค้า!E:E),)</f>
        <v>0</v>
      </c>
      <c r="D783" s="23">
        <f>IF(A783&lt;&gt;"",SUMIF(ซื้อสินค้า!B:B,A783,ซื้อสินค้า!M:M),)</f>
        <v>0</v>
      </c>
      <c r="E783" s="23">
        <f t="shared" si="3"/>
        <v>0</v>
      </c>
    </row>
    <row r="784" spans="1:5" ht="12.75">
      <c r="A784" s="6"/>
      <c r="B784" s="9">
        <f>IFERROR(VLOOKUP(A784,ชื่อสินค้า!A:D,4,FALSE),)</f>
        <v>0</v>
      </c>
      <c r="C784" s="9">
        <f>IF(A784&lt;&gt;"",SUMIF(ซื้อสินค้า!B:B,A784,ซื้อสินค้า!E:E)-SUMIF(ขายสินค้า!B:B,A784,ขายสินค้า!E:E),)</f>
        <v>0</v>
      </c>
      <c r="D784" s="23">
        <f>IF(A784&lt;&gt;"",SUMIF(ซื้อสินค้า!B:B,A784,ซื้อสินค้า!M:M),)</f>
        <v>0</v>
      </c>
      <c r="E784" s="23">
        <f t="shared" si="3"/>
        <v>0</v>
      </c>
    </row>
    <row r="785" spans="1:5" ht="12.75">
      <c r="A785" s="6"/>
      <c r="B785" s="9">
        <f>IFERROR(VLOOKUP(A785,ชื่อสินค้า!A:D,4,FALSE),)</f>
        <v>0</v>
      </c>
      <c r="C785" s="9">
        <f>IF(A785&lt;&gt;"",SUMIF(ซื้อสินค้า!B:B,A785,ซื้อสินค้า!E:E)-SUMIF(ขายสินค้า!B:B,A785,ขายสินค้า!E:E),)</f>
        <v>0</v>
      </c>
      <c r="D785" s="23">
        <f>IF(A785&lt;&gt;"",SUMIF(ซื้อสินค้า!B:B,A785,ซื้อสินค้า!M:M),)</f>
        <v>0</v>
      </c>
      <c r="E785" s="23">
        <f t="shared" si="3"/>
        <v>0</v>
      </c>
    </row>
    <row r="786" spans="1:5" ht="12.75">
      <c r="A786" s="6"/>
      <c r="B786" s="9">
        <f>IFERROR(VLOOKUP(A786,ชื่อสินค้า!A:D,4,FALSE),)</f>
        <v>0</v>
      </c>
      <c r="C786" s="9">
        <f>IF(A786&lt;&gt;"",SUMIF(ซื้อสินค้า!B:B,A786,ซื้อสินค้า!E:E)-SUMIF(ขายสินค้า!B:B,A786,ขายสินค้า!E:E),)</f>
        <v>0</v>
      </c>
      <c r="D786" s="23">
        <f>IF(A786&lt;&gt;"",SUMIF(ซื้อสินค้า!B:B,A786,ซื้อสินค้า!M:M),)</f>
        <v>0</v>
      </c>
      <c r="E786" s="23">
        <f t="shared" si="3"/>
        <v>0</v>
      </c>
    </row>
    <row r="787" spans="1:5" ht="12.75">
      <c r="A787" s="6"/>
      <c r="B787" s="9">
        <f>IFERROR(VLOOKUP(A787,ชื่อสินค้า!A:D,4,FALSE),)</f>
        <v>0</v>
      </c>
      <c r="C787" s="9">
        <f>IF(A787&lt;&gt;"",SUMIF(ซื้อสินค้า!B:B,A787,ซื้อสินค้า!E:E)-SUMIF(ขายสินค้า!B:B,A787,ขายสินค้า!E:E),)</f>
        <v>0</v>
      </c>
      <c r="D787" s="23">
        <f>IF(A787&lt;&gt;"",SUMIF(ซื้อสินค้า!B:B,A787,ซื้อสินค้า!M:M),)</f>
        <v>0</v>
      </c>
      <c r="E787" s="23">
        <f t="shared" si="3"/>
        <v>0</v>
      </c>
    </row>
    <row r="788" spans="1:5" ht="12.75">
      <c r="A788" s="6"/>
      <c r="B788" s="9">
        <f>IFERROR(VLOOKUP(A788,ชื่อสินค้า!A:D,4,FALSE),)</f>
        <v>0</v>
      </c>
      <c r="C788" s="9">
        <f>IF(A788&lt;&gt;"",SUMIF(ซื้อสินค้า!B:B,A788,ซื้อสินค้า!E:E)-SUMIF(ขายสินค้า!B:B,A788,ขายสินค้า!E:E),)</f>
        <v>0</v>
      </c>
      <c r="D788" s="23">
        <f>IF(A788&lt;&gt;"",SUMIF(ซื้อสินค้า!B:B,A788,ซื้อสินค้า!M:M),)</f>
        <v>0</v>
      </c>
      <c r="E788" s="23">
        <f t="shared" si="3"/>
        <v>0</v>
      </c>
    </row>
    <row r="789" spans="1:5" ht="12.75">
      <c r="A789" s="6"/>
      <c r="B789" s="9">
        <f>IFERROR(VLOOKUP(A789,ชื่อสินค้า!A:D,4,FALSE),)</f>
        <v>0</v>
      </c>
      <c r="C789" s="9">
        <f>IF(A789&lt;&gt;"",SUMIF(ซื้อสินค้า!B:B,A789,ซื้อสินค้า!E:E)-SUMIF(ขายสินค้า!B:B,A789,ขายสินค้า!E:E),)</f>
        <v>0</v>
      </c>
      <c r="D789" s="23">
        <f>IF(A789&lt;&gt;"",SUMIF(ซื้อสินค้า!B:B,A789,ซื้อสินค้า!M:M),)</f>
        <v>0</v>
      </c>
      <c r="E789" s="23">
        <f t="shared" si="3"/>
        <v>0</v>
      </c>
    </row>
    <row r="790" spans="1:5" ht="12.75">
      <c r="A790" s="6"/>
      <c r="B790" s="9">
        <f>IFERROR(VLOOKUP(A790,ชื่อสินค้า!A:D,4,FALSE),)</f>
        <v>0</v>
      </c>
      <c r="C790" s="9">
        <f>IF(A790&lt;&gt;"",SUMIF(ซื้อสินค้า!B:B,A790,ซื้อสินค้า!E:E)-SUMIF(ขายสินค้า!B:B,A790,ขายสินค้า!E:E),)</f>
        <v>0</v>
      </c>
      <c r="D790" s="23">
        <f>IF(A790&lt;&gt;"",SUMIF(ซื้อสินค้า!B:B,A790,ซื้อสินค้า!M:M),)</f>
        <v>0</v>
      </c>
      <c r="E790" s="23">
        <f t="shared" si="3"/>
        <v>0</v>
      </c>
    </row>
    <row r="791" spans="1:5" ht="12.75">
      <c r="A791" s="6"/>
      <c r="B791" s="9">
        <f>IFERROR(VLOOKUP(A791,ชื่อสินค้า!A:D,4,FALSE),)</f>
        <v>0</v>
      </c>
      <c r="C791" s="9">
        <f>IF(A791&lt;&gt;"",SUMIF(ซื้อสินค้า!B:B,A791,ซื้อสินค้า!E:E)-SUMIF(ขายสินค้า!B:B,A791,ขายสินค้า!E:E),)</f>
        <v>0</v>
      </c>
      <c r="D791" s="23">
        <f>IF(A791&lt;&gt;"",SUMIF(ซื้อสินค้า!B:B,A791,ซื้อสินค้า!M:M),)</f>
        <v>0</v>
      </c>
      <c r="E791" s="23">
        <f t="shared" si="3"/>
        <v>0</v>
      </c>
    </row>
    <row r="792" spans="1:5" ht="12.75">
      <c r="A792" s="6"/>
      <c r="B792" s="9">
        <f>IFERROR(VLOOKUP(A792,ชื่อสินค้า!A:D,4,FALSE),)</f>
        <v>0</v>
      </c>
      <c r="C792" s="9">
        <f>IF(A792&lt;&gt;"",SUMIF(ซื้อสินค้า!B:B,A792,ซื้อสินค้า!E:E)-SUMIF(ขายสินค้า!B:B,A792,ขายสินค้า!E:E),)</f>
        <v>0</v>
      </c>
      <c r="D792" s="23">
        <f>IF(A792&lt;&gt;"",SUMIF(ซื้อสินค้า!B:B,A792,ซื้อสินค้า!M:M),)</f>
        <v>0</v>
      </c>
      <c r="E792" s="23">
        <f t="shared" si="3"/>
        <v>0</v>
      </c>
    </row>
    <row r="793" spans="1:5" ht="12.75">
      <c r="A793" s="6"/>
      <c r="B793" s="9">
        <f>IFERROR(VLOOKUP(A793,ชื่อสินค้า!A:D,4,FALSE),)</f>
        <v>0</v>
      </c>
      <c r="C793" s="9">
        <f>IF(A793&lt;&gt;"",SUMIF(ซื้อสินค้า!B:B,A793,ซื้อสินค้า!E:E)-SUMIF(ขายสินค้า!B:B,A793,ขายสินค้า!E:E),)</f>
        <v>0</v>
      </c>
      <c r="D793" s="23">
        <f>IF(A793&lt;&gt;"",SUMIF(ซื้อสินค้า!B:B,A793,ซื้อสินค้า!M:M),)</f>
        <v>0</v>
      </c>
      <c r="E793" s="23">
        <f t="shared" si="3"/>
        <v>0</v>
      </c>
    </row>
    <row r="794" spans="1:5" ht="12.75">
      <c r="A794" s="6"/>
      <c r="B794" s="9">
        <f>IFERROR(VLOOKUP(A794,ชื่อสินค้า!A:D,4,FALSE),)</f>
        <v>0</v>
      </c>
      <c r="C794" s="9">
        <f>IF(A794&lt;&gt;"",SUMIF(ซื้อสินค้า!B:B,A794,ซื้อสินค้า!E:E)-SUMIF(ขายสินค้า!B:B,A794,ขายสินค้า!E:E),)</f>
        <v>0</v>
      </c>
      <c r="D794" s="23">
        <f>IF(A794&lt;&gt;"",SUMIF(ซื้อสินค้า!B:B,A794,ซื้อสินค้า!M:M),)</f>
        <v>0</v>
      </c>
      <c r="E794" s="23">
        <f t="shared" si="3"/>
        <v>0</v>
      </c>
    </row>
    <row r="795" spans="1:5" ht="12.75">
      <c r="A795" s="6"/>
      <c r="B795" s="9">
        <f>IFERROR(VLOOKUP(A795,ชื่อสินค้า!A:D,4,FALSE),)</f>
        <v>0</v>
      </c>
      <c r="C795" s="9">
        <f>IF(A795&lt;&gt;"",SUMIF(ซื้อสินค้า!B:B,A795,ซื้อสินค้า!E:E)-SUMIF(ขายสินค้า!B:B,A795,ขายสินค้า!E:E),)</f>
        <v>0</v>
      </c>
      <c r="D795" s="23">
        <f>IF(A795&lt;&gt;"",SUMIF(ซื้อสินค้า!B:B,A795,ซื้อสินค้า!M:M),)</f>
        <v>0</v>
      </c>
      <c r="E795" s="23">
        <f t="shared" si="3"/>
        <v>0</v>
      </c>
    </row>
    <row r="796" spans="1:5" ht="12.75">
      <c r="A796" s="6"/>
      <c r="B796" s="9">
        <f>IFERROR(VLOOKUP(A796,ชื่อสินค้า!A:D,4,FALSE),)</f>
        <v>0</v>
      </c>
      <c r="C796" s="9">
        <f>IF(A796&lt;&gt;"",SUMIF(ซื้อสินค้า!B:B,A796,ซื้อสินค้า!E:E)-SUMIF(ขายสินค้า!B:B,A796,ขายสินค้า!E:E),)</f>
        <v>0</v>
      </c>
      <c r="D796" s="23">
        <f>IF(A796&lt;&gt;"",SUMIF(ซื้อสินค้า!B:B,A796,ซื้อสินค้า!M:M),)</f>
        <v>0</v>
      </c>
      <c r="E796" s="23">
        <f t="shared" si="3"/>
        <v>0</v>
      </c>
    </row>
    <row r="797" spans="1:5" ht="12.75">
      <c r="A797" s="6"/>
      <c r="B797" s="9">
        <f>IFERROR(VLOOKUP(A797,ชื่อสินค้า!A:D,4,FALSE),)</f>
        <v>0</v>
      </c>
      <c r="C797" s="9">
        <f>IF(A797&lt;&gt;"",SUMIF(ซื้อสินค้า!B:B,A797,ซื้อสินค้า!E:E)-SUMIF(ขายสินค้า!B:B,A797,ขายสินค้า!E:E),)</f>
        <v>0</v>
      </c>
      <c r="D797" s="23">
        <f>IF(A797&lt;&gt;"",SUMIF(ซื้อสินค้า!B:B,A797,ซื้อสินค้า!M:M),)</f>
        <v>0</v>
      </c>
      <c r="E797" s="23">
        <f t="shared" si="3"/>
        <v>0</v>
      </c>
    </row>
    <row r="798" spans="1:5" ht="12.75">
      <c r="A798" s="6"/>
      <c r="B798" s="9">
        <f>IFERROR(VLOOKUP(A798,ชื่อสินค้า!A:D,4,FALSE),)</f>
        <v>0</v>
      </c>
      <c r="C798" s="9">
        <f>IF(A798&lt;&gt;"",SUMIF(ซื้อสินค้า!B:B,A798,ซื้อสินค้า!E:E)-SUMIF(ขายสินค้า!B:B,A798,ขายสินค้า!E:E),)</f>
        <v>0</v>
      </c>
      <c r="D798" s="23">
        <f>IF(A798&lt;&gt;"",SUMIF(ซื้อสินค้า!B:B,A798,ซื้อสินค้า!M:M),)</f>
        <v>0</v>
      </c>
      <c r="E798" s="23">
        <f t="shared" si="3"/>
        <v>0</v>
      </c>
    </row>
    <row r="799" spans="1:5" ht="12.75">
      <c r="A799" s="6"/>
      <c r="B799" s="9">
        <f>IFERROR(VLOOKUP(A799,ชื่อสินค้า!A:D,4,FALSE),)</f>
        <v>0</v>
      </c>
      <c r="C799" s="9">
        <f>IF(A799&lt;&gt;"",SUMIF(ซื้อสินค้า!B:B,A799,ซื้อสินค้า!E:E)-SUMIF(ขายสินค้า!B:B,A799,ขายสินค้า!E:E),)</f>
        <v>0</v>
      </c>
      <c r="D799" s="23">
        <f>IF(A799&lt;&gt;"",SUMIF(ซื้อสินค้า!B:B,A799,ซื้อสินค้า!M:M),)</f>
        <v>0</v>
      </c>
      <c r="E799" s="23">
        <f t="shared" si="3"/>
        <v>0</v>
      </c>
    </row>
    <row r="800" spans="1:5" ht="12.75">
      <c r="A800" s="6"/>
      <c r="B800" s="9">
        <f>IFERROR(VLOOKUP(A800,ชื่อสินค้า!A:D,4,FALSE),)</f>
        <v>0</v>
      </c>
      <c r="C800" s="9">
        <f>IF(A800&lt;&gt;"",SUMIF(ซื้อสินค้า!B:B,A800,ซื้อสินค้า!E:E)-SUMIF(ขายสินค้า!B:B,A800,ขายสินค้า!E:E),)</f>
        <v>0</v>
      </c>
      <c r="D800" s="23">
        <f>IF(A800&lt;&gt;"",SUMIF(ซื้อสินค้า!B:B,A800,ซื้อสินค้า!M:M),)</f>
        <v>0</v>
      </c>
      <c r="E800" s="23">
        <f t="shared" si="3"/>
        <v>0</v>
      </c>
    </row>
    <row r="801" spans="1:5" ht="12.75">
      <c r="A801" s="6"/>
      <c r="B801" s="9">
        <f>IFERROR(VLOOKUP(A801,ชื่อสินค้า!A:D,4,FALSE),)</f>
        <v>0</v>
      </c>
      <c r="C801" s="9">
        <f>IF(A801&lt;&gt;"",SUMIF(ซื้อสินค้า!B:B,A801,ซื้อสินค้า!E:E)-SUMIF(ขายสินค้า!B:B,A801,ขายสินค้า!E:E),)</f>
        <v>0</v>
      </c>
      <c r="D801" s="23">
        <f>IF(A801&lt;&gt;"",SUMIF(ซื้อสินค้า!B:B,A801,ซื้อสินค้า!M:M),)</f>
        <v>0</v>
      </c>
      <c r="E801" s="23">
        <f t="shared" si="3"/>
        <v>0</v>
      </c>
    </row>
    <row r="802" spans="1:5" ht="12.75">
      <c r="A802" s="6"/>
      <c r="B802" s="9">
        <f>IFERROR(VLOOKUP(A802,ชื่อสินค้า!A:D,4,FALSE),)</f>
        <v>0</v>
      </c>
      <c r="C802" s="9">
        <f>IF(A802&lt;&gt;"",SUMIF(ซื้อสินค้า!B:B,A802,ซื้อสินค้า!E:E)-SUMIF(ขายสินค้า!B:B,A802,ขายสินค้า!E:E),)</f>
        <v>0</v>
      </c>
      <c r="D802" s="23">
        <f>IF(A802&lt;&gt;"",SUMIF(ซื้อสินค้า!B:B,A802,ซื้อสินค้า!M:M),)</f>
        <v>0</v>
      </c>
      <c r="E802" s="23">
        <f t="shared" si="3"/>
        <v>0</v>
      </c>
    </row>
    <row r="803" spans="1:5" ht="12.75">
      <c r="A803" s="6"/>
      <c r="B803" s="9">
        <f>IFERROR(VLOOKUP(A803,ชื่อสินค้า!A:D,4,FALSE),)</f>
        <v>0</v>
      </c>
      <c r="C803" s="9">
        <f>IF(A803&lt;&gt;"",SUMIF(ซื้อสินค้า!B:B,A803,ซื้อสินค้า!E:E)-SUMIF(ขายสินค้า!B:B,A803,ขายสินค้า!E:E),)</f>
        <v>0</v>
      </c>
      <c r="D803" s="23">
        <f>IF(A803&lt;&gt;"",SUMIF(ซื้อสินค้า!B:B,A803,ซื้อสินค้า!M:M),)</f>
        <v>0</v>
      </c>
      <c r="E803" s="23">
        <f t="shared" si="3"/>
        <v>0</v>
      </c>
    </row>
    <row r="804" spans="1:5" ht="12.75">
      <c r="A804" s="6"/>
      <c r="B804" s="9">
        <f>IFERROR(VLOOKUP(A804,ชื่อสินค้า!A:D,4,FALSE),)</f>
        <v>0</v>
      </c>
      <c r="C804" s="9">
        <f>IF(A804&lt;&gt;"",SUMIF(ซื้อสินค้า!B:B,A804,ซื้อสินค้า!E:E)-SUMIF(ขายสินค้า!B:B,A804,ขายสินค้า!E:E),)</f>
        <v>0</v>
      </c>
      <c r="D804" s="23">
        <f>IF(A804&lt;&gt;"",SUMIF(ซื้อสินค้า!B:B,A804,ซื้อสินค้า!M:M),)</f>
        <v>0</v>
      </c>
      <c r="E804" s="23">
        <f t="shared" si="3"/>
        <v>0</v>
      </c>
    </row>
    <row r="805" spans="1:5" ht="12.75">
      <c r="A805" s="6"/>
      <c r="B805" s="9">
        <f>IFERROR(VLOOKUP(A805,ชื่อสินค้า!A:D,4,FALSE),)</f>
        <v>0</v>
      </c>
      <c r="C805" s="9">
        <f>IF(A805&lt;&gt;"",SUMIF(ซื้อสินค้า!B:B,A805,ซื้อสินค้า!E:E)-SUMIF(ขายสินค้า!B:B,A805,ขายสินค้า!E:E),)</f>
        <v>0</v>
      </c>
      <c r="D805" s="23">
        <f>IF(A805&lt;&gt;"",SUMIF(ซื้อสินค้า!B:B,A805,ซื้อสินค้า!M:M),)</f>
        <v>0</v>
      </c>
      <c r="E805" s="23">
        <f t="shared" si="3"/>
        <v>0</v>
      </c>
    </row>
    <row r="806" spans="1:5" ht="12.75">
      <c r="A806" s="6"/>
      <c r="B806" s="9">
        <f>IFERROR(VLOOKUP(A806,ชื่อสินค้า!A:D,4,FALSE),)</f>
        <v>0</v>
      </c>
      <c r="C806" s="9">
        <f>IF(A806&lt;&gt;"",SUMIF(ซื้อสินค้า!B:B,A806,ซื้อสินค้า!E:E)-SUMIF(ขายสินค้า!B:B,A806,ขายสินค้า!E:E),)</f>
        <v>0</v>
      </c>
      <c r="D806" s="23">
        <f>IF(A806&lt;&gt;"",SUMIF(ซื้อสินค้า!B:B,A806,ซื้อสินค้า!M:M),)</f>
        <v>0</v>
      </c>
      <c r="E806" s="23">
        <f t="shared" si="3"/>
        <v>0</v>
      </c>
    </row>
    <row r="807" spans="1:5" ht="12.75">
      <c r="A807" s="6"/>
      <c r="B807" s="9">
        <f>IFERROR(VLOOKUP(A807,ชื่อสินค้า!A:D,4,FALSE),)</f>
        <v>0</v>
      </c>
      <c r="C807" s="9">
        <f>IF(A807&lt;&gt;"",SUMIF(ซื้อสินค้า!B:B,A807,ซื้อสินค้า!E:E)-SUMIF(ขายสินค้า!B:B,A807,ขายสินค้า!E:E),)</f>
        <v>0</v>
      </c>
      <c r="D807" s="23">
        <f>IF(A807&lt;&gt;"",SUMIF(ซื้อสินค้า!B:B,A807,ซื้อสินค้า!M:M),)</f>
        <v>0</v>
      </c>
      <c r="E807" s="23">
        <f t="shared" si="3"/>
        <v>0</v>
      </c>
    </row>
    <row r="808" spans="1:5" ht="12.75">
      <c r="A808" s="6"/>
      <c r="B808" s="9">
        <f>IFERROR(VLOOKUP(A808,ชื่อสินค้า!A:D,4,FALSE),)</f>
        <v>0</v>
      </c>
      <c r="C808" s="9">
        <f>IF(A808&lt;&gt;"",SUMIF(ซื้อสินค้า!B:B,A808,ซื้อสินค้า!E:E)-SUMIF(ขายสินค้า!B:B,A808,ขายสินค้า!E:E),)</f>
        <v>0</v>
      </c>
      <c r="D808" s="23">
        <f>IF(A808&lt;&gt;"",SUMIF(ซื้อสินค้า!B:B,A808,ซื้อสินค้า!M:M),)</f>
        <v>0</v>
      </c>
      <c r="E808" s="23">
        <f t="shared" si="3"/>
        <v>0</v>
      </c>
    </row>
    <row r="809" spans="1:5" ht="12.75">
      <c r="A809" s="6"/>
      <c r="B809" s="9">
        <f>IFERROR(VLOOKUP(A809,ชื่อสินค้า!A:D,4,FALSE),)</f>
        <v>0</v>
      </c>
      <c r="C809" s="9">
        <f>IF(A809&lt;&gt;"",SUMIF(ซื้อสินค้า!B:B,A809,ซื้อสินค้า!E:E)-SUMIF(ขายสินค้า!B:B,A809,ขายสินค้า!E:E),)</f>
        <v>0</v>
      </c>
      <c r="D809" s="23">
        <f>IF(A809&lt;&gt;"",SUMIF(ซื้อสินค้า!B:B,A809,ซื้อสินค้า!M:M),)</f>
        <v>0</v>
      </c>
      <c r="E809" s="23">
        <f t="shared" si="3"/>
        <v>0</v>
      </c>
    </row>
    <row r="810" spans="1:5" ht="12.75">
      <c r="A810" s="6"/>
      <c r="B810" s="9">
        <f>IFERROR(VLOOKUP(A810,ชื่อสินค้า!A:D,4,FALSE),)</f>
        <v>0</v>
      </c>
      <c r="C810" s="9">
        <f>IF(A810&lt;&gt;"",SUMIF(ซื้อสินค้า!B:B,A810,ซื้อสินค้า!E:E)-SUMIF(ขายสินค้า!B:B,A810,ขายสินค้า!E:E),)</f>
        <v>0</v>
      </c>
      <c r="D810" s="23">
        <f>IF(A810&lt;&gt;"",SUMIF(ซื้อสินค้า!B:B,A810,ซื้อสินค้า!M:M),)</f>
        <v>0</v>
      </c>
      <c r="E810" s="23">
        <f t="shared" si="3"/>
        <v>0</v>
      </c>
    </row>
    <row r="811" spans="1:5" ht="12.75">
      <c r="A811" s="6"/>
      <c r="B811" s="9">
        <f>IFERROR(VLOOKUP(A811,ชื่อสินค้า!A:D,4,FALSE),)</f>
        <v>0</v>
      </c>
      <c r="C811" s="9">
        <f>IF(A811&lt;&gt;"",SUMIF(ซื้อสินค้า!B:B,A811,ซื้อสินค้า!E:E)-SUMIF(ขายสินค้า!B:B,A811,ขายสินค้า!E:E),)</f>
        <v>0</v>
      </c>
      <c r="D811" s="23">
        <f>IF(A811&lt;&gt;"",SUMIF(ซื้อสินค้า!B:B,A811,ซื้อสินค้า!M:M),)</f>
        <v>0</v>
      </c>
      <c r="E811" s="23">
        <f t="shared" si="3"/>
        <v>0</v>
      </c>
    </row>
    <row r="812" spans="1:5" ht="12.75">
      <c r="A812" s="6"/>
      <c r="B812" s="9">
        <f>IFERROR(VLOOKUP(A812,ชื่อสินค้า!A:D,4,FALSE),)</f>
        <v>0</v>
      </c>
      <c r="C812" s="9">
        <f>IF(A812&lt;&gt;"",SUMIF(ซื้อสินค้า!B:B,A812,ซื้อสินค้า!E:E)-SUMIF(ขายสินค้า!B:B,A812,ขายสินค้า!E:E),)</f>
        <v>0</v>
      </c>
      <c r="D812" s="23">
        <f>IF(A812&lt;&gt;"",SUMIF(ซื้อสินค้า!B:B,A812,ซื้อสินค้า!M:M),)</f>
        <v>0</v>
      </c>
      <c r="E812" s="23">
        <f t="shared" si="3"/>
        <v>0</v>
      </c>
    </row>
    <row r="813" spans="1:5" ht="12.75">
      <c r="A813" s="6"/>
      <c r="B813" s="9">
        <f>IFERROR(VLOOKUP(A813,ชื่อสินค้า!A:D,4,FALSE),)</f>
        <v>0</v>
      </c>
      <c r="C813" s="9">
        <f>IF(A813&lt;&gt;"",SUMIF(ซื้อสินค้า!B:B,A813,ซื้อสินค้า!E:E)-SUMIF(ขายสินค้า!B:B,A813,ขายสินค้า!E:E),)</f>
        <v>0</v>
      </c>
      <c r="D813" s="23">
        <f>IF(A813&lt;&gt;"",SUMIF(ซื้อสินค้า!B:B,A813,ซื้อสินค้า!M:M),)</f>
        <v>0</v>
      </c>
      <c r="E813" s="23">
        <f t="shared" si="3"/>
        <v>0</v>
      </c>
    </row>
    <row r="814" spans="1:5" ht="12.75">
      <c r="A814" s="6"/>
      <c r="B814" s="9">
        <f>IFERROR(VLOOKUP(A814,ชื่อสินค้า!A:D,4,FALSE),)</f>
        <v>0</v>
      </c>
      <c r="C814" s="9">
        <f>IF(A814&lt;&gt;"",SUMIF(ซื้อสินค้า!B:B,A814,ซื้อสินค้า!E:E)-SUMIF(ขายสินค้า!B:B,A814,ขายสินค้า!E:E),)</f>
        <v>0</v>
      </c>
      <c r="D814" s="23">
        <f>IF(A814&lt;&gt;"",SUMIF(ซื้อสินค้า!B:B,A814,ซื้อสินค้า!M:M),)</f>
        <v>0</v>
      </c>
      <c r="E814" s="23">
        <f t="shared" si="3"/>
        <v>0</v>
      </c>
    </row>
    <row r="815" spans="1:5" ht="12.75">
      <c r="A815" s="6"/>
      <c r="B815" s="9">
        <f>IFERROR(VLOOKUP(A815,ชื่อสินค้า!A:D,4,FALSE),)</f>
        <v>0</v>
      </c>
      <c r="C815" s="9">
        <f>IF(A815&lt;&gt;"",SUMIF(ซื้อสินค้า!B:B,A815,ซื้อสินค้า!E:E)-SUMIF(ขายสินค้า!B:B,A815,ขายสินค้า!E:E),)</f>
        <v>0</v>
      </c>
      <c r="D815" s="23">
        <f>IF(A815&lt;&gt;"",SUMIF(ซื้อสินค้า!B:B,A815,ซื้อสินค้า!M:M),)</f>
        <v>0</v>
      </c>
      <c r="E815" s="23">
        <f t="shared" si="3"/>
        <v>0</v>
      </c>
    </row>
    <row r="816" spans="1:5" ht="12.75">
      <c r="A816" s="6"/>
      <c r="B816" s="9">
        <f>IFERROR(VLOOKUP(A816,ชื่อสินค้า!A:D,4,FALSE),)</f>
        <v>0</v>
      </c>
      <c r="C816" s="9">
        <f>IF(A816&lt;&gt;"",SUMIF(ซื้อสินค้า!B:B,A816,ซื้อสินค้า!E:E)-SUMIF(ขายสินค้า!B:B,A816,ขายสินค้า!E:E),)</f>
        <v>0</v>
      </c>
      <c r="D816" s="23">
        <f>IF(A816&lt;&gt;"",SUMIF(ซื้อสินค้า!B:B,A816,ซื้อสินค้า!M:M),)</f>
        <v>0</v>
      </c>
      <c r="E816" s="23">
        <f t="shared" si="3"/>
        <v>0</v>
      </c>
    </row>
    <row r="817" spans="1:5" ht="12.75">
      <c r="A817" s="6"/>
      <c r="B817" s="9">
        <f>IFERROR(VLOOKUP(A817,ชื่อสินค้า!A:D,4,FALSE),)</f>
        <v>0</v>
      </c>
      <c r="C817" s="9">
        <f>IF(A817&lt;&gt;"",SUMIF(ซื้อสินค้า!B:B,A817,ซื้อสินค้า!E:E)-SUMIF(ขายสินค้า!B:B,A817,ขายสินค้า!E:E),)</f>
        <v>0</v>
      </c>
      <c r="D817" s="23">
        <f>IF(A817&lt;&gt;"",SUMIF(ซื้อสินค้า!B:B,A817,ซื้อสินค้า!M:M),)</f>
        <v>0</v>
      </c>
      <c r="E817" s="23">
        <f t="shared" si="3"/>
        <v>0</v>
      </c>
    </row>
    <row r="818" spans="1:5" ht="12.75">
      <c r="A818" s="6"/>
      <c r="B818" s="9">
        <f>IFERROR(VLOOKUP(A818,ชื่อสินค้า!A:D,4,FALSE),)</f>
        <v>0</v>
      </c>
      <c r="C818" s="9">
        <f>IF(A818&lt;&gt;"",SUMIF(ซื้อสินค้า!B:B,A818,ซื้อสินค้า!E:E)-SUMIF(ขายสินค้า!B:B,A818,ขายสินค้า!E:E),)</f>
        <v>0</v>
      </c>
      <c r="D818" s="23">
        <f>IF(A818&lt;&gt;"",SUMIF(ซื้อสินค้า!B:B,A818,ซื้อสินค้า!M:M),)</f>
        <v>0</v>
      </c>
      <c r="E818" s="23">
        <f t="shared" si="3"/>
        <v>0</v>
      </c>
    </row>
    <row r="819" spans="1:5" ht="12.75">
      <c r="A819" s="6"/>
      <c r="B819" s="9">
        <f>IFERROR(VLOOKUP(A819,ชื่อสินค้า!A:D,4,FALSE),)</f>
        <v>0</v>
      </c>
      <c r="C819" s="9">
        <f>IF(A819&lt;&gt;"",SUMIF(ซื้อสินค้า!B:B,A819,ซื้อสินค้า!E:E)-SUMIF(ขายสินค้า!B:B,A819,ขายสินค้า!E:E),)</f>
        <v>0</v>
      </c>
      <c r="D819" s="23">
        <f>IF(A819&lt;&gt;"",SUMIF(ซื้อสินค้า!B:B,A819,ซื้อสินค้า!M:M),)</f>
        <v>0</v>
      </c>
      <c r="E819" s="23">
        <f t="shared" si="3"/>
        <v>0</v>
      </c>
    </row>
    <row r="820" spans="1:5" ht="12.75">
      <c r="A820" s="6"/>
      <c r="B820" s="9">
        <f>IFERROR(VLOOKUP(A820,ชื่อสินค้า!A:D,4,FALSE),)</f>
        <v>0</v>
      </c>
      <c r="C820" s="9">
        <f>IF(A820&lt;&gt;"",SUMIF(ซื้อสินค้า!B:B,A820,ซื้อสินค้า!E:E)-SUMIF(ขายสินค้า!B:B,A820,ขายสินค้า!E:E),)</f>
        <v>0</v>
      </c>
      <c r="D820" s="23">
        <f>IF(A820&lt;&gt;"",SUMIF(ซื้อสินค้า!B:B,A820,ซื้อสินค้า!M:M),)</f>
        <v>0</v>
      </c>
      <c r="E820" s="23">
        <f t="shared" si="3"/>
        <v>0</v>
      </c>
    </row>
    <row r="821" spans="1:5" ht="12.75">
      <c r="A821" s="6"/>
      <c r="B821" s="9">
        <f>IFERROR(VLOOKUP(A821,ชื่อสินค้า!A:D,4,FALSE),)</f>
        <v>0</v>
      </c>
      <c r="C821" s="9">
        <f>IF(A821&lt;&gt;"",SUMIF(ซื้อสินค้า!B:B,A821,ซื้อสินค้า!E:E)-SUMIF(ขายสินค้า!B:B,A821,ขายสินค้า!E:E),)</f>
        <v>0</v>
      </c>
      <c r="D821" s="23">
        <f>IF(A821&lt;&gt;"",SUMIF(ซื้อสินค้า!B:B,A821,ซื้อสินค้า!M:M),)</f>
        <v>0</v>
      </c>
      <c r="E821" s="23">
        <f t="shared" si="3"/>
        <v>0</v>
      </c>
    </row>
    <row r="822" spans="1:5" ht="12.75">
      <c r="A822" s="6"/>
      <c r="B822" s="9">
        <f>IFERROR(VLOOKUP(A822,ชื่อสินค้า!A:D,4,FALSE),)</f>
        <v>0</v>
      </c>
      <c r="C822" s="9">
        <f>IF(A822&lt;&gt;"",SUMIF(ซื้อสินค้า!B:B,A822,ซื้อสินค้า!E:E)-SUMIF(ขายสินค้า!B:B,A822,ขายสินค้า!E:E),)</f>
        <v>0</v>
      </c>
      <c r="D822" s="23">
        <f>IF(A822&lt;&gt;"",SUMIF(ซื้อสินค้า!B:B,A822,ซื้อสินค้า!M:M),)</f>
        <v>0</v>
      </c>
      <c r="E822" s="23">
        <f t="shared" si="3"/>
        <v>0</v>
      </c>
    </row>
    <row r="823" spans="1:5" ht="12.75">
      <c r="A823" s="6"/>
      <c r="B823" s="9">
        <f>IFERROR(VLOOKUP(A823,ชื่อสินค้า!A:D,4,FALSE),)</f>
        <v>0</v>
      </c>
      <c r="C823" s="9">
        <f>IF(A823&lt;&gt;"",SUMIF(ซื้อสินค้า!B:B,A823,ซื้อสินค้า!E:E)-SUMIF(ขายสินค้า!B:B,A823,ขายสินค้า!E:E),)</f>
        <v>0</v>
      </c>
      <c r="D823" s="23">
        <f>IF(A823&lt;&gt;"",SUMIF(ซื้อสินค้า!B:B,A823,ซื้อสินค้า!M:M),)</f>
        <v>0</v>
      </c>
      <c r="E823" s="23">
        <f t="shared" si="3"/>
        <v>0</v>
      </c>
    </row>
    <row r="824" spans="1:5" ht="12.75">
      <c r="A824" s="6"/>
      <c r="B824" s="9">
        <f>IFERROR(VLOOKUP(A824,ชื่อสินค้า!A:D,4,FALSE),)</f>
        <v>0</v>
      </c>
      <c r="C824" s="9">
        <f>IF(A824&lt;&gt;"",SUMIF(ซื้อสินค้า!B:B,A824,ซื้อสินค้า!E:E)-SUMIF(ขายสินค้า!B:B,A824,ขายสินค้า!E:E),)</f>
        <v>0</v>
      </c>
      <c r="D824" s="23">
        <f>IF(A824&lt;&gt;"",SUMIF(ซื้อสินค้า!B:B,A824,ซื้อสินค้า!M:M),)</f>
        <v>0</v>
      </c>
      <c r="E824" s="23">
        <f t="shared" si="3"/>
        <v>0</v>
      </c>
    </row>
    <row r="825" spans="1:5" ht="12.75">
      <c r="A825" s="6"/>
      <c r="B825" s="9">
        <f>IFERROR(VLOOKUP(A825,ชื่อสินค้า!A:D,4,FALSE),)</f>
        <v>0</v>
      </c>
      <c r="C825" s="9">
        <f>IF(A825&lt;&gt;"",SUMIF(ซื้อสินค้า!B:B,A825,ซื้อสินค้า!E:E)-SUMIF(ขายสินค้า!B:B,A825,ขายสินค้า!E:E),)</f>
        <v>0</v>
      </c>
      <c r="D825" s="23">
        <f>IF(A825&lt;&gt;"",SUMIF(ซื้อสินค้า!B:B,A825,ซื้อสินค้า!M:M),)</f>
        <v>0</v>
      </c>
      <c r="E825" s="23">
        <f t="shared" si="3"/>
        <v>0</v>
      </c>
    </row>
    <row r="826" spans="1:5" ht="12.75">
      <c r="A826" s="6"/>
      <c r="B826" s="9">
        <f>IFERROR(VLOOKUP(A826,ชื่อสินค้า!A:D,4,FALSE),)</f>
        <v>0</v>
      </c>
      <c r="C826" s="9">
        <f>IF(A826&lt;&gt;"",SUMIF(ซื้อสินค้า!B:B,A826,ซื้อสินค้า!E:E)-SUMIF(ขายสินค้า!B:B,A826,ขายสินค้า!E:E),)</f>
        <v>0</v>
      </c>
      <c r="D826" s="23">
        <f>IF(A826&lt;&gt;"",SUMIF(ซื้อสินค้า!B:B,A826,ซื้อสินค้า!M:M),)</f>
        <v>0</v>
      </c>
      <c r="E826" s="23">
        <f t="shared" si="3"/>
        <v>0</v>
      </c>
    </row>
    <row r="827" spans="1:5" ht="12.75">
      <c r="A827" s="6"/>
      <c r="B827" s="9">
        <f>IFERROR(VLOOKUP(A827,ชื่อสินค้า!A:D,4,FALSE),)</f>
        <v>0</v>
      </c>
      <c r="C827" s="9">
        <f>IF(A827&lt;&gt;"",SUMIF(ซื้อสินค้า!B:B,A827,ซื้อสินค้า!E:E)-SUMIF(ขายสินค้า!B:B,A827,ขายสินค้า!E:E),)</f>
        <v>0</v>
      </c>
      <c r="D827" s="23">
        <f>IF(A827&lt;&gt;"",SUMIF(ซื้อสินค้า!B:B,A827,ซื้อสินค้า!M:M),)</f>
        <v>0</v>
      </c>
      <c r="E827" s="23">
        <f t="shared" si="3"/>
        <v>0</v>
      </c>
    </row>
    <row r="828" spans="1:5" ht="12.75">
      <c r="A828" s="6"/>
      <c r="B828" s="9">
        <f>IFERROR(VLOOKUP(A828,ชื่อสินค้า!A:D,4,FALSE),)</f>
        <v>0</v>
      </c>
      <c r="C828" s="9">
        <f>IF(A828&lt;&gt;"",SUMIF(ซื้อสินค้า!B:B,A828,ซื้อสินค้า!E:E)-SUMIF(ขายสินค้า!B:B,A828,ขายสินค้า!E:E),)</f>
        <v>0</v>
      </c>
      <c r="D828" s="23">
        <f>IF(A828&lt;&gt;"",SUMIF(ซื้อสินค้า!B:B,A828,ซื้อสินค้า!M:M),)</f>
        <v>0</v>
      </c>
      <c r="E828" s="23">
        <f t="shared" si="3"/>
        <v>0</v>
      </c>
    </row>
    <row r="829" spans="1:5" ht="12.75">
      <c r="A829" s="6"/>
      <c r="B829" s="9">
        <f>IFERROR(VLOOKUP(A829,ชื่อสินค้า!A:D,4,FALSE),)</f>
        <v>0</v>
      </c>
      <c r="C829" s="9">
        <f>IF(A829&lt;&gt;"",SUMIF(ซื้อสินค้า!B:B,A829,ซื้อสินค้า!E:E)-SUMIF(ขายสินค้า!B:B,A829,ขายสินค้า!E:E),)</f>
        <v>0</v>
      </c>
      <c r="D829" s="23">
        <f>IF(A829&lt;&gt;"",SUMIF(ซื้อสินค้า!B:B,A829,ซื้อสินค้า!M:M),)</f>
        <v>0</v>
      </c>
      <c r="E829" s="23">
        <f t="shared" si="3"/>
        <v>0</v>
      </c>
    </row>
    <row r="830" spans="1:5" ht="12.75">
      <c r="A830" s="6"/>
      <c r="B830" s="9">
        <f>IFERROR(VLOOKUP(A830,ชื่อสินค้า!A:D,4,FALSE),)</f>
        <v>0</v>
      </c>
      <c r="C830" s="9">
        <f>IF(A830&lt;&gt;"",SUMIF(ซื้อสินค้า!B:B,A830,ซื้อสินค้า!E:E)-SUMIF(ขายสินค้า!B:B,A830,ขายสินค้า!E:E),)</f>
        <v>0</v>
      </c>
      <c r="D830" s="23">
        <f>IF(A830&lt;&gt;"",SUMIF(ซื้อสินค้า!B:B,A830,ซื้อสินค้า!M:M),)</f>
        <v>0</v>
      </c>
      <c r="E830" s="23">
        <f t="shared" si="3"/>
        <v>0</v>
      </c>
    </row>
    <row r="831" spans="1:5" ht="12.75">
      <c r="A831" s="6"/>
      <c r="B831" s="9">
        <f>IFERROR(VLOOKUP(A831,ชื่อสินค้า!A:D,4,FALSE),)</f>
        <v>0</v>
      </c>
      <c r="C831" s="9">
        <f>IF(A831&lt;&gt;"",SUMIF(ซื้อสินค้า!B:B,A831,ซื้อสินค้า!E:E)-SUMIF(ขายสินค้า!B:B,A831,ขายสินค้า!E:E),)</f>
        <v>0</v>
      </c>
      <c r="D831" s="23">
        <f>IF(A831&lt;&gt;"",SUMIF(ซื้อสินค้า!B:B,A831,ซื้อสินค้า!M:M),)</f>
        <v>0</v>
      </c>
      <c r="E831" s="23">
        <f t="shared" si="3"/>
        <v>0</v>
      </c>
    </row>
    <row r="832" spans="1:5" ht="12.75">
      <c r="A832" s="6"/>
      <c r="B832" s="9">
        <f>IFERROR(VLOOKUP(A832,ชื่อสินค้า!A:D,4,FALSE),)</f>
        <v>0</v>
      </c>
      <c r="C832" s="9">
        <f>IF(A832&lt;&gt;"",SUMIF(ซื้อสินค้า!B:B,A832,ซื้อสินค้า!E:E)-SUMIF(ขายสินค้า!B:B,A832,ขายสินค้า!E:E),)</f>
        <v>0</v>
      </c>
      <c r="D832" s="23">
        <f>IF(A832&lt;&gt;"",SUMIF(ซื้อสินค้า!B:B,A832,ซื้อสินค้า!M:M),)</f>
        <v>0</v>
      </c>
      <c r="E832" s="23">
        <f t="shared" si="3"/>
        <v>0</v>
      </c>
    </row>
    <row r="833" spans="1:5" ht="12.75">
      <c r="A833" s="6"/>
      <c r="B833" s="9">
        <f>IFERROR(VLOOKUP(A833,ชื่อสินค้า!A:D,4,FALSE),)</f>
        <v>0</v>
      </c>
      <c r="C833" s="9">
        <f>IF(A833&lt;&gt;"",SUMIF(ซื้อสินค้า!B:B,A833,ซื้อสินค้า!E:E)-SUMIF(ขายสินค้า!B:B,A833,ขายสินค้า!E:E),)</f>
        <v>0</v>
      </c>
      <c r="D833" s="23">
        <f>IF(A833&lt;&gt;"",SUMIF(ซื้อสินค้า!B:B,A833,ซื้อสินค้า!M:M),)</f>
        <v>0</v>
      </c>
      <c r="E833" s="23">
        <f t="shared" si="3"/>
        <v>0</v>
      </c>
    </row>
    <row r="834" spans="1:5" ht="12.75">
      <c r="A834" s="6"/>
      <c r="B834" s="9">
        <f>IFERROR(VLOOKUP(A834,ชื่อสินค้า!A:D,4,FALSE),)</f>
        <v>0</v>
      </c>
      <c r="C834" s="9">
        <f>IF(A834&lt;&gt;"",SUMIF(ซื้อสินค้า!B:B,A834,ซื้อสินค้า!E:E)-SUMIF(ขายสินค้า!B:B,A834,ขายสินค้า!E:E),)</f>
        <v>0</v>
      </c>
      <c r="D834" s="23">
        <f>IF(A834&lt;&gt;"",SUMIF(ซื้อสินค้า!B:B,A834,ซื้อสินค้า!M:M),)</f>
        <v>0</v>
      </c>
      <c r="E834" s="23">
        <f t="shared" si="3"/>
        <v>0</v>
      </c>
    </row>
    <row r="835" spans="1:5" ht="12.75">
      <c r="A835" s="6"/>
      <c r="B835" s="9">
        <f>IFERROR(VLOOKUP(A835,ชื่อสินค้า!A:D,4,FALSE),)</f>
        <v>0</v>
      </c>
      <c r="C835" s="9">
        <f>IF(A835&lt;&gt;"",SUMIF(ซื้อสินค้า!B:B,A835,ซื้อสินค้า!E:E)-SUMIF(ขายสินค้า!B:B,A835,ขายสินค้า!E:E),)</f>
        <v>0</v>
      </c>
      <c r="D835" s="23">
        <f>IF(A835&lt;&gt;"",SUMIF(ซื้อสินค้า!B:B,A835,ซื้อสินค้า!M:M),)</f>
        <v>0</v>
      </c>
      <c r="E835" s="23">
        <f t="shared" si="3"/>
        <v>0</v>
      </c>
    </row>
    <row r="836" spans="1:5" ht="12.75">
      <c r="A836" s="6"/>
      <c r="B836" s="9">
        <f>IFERROR(VLOOKUP(A836,ชื่อสินค้า!A:D,4,FALSE),)</f>
        <v>0</v>
      </c>
      <c r="C836" s="9">
        <f>IF(A836&lt;&gt;"",SUMIF(ซื้อสินค้า!B:B,A836,ซื้อสินค้า!E:E)-SUMIF(ขายสินค้า!B:B,A836,ขายสินค้า!E:E),)</f>
        <v>0</v>
      </c>
      <c r="D836" s="23">
        <f>IF(A836&lt;&gt;"",SUMIF(ซื้อสินค้า!B:B,A836,ซื้อสินค้า!M:M),)</f>
        <v>0</v>
      </c>
      <c r="E836" s="23">
        <f t="shared" si="3"/>
        <v>0</v>
      </c>
    </row>
    <row r="837" spans="1:5" ht="12.75">
      <c r="A837" s="6"/>
      <c r="B837" s="9">
        <f>IFERROR(VLOOKUP(A837,ชื่อสินค้า!A:D,4,FALSE),)</f>
        <v>0</v>
      </c>
      <c r="C837" s="9">
        <f>IF(A837&lt;&gt;"",SUMIF(ซื้อสินค้า!B:B,A837,ซื้อสินค้า!E:E)-SUMIF(ขายสินค้า!B:B,A837,ขายสินค้า!E:E),)</f>
        <v>0</v>
      </c>
      <c r="D837" s="23">
        <f>IF(A837&lt;&gt;"",SUMIF(ซื้อสินค้า!B:B,A837,ซื้อสินค้า!M:M),)</f>
        <v>0</v>
      </c>
      <c r="E837" s="23">
        <f t="shared" si="3"/>
        <v>0</v>
      </c>
    </row>
    <row r="838" spans="1:5" ht="12.75">
      <c r="A838" s="6"/>
      <c r="B838" s="9">
        <f>IFERROR(VLOOKUP(A838,ชื่อสินค้า!A:D,4,FALSE),)</f>
        <v>0</v>
      </c>
      <c r="C838" s="9">
        <f>IF(A838&lt;&gt;"",SUMIF(ซื้อสินค้า!B:B,A838,ซื้อสินค้า!E:E)-SUMIF(ขายสินค้า!B:B,A838,ขายสินค้า!E:E),)</f>
        <v>0</v>
      </c>
      <c r="D838" s="23">
        <f>IF(A838&lt;&gt;"",SUMIF(ซื้อสินค้า!B:B,A838,ซื้อสินค้า!M:M),)</f>
        <v>0</v>
      </c>
      <c r="E838" s="23">
        <f t="shared" si="3"/>
        <v>0</v>
      </c>
    </row>
    <row r="839" spans="1:5" ht="12.75">
      <c r="A839" s="6"/>
      <c r="B839" s="9">
        <f>IFERROR(VLOOKUP(A839,ชื่อสินค้า!A:D,4,FALSE),)</f>
        <v>0</v>
      </c>
      <c r="C839" s="9">
        <f>IF(A839&lt;&gt;"",SUMIF(ซื้อสินค้า!B:B,A839,ซื้อสินค้า!E:E)-SUMIF(ขายสินค้า!B:B,A839,ขายสินค้า!E:E),)</f>
        <v>0</v>
      </c>
      <c r="D839" s="23">
        <f>IF(A839&lt;&gt;"",SUMIF(ซื้อสินค้า!B:B,A839,ซื้อสินค้า!M:M),)</f>
        <v>0</v>
      </c>
      <c r="E839" s="23">
        <f t="shared" si="3"/>
        <v>0</v>
      </c>
    </row>
    <row r="840" spans="1:5" ht="12.75">
      <c r="A840" s="6"/>
      <c r="B840" s="9">
        <f>IFERROR(VLOOKUP(A840,ชื่อสินค้า!A:D,4,FALSE),)</f>
        <v>0</v>
      </c>
      <c r="C840" s="9">
        <f>IF(A840&lt;&gt;"",SUMIF(ซื้อสินค้า!B:B,A840,ซื้อสินค้า!E:E)-SUMIF(ขายสินค้า!B:B,A840,ขายสินค้า!E:E),)</f>
        <v>0</v>
      </c>
      <c r="D840" s="23">
        <f>IF(A840&lt;&gt;"",SUMIF(ซื้อสินค้า!B:B,A840,ซื้อสินค้า!M:M),)</f>
        <v>0</v>
      </c>
      <c r="E840" s="23">
        <f t="shared" si="3"/>
        <v>0</v>
      </c>
    </row>
    <row r="841" spans="1:5" ht="12.75">
      <c r="A841" s="6"/>
      <c r="B841" s="9">
        <f>IFERROR(VLOOKUP(A841,ชื่อสินค้า!A:D,4,FALSE),)</f>
        <v>0</v>
      </c>
      <c r="C841" s="9">
        <f>IF(A841&lt;&gt;"",SUMIF(ซื้อสินค้า!B:B,A841,ซื้อสินค้า!E:E)-SUMIF(ขายสินค้า!B:B,A841,ขายสินค้า!E:E),)</f>
        <v>0</v>
      </c>
      <c r="D841" s="23">
        <f>IF(A841&lt;&gt;"",SUMIF(ซื้อสินค้า!B:B,A841,ซื้อสินค้า!M:M),)</f>
        <v>0</v>
      </c>
      <c r="E841" s="23">
        <f t="shared" si="3"/>
        <v>0</v>
      </c>
    </row>
    <row r="842" spans="1:5" ht="12.75">
      <c r="A842" s="6"/>
      <c r="B842" s="9">
        <f>IFERROR(VLOOKUP(A842,ชื่อสินค้า!A:D,4,FALSE),)</f>
        <v>0</v>
      </c>
      <c r="C842" s="9">
        <f>IF(A842&lt;&gt;"",SUMIF(ซื้อสินค้า!B:B,A842,ซื้อสินค้า!E:E)-SUMIF(ขายสินค้า!B:B,A842,ขายสินค้า!E:E),)</f>
        <v>0</v>
      </c>
      <c r="D842" s="23">
        <f>IF(A842&lt;&gt;"",SUMIF(ซื้อสินค้า!B:B,A842,ซื้อสินค้า!M:M),)</f>
        <v>0</v>
      </c>
      <c r="E842" s="23">
        <f t="shared" si="3"/>
        <v>0</v>
      </c>
    </row>
    <row r="843" spans="1:5" ht="12.75">
      <c r="A843" s="6"/>
      <c r="B843" s="9">
        <f>IFERROR(VLOOKUP(A843,ชื่อสินค้า!A:D,4,FALSE),)</f>
        <v>0</v>
      </c>
      <c r="C843" s="9">
        <f>IF(A843&lt;&gt;"",SUMIF(ซื้อสินค้า!B:B,A843,ซื้อสินค้า!E:E)-SUMIF(ขายสินค้า!B:B,A843,ขายสินค้า!E:E),)</f>
        <v>0</v>
      </c>
      <c r="D843" s="23">
        <f>IF(A843&lt;&gt;"",SUMIF(ซื้อสินค้า!B:B,A843,ซื้อสินค้า!M:M),)</f>
        <v>0</v>
      </c>
      <c r="E843" s="23">
        <f t="shared" si="3"/>
        <v>0</v>
      </c>
    </row>
    <row r="844" spans="1:5" ht="12.75">
      <c r="A844" s="6"/>
      <c r="B844" s="9">
        <f>IFERROR(VLOOKUP(A844,ชื่อสินค้า!A:D,4,FALSE),)</f>
        <v>0</v>
      </c>
      <c r="C844" s="9">
        <f>IF(A844&lt;&gt;"",SUMIF(ซื้อสินค้า!B:B,A844,ซื้อสินค้า!E:E)-SUMIF(ขายสินค้า!B:B,A844,ขายสินค้า!E:E),)</f>
        <v>0</v>
      </c>
      <c r="D844" s="23">
        <f>IF(A844&lt;&gt;"",SUMIF(ซื้อสินค้า!B:B,A844,ซื้อสินค้า!M:M),)</f>
        <v>0</v>
      </c>
      <c r="E844" s="23">
        <f t="shared" si="3"/>
        <v>0</v>
      </c>
    </row>
    <row r="845" spans="1:5" ht="12.75">
      <c r="A845" s="6"/>
      <c r="B845" s="9">
        <f>IFERROR(VLOOKUP(A845,ชื่อสินค้า!A:D,4,FALSE),)</f>
        <v>0</v>
      </c>
      <c r="C845" s="9">
        <f>IF(A845&lt;&gt;"",SUMIF(ซื้อสินค้า!B:B,A845,ซื้อสินค้า!E:E)-SUMIF(ขายสินค้า!B:B,A845,ขายสินค้า!E:E),)</f>
        <v>0</v>
      </c>
      <c r="D845" s="23">
        <f>IF(A845&lt;&gt;"",SUMIF(ซื้อสินค้า!B:B,A845,ซื้อสินค้า!M:M),)</f>
        <v>0</v>
      </c>
      <c r="E845" s="23">
        <f t="shared" si="3"/>
        <v>0</v>
      </c>
    </row>
    <row r="846" spans="1:5" ht="12.75">
      <c r="A846" s="6"/>
      <c r="B846" s="9">
        <f>IFERROR(VLOOKUP(A846,ชื่อสินค้า!A:D,4,FALSE),)</f>
        <v>0</v>
      </c>
      <c r="C846" s="9">
        <f>IF(A846&lt;&gt;"",SUMIF(ซื้อสินค้า!B:B,A846,ซื้อสินค้า!E:E)-SUMIF(ขายสินค้า!B:B,A846,ขายสินค้า!E:E),)</f>
        <v>0</v>
      </c>
      <c r="D846" s="23">
        <f>IF(A846&lt;&gt;"",SUMIF(ซื้อสินค้า!B:B,A846,ซื้อสินค้า!M:M),)</f>
        <v>0</v>
      </c>
      <c r="E846" s="23">
        <f t="shared" si="3"/>
        <v>0</v>
      </c>
    </row>
    <row r="847" spans="1:5" ht="12.75">
      <c r="A847" s="6"/>
      <c r="B847" s="9">
        <f>IFERROR(VLOOKUP(A847,ชื่อสินค้า!A:D,4,FALSE),)</f>
        <v>0</v>
      </c>
      <c r="C847" s="9">
        <f>IF(A847&lt;&gt;"",SUMIF(ซื้อสินค้า!B:B,A847,ซื้อสินค้า!E:E)-SUMIF(ขายสินค้า!B:B,A847,ขายสินค้า!E:E),)</f>
        <v>0</v>
      </c>
      <c r="D847" s="23">
        <f>IF(A847&lt;&gt;"",SUMIF(ซื้อสินค้า!B:B,A847,ซื้อสินค้า!M:M),)</f>
        <v>0</v>
      </c>
      <c r="E847" s="23">
        <f t="shared" si="3"/>
        <v>0</v>
      </c>
    </row>
    <row r="848" spans="1:5" ht="12.75">
      <c r="A848" s="6"/>
      <c r="B848" s="9">
        <f>IFERROR(VLOOKUP(A848,ชื่อสินค้า!A:D,4,FALSE),)</f>
        <v>0</v>
      </c>
      <c r="C848" s="9">
        <f>IF(A848&lt;&gt;"",SUMIF(ซื้อสินค้า!B:B,A848,ซื้อสินค้า!E:E)-SUMIF(ขายสินค้า!B:B,A848,ขายสินค้า!E:E),)</f>
        <v>0</v>
      </c>
      <c r="D848" s="23">
        <f>IF(A848&lt;&gt;"",SUMIF(ซื้อสินค้า!B:B,A848,ซื้อสินค้า!M:M),)</f>
        <v>0</v>
      </c>
      <c r="E848" s="23">
        <f t="shared" si="3"/>
        <v>0</v>
      </c>
    </row>
    <row r="849" spans="1:5" ht="12.75">
      <c r="A849" s="6"/>
      <c r="B849" s="9">
        <f>IFERROR(VLOOKUP(A849,ชื่อสินค้า!A:D,4,FALSE),)</f>
        <v>0</v>
      </c>
      <c r="C849" s="9">
        <f>IF(A849&lt;&gt;"",SUMIF(ซื้อสินค้า!B:B,A849,ซื้อสินค้า!E:E)-SUMIF(ขายสินค้า!B:B,A849,ขายสินค้า!E:E),)</f>
        <v>0</v>
      </c>
      <c r="D849" s="23">
        <f>IF(A849&lt;&gt;"",SUMIF(ซื้อสินค้า!B:B,A849,ซื้อสินค้า!M:M),)</f>
        <v>0</v>
      </c>
      <c r="E849" s="23">
        <f t="shared" si="3"/>
        <v>0</v>
      </c>
    </row>
    <row r="850" spans="1:5" ht="12.75">
      <c r="A850" s="6"/>
      <c r="B850" s="9">
        <f>IFERROR(VLOOKUP(A850,ชื่อสินค้า!A:D,4,FALSE),)</f>
        <v>0</v>
      </c>
      <c r="C850" s="9">
        <f>IF(A850&lt;&gt;"",SUMIF(ซื้อสินค้า!B:B,A850,ซื้อสินค้า!E:E)-SUMIF(ขายสินค้า!B:B,A850,ขายสินค้า!E:E),)</f>
        <v>0</v>
      </c>
      <c r="D850" s="23">
        <f>IF(A850&lt;&gt;"",SUMIF(ซื้อสินค้า!B:B,A850,ซื้อสินค้า!M:M),)</f>
        <v>0</v>
      </c>
      <c r="E850" s="23">
        <f t="shared" si="3"/>
        <v>0</v>
      </c>
    </row>
    <row r="851" spans="1:5" ht="12.75">
      <c r="A851" s="6"/>
      <c r="B851" s="9">
        <f>IFERROR(VLOOKUP(A851,ชื่อสินค้า!A:D,4,FALSE),)</f>
        <v>0</v>
      </c>
      <c r="C851" s="9">
        <f>IF(A851&lt;&gt;"",SUMIF(ซื้อสินค้า!B:B,A851,ซื้อสินค้า!E:E)-SUMIF(ขายสินค้า!B:B,A851,ขายสินค้า!E:E),)</f>
        <v>0</v>
      </c>
      <c r="D851" s="23">
        <f>IF(A851&lt;&gt;"",SUMIF(ซื้อสินค้า!B:B,A851,ซื้อสินค้า!M:M),)</f>
        <v>0</v>
      </c>
      <c r="E851" s="23">
        <f t="shared" si="3"/>
        <v>0</v>
      </c>
    </row>
    <row r="852" spans="1:5" ht="12.75">
      <c r="A852" s="6"/>
      <c r="B852" s="9">
        <f>IFERROR(VLOOKUP(A852,ชื่อสินค้า!A:D,4,FALSE),)</f>
        <v>0</v>
      </c>
      <c r="C852" s="9">
        <f>IF(A852&lt;&gt;"",SUMIF(ซื้อสินค้า!B:B,A852,ซื้อสินค้า!E:E)-SUMIF(ขายสินค้า!B:B,A852,ขายสินค้า!E:E),)</f>
        <v>0</v>
      </c>
      <c r="D852" s="23">
        <f>IF(A852&lt;&gt;"",SUMIF(ซื้อสินค้า!B:B,A852,ซื้อสินค้า!M:M),)</f>
        <v>0</v>
      </c>
      <c r="E852" s="23">
        <f t="shared" si="3"/>
        <v>0</v>
      </c>
    </row>
    <row r="853" spans="1:5" ht="12.75">
      <c r="A853" s="6"/>
      <c r="B853" s="9">
        <f>IFERROR(VLOOKUP(A853,ชื่อสินค้า!A:D,4,FALSE),)</f>
        <v>0</v>
      </c>
      <c r="C853" s="9">
        <f>IF(A853&lt;&gt;"",SUMIF(ซื้อสินค้า!B:B,A853,ซื้อสินค้า!E:E)-SUMIF(ขายสินค้า!B:B,A853,ขายสินค้า!E:E),)</f>
        <v>0</v>
      </c>
      <c r="D853" s="23">
        <f>IF(A853&lt;&gt;"",SUMIF(ซื้อสินค้า!B:B,A853,ซื้อสินค้า!M:M),)</f>
        <v>0</v>
      </c>
      <c r="E853" s="23">
        <f t="shared" si="3"/>
        <v>0</v>
      </c>
    </row>
    <row r="854" spans="1:5" ht="12.75">
      <c r="A854" s="6"/>
      <c r="B854" s="9">
        <f>IFERROR(VLOOKUP(A854,ชื่อสินค้า!A:D,4,FALSE),)</f>
        <v>0</v>
      </c>
      <c r="C854" s="9">
        <f>IF(A854&lt;&gt;"",SUMIF(ซื้อสินค้า!B:B,A854,ซื้อสินค้า!E:E)-SUMIF(ขายสินค้า!B:B,A854,ขายสินค้า!E:E),)</f>
        <v>0</v>
      </c>
      <c r="D854" s="23">
        <f>IF(A854&lt;&gt;"",SUMIF(ซื้อสินค้า!B:B,A854,ซื้อสินค้า!M:M),)</f>
        <v>0</v>
      </c>
      <c r="E854" s="23">
        <f t="shared" si="3"/>
        <v>0</v>
      </c>
    </row>
    <row r="855" spans="1:5" ht="12.75">
      <c r="A855" s="6"/>
      <c r="B855" s="9">
        <f>IFERROR(VLOOKUP(A855,ชื่อสินค้า!A:D,4,FALSE),)</f>
        <v>0</v>
      </c>
      <c r="C855" s="9">
        <f>IF(A855&lt;&gt;"",SUMIF(ซื้อสินค้า!B:B,A855,ซื้อสินค้า!E:E)-SUMIF(ขายสินค้า!B:B,A855,ขายสินค้า!E:E),)</f>
        <v>0</v>
      </c>
      <c r="D855" s="23">
        <f>IF(A855&lt;&gt;"",SUMIF(ซื้อสินค้า!B:B,A855,ซื้อสินค้า!M:M),)</f>
        <v>0</v>
      </c>
      <c r="E855" s="23">
        <f t="shared" si="3"/>
        <v>0</v>
      </c>
    </row>
    <row r="856" spans="1:5" ht="12.75">
      <c r="A856" s="6"/>
      <c r="B856" s="9">
        <f>IFERROR(VLOOKUP(A856,ชื่อสินค้า!A:D,4,FALSE),)</f>
        <v>0</v>
      </c>
      <c r="C856" s="9">
        <f>IF(A856&lt;&gt;"",SUMIF(ซื้อสินค้า!B:B,A856,ซื้อสินค้า!E:E)-SUMIF(ขายสินค้า!B:B,A856,ขายสินค้า!E:E),)</f>
        <v>0</v>
      </c>
      <c r="D856" s="23">
        <f>IF(A856&lt;&gt;"",SUMIF(ซื้อสินค้า!B:B,A856,ซื้อสินค้า!M:M),)</f>
        <v>0</v>
      </c>
      <c r="E856" s="23">
        <f t="shared" si="3"/>
        <v>0</v>
      </c>
    </row>
    <row r="857" spans="1:5" ht="12.75">
      <c r="A857" s="6"/>
      <c r="B857" s="9">
        <f>IFERROR(VLOOKUP(A857,ชื่อสินค้า!A:D,4,FALSE),)</f>
        <v>0</v>
      </c>
      <c r="C857" s="9">
        <f>IF(A857&lt;&gt;"",SUMIF(ซื้อสินค้า!B:B,A857,ซื้อสินค้า!E:E)-SUMIF(ขายสินค้า!B:B,A857,ขายสินค้า!E:E),)</f>
        <v>0</v>
      </c>
      <c r="D857" s="23">
        <f>IF(A857&lt;&gt;"",SUMIF(ซื้อสินค้า!B:B,A857,ซื้อสินค้า!M:M),)</f>
        <v>0</v>
      </c>
      <c r="E857" s="23">
        <f t="shared" si="3"/>
        <v>0</v>
      </c>
    </row>
    <row r="858" spans="1:5" ht="12.75">
      <c r="A858" s="6"/>
      <c r="B858" s="9">
        <f>IFERROR(VLOOKUP(A858,ชื่อสินค้า!A:D,4,FALSE),)</f>
        <v>0</v>
      </c>
      <c r="C858" s="9">
        <f>IF(A858&lt;&gt;"",SUMIF(ซื้อสินค้า!B:B,A858,ซื้อสินค้า!E:E)-SUMIF(ขายสินค้า!B:B,A858,ขายสินค้า!E:E),)</f>
        <v>0</v>
      </c>
      <c r="D858" s="23">
        <f>IF(A858&lt;&gt;"",SUMIF(ซื้อสินค้า!B:B,A858,ซื้อสินค้า!M:M),)</f>
        <v>0</v>
      </c>
      <c r="E858" s="23">
        <f t="shared" si="3"/>
        <v>0</v>
      </c>
    </row>
    <row r="859" spans="1:5" ht="12.75">
      <c r="A859" s="6"/>
      <c r="B859" s="9">
        <f>IFERROR(VLOOKUP(A859,ชื่อสินค้า!A:D,4,FALSE),)</f>
        <v>0</v>
      </c>
      <c r="C859" s="9">
        <f>IF(A859&lt;&gt;"",SUMIF(ซื้อสินค้า!B:B,A859,ซื้อสินค้า!E:E)-SUMIF(ขายสินค้า!B:B,A859,ขายสินค้า!E:E),)</f>
        <v>0</v>
      </c>
      <c r="D859" s="23">
        <f>IF(A859&lt;&gt;"",SUMIF(ซื้อสินค้า!B:B,A859,ซื้อสินค้า!M:M),)</f>
        <v>0</v>
      </c>
      <c r="E859" s="23">
        <f t="shared" si="3"/>
        <v>0</v>
      </c>
    </row>
    <row r="860" spans="1:5" ht="12.75">
      <c r="A860" s="6"/>
      <c r="B860" s="9">
        <f>IFERROR(VLOOKUP(A860,ชื่อสินค้า!A:D,4,FALSE),)</f>
        <v>0</v>
      </c>
      <c r="C860" s="9">
        <f>IF(A860&lt;&gt;"",SUMIF(ซื้อสินค้า!B:B,A860,ซื้อสินค้า!E:E)-SUMIF(ขายสินค้า!B:B,A860,ขายสินค้า!E:E),)</f>
        <v>0</v>
      </c>
      <c r="D860" s="23">
        <f>IF(A860&lt;&gt;"",SUMIF(ซื้อสินค้า!B:B,A860,ซื้อสินค้า!M:M),)</f>
        <v>0</v>
      </c>
      <c r="E860" s="23">
        <f t="shared" si="3"/>
        <v>0</v>
      </c>
    </row>
    <row r="861" spans="1:5" ht="12.75">
      <c r="A861" s="6"/>
      <c r="B861" s="9">
        <f>IFERROR(VLOOKUP(A861,ชื่อสินค้า!A:D,4,FALSE),)</f>
        <v>0</v>
      </c>
      <c r="C861" s="9">
        <f>IF(A861&lt;&gt;"",SUMIF(ซื้อสินค้า!B:B,A861,ซื้อสินค้า!E:E)-SUMIF(ขายสินค้า!B:B,A861,ขายสินค้า!E:E),)</f>
        <v>0</v>
      </c>
      <c r="D861" s="23">
        <f>IF(A861&lt;&gt;"",SUMIF(ซื้อสินค้า!B:B,A861,ซื้อสินค้า!M:M),)</f>
        <v>0</v>
      </c>
      <c r="E861" s="23">
        <f t="shared" si="3"/>
        <v>0</v>
      </c>
    </row>
    <row r="862" spans="1:5" ht="12.75">
      <c r="A862" s="6"/>
      <c r="B862" s="9">
        <f>IFERROR(VLOOKUP(A862,ชื่อสินค้า!A:D,4,FALSE),)</f>
        <v>0</v>
      </c>
      <c r="C862" s="9">
        <f>IF(A862&lt;&gt;"",SUMIF(ซื้อสินค้า!B:B,A862,ซื้อสินค้า!E:E)-SUMIF(ขายสินค้า!B:B,A862,ขายสินค้า!E:E),)</f>
        <v>0</v>
      </c>
      <c r="D862" s="23">
        <f>IF(A862&lt;&gt;"",SUMIF(ซื้อสินค้า!B:B,A862,ซื้อสินค้า!M:M),)</f>
        <v>0</v>
      </c>
      <c r="E862" s="23">
        <f t="shared" si="3"/>
        <v>0</v>
      </c>
    </row>
    <row r="863" spans="1:5" ht="12.75">
      <c r="A863" s="6"/>
      <c r="B863" s="9">
        <f>IFERROR(VLOOKUP(A863,ชื่อสินค้า!A:D,4,FALSE),)</f>
        <v>0</v>
      </c>
      <c r="C863" s="9">
        <f>IF(A863&lt;&gt;"",SUMIF(ซื้อสินค้า!B:B,A863,ซื้อสินค้า!E:E)-SUMIF(ขายสินค้า!B:B,A863,ขายสินค้า!E:E),)</f>
        <v>0</v>
      </c>
      <c r="D863" s="23">
        <f>IF(A863&lt;&gt;"",SUMIF(ซื้อสินค้า!B:B,A863,ซื้อสินค้า!M:M),)</f>
        <v>0</v>
      </c>
      <c r="E863" s="23">
        <f t="shared" si="3"/>
        <v>0</v>
      </c>
    </row>
    <row r="864" spans="1:5" ht="12.75">
      <c r="A864" s="6"/>
      <c r="B864" s="9">
        <f>IFERROR(VLOOKUP(A864,ชื่อสินค้า!A:D,4,FALSE),)</f>
        <v>0</v>
      </c>
      <c r="C864" s="9">
        <f>IF(A864&lt;&gt;"",SUMIF(ซื้อสินค้า!B:B,A864,ซื้อสินค้า!E:E)-SUMIF(ขายสินค้า!B:B,A864,ขายสินค้า!E:E),)</f>
        <v>0</v>
      </c>
      <c r="D864" s="23">
        <f>IF(A864&lt;&gt;"",SUMIF(ซื้อสินค้า!B:B,A864,ซื้อสินค้า!M:M),)</f>
        <v>0</v>
      </c>
      <c r="E864" s="23">
        <f t="shared" si="3"/>
        <v>0</v>
      </c>
    </row>
    <row r="865" spans="1:5" ht="12.75">
      <c r="A865" s="6"/>
      <c r="B865" s="9">
        <f>IFERROR(VLOOKUP(A865,ชื่อสินค้า!A:D,4,FALSE),)</f>
        <v>0</v>
      </c>
      <c r="C865" s="9">
        <f>IF(A865&lt;&gt;"",SUMIF(ซื้อสินค้า!B:B,A865,ซื้อสินค้า!E:E)-SUMIF(ขายสินค้า!B:B,A865,ขายสินค้า!E:E),)</f>
        <v>0</v>
      </c>
      <c r="D865" s="23">
        <f>IF(A865&lt;&gt;"",SUMIF(ซื้อสินค้า!B:B,A865,ซื้อสินค้า!M:M),)</f>
        <v>0</v>
      </c>
      <c r="E865" s="23">
        <f t="shared" si="3"/>
        <v>0</v>
      </c>
    </row>
    <row r="866" spans="1:5" ht="12.75">
      <c r="A866" s="6"/>
      <c r="B866" s="9">
        <f>IFERROR(VLOOKUP(A866,ชื่อสินค้า!A:D,4,FALSE),)</f>
        <v>0</v>
      </c>
      <c r="C866" s="9">
        <f>IF(A866&lt;&gt;"",SUMIF(ซื้อสินค้า!B:B,A866,ซื้อสินค้า!E:E)-SUMIF(ขายสินค้า!B:B,A866,ขายสินค้า!E:E),)</f>
        <v>0</v>
      </c>
      <c r="D866" s="23">
        <f>IF(A866&lt;&gt;"",SUMIF(ซื้อสินค้า!B:B,A866,ซื้อสินค้า!M:M),)</f>
        <v>0</v>
      </c>
      <c r="E866" s="23">
        <f t="shared" si="3"/>
        <v>0</v>
      </c>
    </row>
    <row r="867" spans="1:5" ht="12.75">
      <c r="A867" s="6"/>
      <c r="B867" s="9">
        <f>IFERROR(VLOOKUP(A867,ชื่อสินค้า!A:D,4,FALSE),)</f>
        <v>0</v>
      </c>
      <c r="C867" s="9">
        <f>IF(A867&lt;&gt;"",SUMIF(ซื้อสินค้า!B:B,A867,ซื้อสินค้า!E:E)-SUMIF(ขายสินค้า!B:B,A867,ขายสินค้า!E:E),)</f>
        <v>0</v>
      </c>
      <c r="D867" s="23">
        <f>IF(A867&lt;&gt;"",SUMIF(ซื้อสินค้า!B:B,A867,ซื้อสินค้า!M:M),)</f>
        <v>0</v>
      </c>
      <c r="E867" s="23">
        <f t="shared" si="3"/>
        <v>0</v>
      </c>
    </row>
    <row r="868" spans="1:5" ht="12.75">
      <c r="A868" s="6"/>
      <c r="B868" s="9">
        <f>IFERROR(VLOOKUP(A868,ชื่อสินค้า!A:D,4,FALSE),)</f>
        <v>0</v>
      </c>
      <c r="C868" s="9">
        <f>IF(A868&lt;&gt;"",SUMIF(ซื้อสินค้า!B:B,A868,ซื้อสินค้า!E:E)-SUMIF(ขายสินค้า!B:B,A868,ขายสินค้า!E:E),)</f>
        <v>0</v>
      </c>
      <c r="D868" s="23">
        <f>IF(A868&lt;&gt;"",SUMIF(ซื้อสินค้า!B:B,A868,ซื้อสินค้า!M:M),)</f>
        <v>0</v>
      </c>
      <c r="E868" s="23">
        <f t="shared" si="3"/>
        <v>0</v>
      </c>
    </row>
    <row r="869" spans="1:5" ht="12.75">
      <c r="A869" s="6"/>
      <c r="B869" s="9">
        <f>IFERROR(VLOOKUP(A869,ชื่อสินค้า!A:D,4,FALSE),)</f>
        <v>0</v>
      </c>
      <c r="C869" s="9">
        <f>IF(A869&lt;&gt;"",SUMIF(ซื้อสินค้า!B:B,A869,ซื้อสินค้า!E:E)-SUMIF(ขายสินค้า!B:B,A869,ขายสินค้า!E:E),)</f>
        <v>0</v>
      </c>
      <c r="D869" s="23">
        <f>IF(A869&lt;&gt;"",SUMIF(ซื้อสินค้า!B:B,A869,ซื้อสินค้า!M:M),)</f>
        <v>0</v>
      </c>
      <c r="E869" s="23">
        <f t="shared" si="3"/>
        <v>0</v>
      </c>
    </row>
    <row r="870" spans="1:5" ht="12.75">
      <c r="A870" s="6"/>
      <c r="B870" s="9">
        <f>IFERROR(VLOOKUP(A870,ชื่อสินค้า!A:D,4,FALSE),)</f>
        <v>0</v>
      </c>
      <c r="C870" s="9">
        <f>IF(A870&lt;&gt;"",SUMIF(ซื้อสินค้า!B:B,A870,ซื้อสินค้า!E:E)-SUMIF(ขายสินค้า!B:B,A870,ขายสินค้า!E:E),)</f>
        <v>0</v>
      </c>
      <c r="D870" s="23">
        <f>IF(A870&lt;&gt;"",SUMIF(ซื้อสินค้า!B:B,A870,ซื้อสินค้า!M:M),)</f>
        <v>0</v>
      </c>
      <c r="E870" s="23">
        <f t="shared" si="3"/>
        <v>0</v>
      </c>
    </row>
    <row r="871" spans="1:5" ht="12.75">
      <c r="A871" s="6"/>
      <c r="B871" s="9">
        <f>IFERROR(VLOOKUP(A871,ชื่อสินค้า!A:D,4,FALSE),)</f>
        <v>0</v>
      </c>
      <c r="C871" s="9">
        <f>IF(A871&lt;&gt;"",SUMIF(ซื้อสินค้า!B:B,A871,ซื้อสินค้า!E:E)-SUMIF(ขายสินค้า!B:B,A871,ขายสินค้า!E:E),)</f>
        <v>0</v>
      </c>
      <c r="D871" s="23">
        <f>IF(A871&lt;&gt;"",SUMIF(ซื้อสินค้า!B:B,A871,ซื้อสินค้า!M:M),)</f>
        <v>0</v>
      </c>
      <c r="E871" s="23">
        <f t="shared" si="3"/>
        <v>0</v>
      </c>
    </row>
    <row r="872" spans="1:5" ht="12.75">
      <c r="A872" s="6"/>
      <c r="B872" s="9">
        <f>IFERROR(VLOOKUP(A872,ชื่อสินค้า!A:D,4,FALSE),)</f>
        <v>0</v>
      </c>
      <c r="C872" s="9">
        <f>IF(A872&lt;&gt;"",SUMIF(ซื้อสินค้า!B:B,A872,ซื้อสินค้า!E:E)-SUMIF(ขายสินค้า!B:B,A872,ขายสินค้า!E:E),)</f>
        <v>0</v>
      </c>
      <c r="D872" s="23">
        <f>IF(A872&lt;&gt;"",SUMIF(ซื้อสินค้า!B:B,A872,ซื้อสินค้า!M:M),)</f>
        <v>0</v>
      </c>
      <c r="E872" s="23">
        <f t="shared" si="3"/>
        <v>0</v>
      </c>
    </row>
    <row r="873" spans="1:5" ht="12.75">
      <c r="A873" s="6"/>
      <c r="B873" s="9">
        <f>IFERROR(VLOOKUP(A873,ชื่อสินค้า!A:D,4,FALSE),)</f>
        <v>0</v>
      </c>
      <c r="C873" s="9">
        <f>IF(A873&lt;&gt;"",SUMIF(ซื้อสินค้า!B:B,A873,ซื้อสินค้า!E:E)-SUMIF(ขายสินค้า!B:B,A873,ขายสินค้า!E:E),)</f>
        <v>0</v>
      </c>
      <c r="D873" s="23">
        <f>IF(A873&lt;&gt;"",SUMIF(ซื้อสินค้า!B:B,A873,ซื้อสินค้า!M:M),)</f>
        <v>0</v>
      </c>
      <c r="E873" s="23">
        <f t="shared" si="3"/>
        <v>0</v>
      </c>
    </row>
    <row r="874" spans="1:5" ht="12.75">
      <c r="A874" s="6"/>
      <c r="B874" s="9">
        <f>IFERROR(VLOOKUP(A874,ชื่อสินค้า!A:D,4,FALSE),)</f>
        <v>0</v>
      </c>
      <c r="C874" s="9">
        <f>IF(A874&lt;&gt;"",SUMIF(ซื้อสินค้า!B:B,A874,ซื้อสินค้า!E:E)-SUMIF(ขายสินค้า!B:B,A874,ขายสินค้า!E:E),)</f>
        <v>0</v>
      </c>
      <c r="D874" s="23">
        <f>IF(A874&lt;&gt;"",SUMIF(ซื้อสินค้า!B:B,A874,ซื้อสินค้า!M:M),)</f>
        <v>0</v>
      </c>
      <c r="E874" s="23">
        <f t="shared" si="3"/>
        <v>0</v>
      </c>
    </row>
    <row r="875" spans="1:5" ht="12.75">
      <c r="A875" s="6"/>
      <c r="B875" s="9">
        <f>IFERROR(VLOOKUP(A875,ชื่อสินค้า!A:D,4,FALSE),)</f>
        <v>0</v>
      </c>
      <c r="C875" s="9">
        <f>IF(A875&lt;&gt;"",SUMIF(ซื้อสินค้า!B:B,A875,ซื้อสินค้า!E:E)-SUMIF(ขายสินค้า!B:B,A875,ขายสินค้า!E:E),)</f>
        <v>0</v>
      </c>
      <c r="D875" s="23">
        <f>IF(A875&lt;&gt;"",SUMIF(ซื้อสินค้า!B:B,A875,ซื้อสินค้า!M:M),)</f>
        <v>0</v>
      </c>
      <c r="E875" s="23">
        <f t="shared" si="3"/>
        <v>0</v>
      </c>
    </row>
    <row r="876" spans="1:5" ht="12.75">
      <c r="A876" s="6"/>
      <c r="B876" s="9">
        <f>IFERROR(VLOOKUP(A876,ชื่อสินค้า!A:D,4,FALSE),)</f>
        <v>0</v>
      </c>
      <c r="C876" s="9">
        <f>IF(A876&lt;&gt;"",SUMIF(ซื้อสินค้า!B:B,A876,ซื้อสินค้า!E:E)-SUMIF(ขายสินค้า!B:B,A876,ขายสินค้า!E:E),)</f>
        <v>0</v>
      </c>
      <c r="D876" s="23">
        <f>IF(A876&lt;&gt;"",SUMIF(ซื้อสินค้า!B:B,A876,ซื้อสินค้า!M:M),)</f>
        <v>0</v>
      </c>
      <c r="E876" s="23">
        <f t="shared" si="3"/>
        <v>0</v>
      </c>
    </row>
    <row r="877" spans="1:5" ht="12.75">
      <c r="A877" s="6"/>
      <c r="B877" s="9">
        <f>IFERROR(VLOOKUP(A877,ชื่อสินค้า!A:D,4,FALSE),)</f>
        <v>0</v>
      </c>
      <c r="C877" s="9">
        <f>IF(A877&lt;&gt;"",SUMIF(ซื้อสินค้า!B:B,A877,ซื้อสินค้า!E:E)-SUMIF(ขายสินค้า!B:B,A877,ขายสินค้า!E:E),)</f>
        <v>0</v>
      </c>
      <c r="D877" s="23">
        <f>IF(A877&lt;&gt;"",SUMIF(ซื้อสินค้า!B:B,A877,ซื้อสินค้า!M:M),)</f>
        <v>0</v>
      </c>
      <c r="E877" s="23">
        <f t="shared" si="3"/>
        <v>0</v>
      </c>
    </row>
    <row r="878" spans="1:5" ht="12.75">
      <c r="A878" s="6"/>
      <c r="B878" s="9">
        <f>IFERROR(VLOOKUP(A878,ชื่อสินค้า!A:D,4,FALSE),)</f>
        <v>0</v>
      </c>
      <c r="C878" s="9">
        <f>IF(A878&lt;&gt;"",SUMIF(ซื้อสินค้า!B:B,A878,ซื้อสินค้า!E:E)-SUMIF(ขายสินค้า!B:B,A878,ขายสินค้า!E:E),)</f>
        <v>0</v>
      </c>
      <c r="D878" s="23">
        <f>IF(A878&lt;&gt;"",SUMIF(ซื้อสินค้า!B:B,A878,ซื้อสินค้า!M:M),)</f>
        <v>0</v>
      </c>
      <c r="E878" s="23">
        <f t="shared" si="3"/>
        <v>0</v>
      </c>
    </row>
    <row r="879" spans="1:5" ht="12.75">
      <c r="A879" s="6"/>
      <c r="B879" s="9">
        <f>IFERROR(VLOOKUP(A879,ชื่อสินค้า!A:D,4,FALSE),)</f>
        <v>0</v>
      </c>
      <c r="C879" s="9">
        <f>IF(A879&lt;&gt;"",SUMIF(ซื้อสินค้า!B:B,A879,ซื้อสินค้า!E:E)-SUMIF(ขายสินค้า!B:B,A879,ขายสินค้า!E:E),)</f>
        <v>0</v>
      </c>
      <c r="D879" s="23">
        <f>IF(A879&lt;&gt;"",SUMIF(ซื้อสินค้า!B:B,A879,ซื้อสินค้า!M:M),)</f>
        <v>0</v>
      </c>
      <c r="E879" s="23">
        <f t="shared" si="3"/>
        <v>0</v>
      </c>
    </row>
    <row r="880" spans="1:5" ht="12.75">
      <c r="A880" s="6"/>
      <c r="B880" s="9">
        <f>IFERROR(VLOOKUP(A880,ชื่อสินค้า!A:D,4,FALSE),)</f>
        <v>0</v>
      </c>
      <c r="C880" s="9">
        <f>IF(A880&lt;&gt;"",SUMIF(ซื้อสินค้า!B:B,A880,ซื้อสินค้า!E:E)-SUMIF(ขายสินค้า!B:B,A880,ขายสินค้า!E:E),)</f>
        <v>0</v>
      </c>
      <c r="D880" s="23">
        <f>IF(A880&lt;&gt;"",SUMIF(ซื้อสินค้า!B:B,A880,ซื้อสินค้า!M:M),)</f>
        <v>0</v>
      </c>
      <c r="E880" s="23">
        <f t="shared" si="3"/>
        <v>0</v>
      </c>
    </row>
    <row r="881" spans="1:5" ht="12.75">
      <c r="A881" s="6"/>
      <c r="B881" s="9">
        <f>IFERROR(VLOOKUP(A881,ชื่อสินค้า!A:D,4,FALSE),)</f>
        <v>0</v>
      </c>
      <c r="C881" s="9">
        <f>IF(A881&lt;&gt;"",SUMIF(ซื้อสินค้า!B:B,A881,ซื้อสินค้า!E:E)-SUMIF(ขายสินค้า!B:B,A881,ขายสินค้า!E:E),)</f>
        <v>0</v>
      </c>
      <c r="D881" s="23">
        <f>IF(A881&lt;&gt;"",SUMIF(ซื้อสินค้า!B:B,A881,ซื้อสินค้า!M:M),)</f>
        <v>0</v>
      </c>
      <c r="E881" s="23">
        <f t="shared" si="3"/>
        <v>0</v>
      </c>
    </row>
    <row r="882" spans="1:5" ht="12.75">
      <c r="A882" s="6"/>
      <c r="B882" s="9">
        <f>IFERROR(VLOOKUP(A882,ชื่อสินค้า!A:D,4,FALSE),)</f>
        <v>0</v>
      </c>
      <c r="C882" s="9">
        <f>IF(A882&lt;&gt;"",SUMIF(ซื้อสินค้า!B:B,A882,ซื้อสินค้า!E:E)-SUMIF(ขายสินค้า!B:B,A882,ขายสินค้า!E:E),)</f>
        <v>0</v>
      </c>
      <c r="D882" s="23">
        <f>IF(A882&lt;&gt;"",SUMIF(ซื้อสินค้า!B:B,A882,ซื้อสินค้า!M:M),)</f>
        <v>0</v>
      </c>
      <c r="E882" s="23">
        <f t="shared" si="3"/>
        <v>0</v>
      </c>
    </row>
    <row r="883" spans="1:5" ht="12.75">
      <c r="A883" s="6"/>
      <c r="B883" s="9">
        <f>IFERROR(VLOOKUP(A883,ชื่อสินค้า!A:D,4,FALSE),)</f>
        <v>0</v>
      </c>
      <c r="C883" s="9">
        <f>IF(A883&lt;&gt;"",SUMIF(ซื้อสินค้า!B:B,A883,ซื้อสินค้า!E:E)-SUMIF(ขายสินค้า!B:B,A883,ขายสินค้า!E:E),)</f>
        <v>0</v>
      </c>
      <c r="D883" s="23">
        <f>IF(A883&lt;&gt;"",SUMIF(ซื้อสินค้า!B:B,A883,ซื้อสินค้า!M:M),)</f>
        <v>0</v>
      </c>
      <c r="E883" s="23">
        <f t="shared" si="3"/>
        <v>0</v>
      </c>
    </row>
    <row r="884" spans="1:5" ht="12.75">
      <c r="A884" s="6"/>
      <c r="B884" s="9">
        <f>IFERROR(VLOOKUP(A884,ชื่อสินค้า!A:D,4,FALSE),)</f>
        <v>0</v>
      </c>
      <c r="C884" s="9">
        <f>IF(A884&lt;&gt;"",SUMIF(ซื้อสินค้า!B:B,A884,ซื้อสินค้า!E:E)-SUMIF(ขายสินค้า!B:B,A884,ขายสินค้า!E:E),)</f>
        <v>0</v>
      </c>
      <c r="D884" s="23">
        <f>IF(A884&lt;&gt;"",SUMIF(ซื้อสินค้า!B:B,A884,ซื้อสินค้า!M:M),)</f>
        <v>0</v>
      </c>
      <c r="E884" s="23">
        <f t="shared" si="3"/>
        <v>0</v>
      </c>
    </row>
    <row r="885" spans="1:5" ht="12.75">
      <c r="A885" s="6"/>
      <c r="B885" s="9">
        <f>IFERROR(VLOOKUP(A885,ชื่อสินค้า!A:D,4,FALSE),)</f>
        <v>0</v>
      </c>
      <c r="C885" s="9">
        <f>IF(A885&lt;&gt;"",SUMIF(ซื้อสินค้า!B:B,A885,ซื้อสินค้า!E:E)-SUMIF(ขายสินค้า!B:B,A885,ขายสินค้า!E:E),)</f>
        <v>0</v>
      </c>
      <c r="D885" s="23">
        <f>IF(A885&lt;&gt;"",SUMIF(ซื้อสินค้า!B:B,A885,ซื้อสินค้า!M:M),)</f>
        <v>0</v>
      </c>
      <c r="E885" s="23">
        <f t="shared" si="3"/>
        <v>0</v>
      </c>
    </row>
    <row r="886" spans="1:5" ht="12.75">
      <c r="A886" s="6"/>
      <c r="B886" s="9">
        <f>IFERROR(VLOOKUP(A886,ชื่อสินค้า!A:D,4,FALSE),)</f>
        <v>0</v>
      </c>
      <c r="C886" s="9">
        <f>IF(A886&lt;&gt;"",SUMIF(ซื้อสินค้า!B:B,A886,ซื้อสินค้า!E:E)-SUMIF(ขายสินค้า!B:B,A886,ขายสินค้า!E:E),)</f>
        <v>0</v>
      </c>
      <c r="D886" s="23">
        <f>IF(A886&lt;&gt;"",SUMIF(ซื้อสินค้า!B:B,A886,ซื้อสินค้า!M:M),)</f>
        <v>0</v>
      </c>
      <c r="E886" s="23">
        <f t="shared" si="3"/>
        <v>0</v>
      </c>
    </row>
    <row r="887" spans="1:5" ht="12.75">
      <c r="A887" s="6"/>
      <c r="B887" s="9">
        <f>IFERROR(VLOOKUP(A887,ชื่อสินค้า!A:D,4,FALSE),)</f>
        <v>0</v>
      </c>
      <c r="C887" s="9">
        <f>IF(A887&lt;&gt;"",SUMIF(ซื้อสินค้า!B:B,A887,ซื้อสินค้า!E:E)-SUMIF(ขายสินค้า!B:B,A887,ขายสินค้า!E:E),)</f>
        <v>0</v>
      </c>
      <c r="D887" s="23">
        <f>IF(A887&lt;&gt;"",SUMIF(ซื้อสินค้า!B:B,A887,ซื้อสินค้า!M:M),)</f>
        <v>0</v>
      </c>
      <c r="E887" s="23">
        <f t="shared" si="3"/>
        <v>0</v>
      </c>
    </row>
    <row r="888" spans="1:5" ht="12.75">
      <c r="A888" s="6"/>
      <c r="B888" s="9">
        <f>IFERROR(VLOOKUP(A888,ชื่อสินค้า!A:D,4,FALSE),)</f>
        <v>0</v>
      </c>
      <c r="C888" s="9">
        <f>IF(A888&lt;&gt;"",SUMIF(ซื้อสินค้า!B:B,A888,ซื้อสินค้า!E:E)-SUMIF(ขายสินค้า!B:B,A888,ขายสินค้า!E:E),)</f>
        <v>0</v>
      </c>
      <c r="D888" s="23">
        <f>IF(A888&lt;&gt;"",SUMIF(ซื้อสินค้า!B:B,A888,ซื้อสินค้า!M:M),)</f>
        <v>0</v>
      </c>
      <c r="E888" s="23">
        <f t="shared" si="3"/>
        <v>0</v>
      </c>
    </row>
    <row r="889" spans="1:5" ht="12.75">
      <c r="A889" s="6"/>
      <c r="B889" s="9">
        <f>IFERROR(VLOOKUP(A889,ชื่อสินค้า!A:D,4,FALSE),)</f>
        <v>0</v>
      </c>
      <c r="C889" s="9">
        <f>IF(A889&lt;&gt;"",SUMIF(ซื้อสินค้า!B:B,A889,ซื้อสินค้า!E:E)-SUMIF(ขายสินค้า!B:B,A889,ขายสินค้า!E:E),)</f>
        <v>0</v>
      </c>
      <c r="D889" s="23">
        <f>IF(A889&lt;&gt;"",SUMIF(ซื้อสินค้า!B:B,A889,ซื้อสินค้า!M:M),)</f>
        <v>0</v>
      </c>
      <c r="E889" s="23">
        <f t="shared" si="3"/>
        <v>0</v>
      </c>
    </row>
    <row r="890" spans="1:5" ht="12.75">
      <c r="A890" s="6"/>
      <c r="B890" s="9">
        <f>IFERROR(VLOOKUP(A890,ชื่อสินค้า!A:D,4,FALSE),)</f>
        <v>0</v>
      </c>
      <c r="C890" s="9">
        <f>IF(A890&lt;&gt;"",SUMIF(ซื้อสินค้า!B:B,A890,ซื้อสินค้า!E:E)-SUMIF(ขายสินค้า!B:B,A890,ขายสินค้า!E:E),)</f>
        <v>0</v>
      </c>
      <c r="D890" s="23">
        <f>IF(A890&lt;&gt;"",SUMIF(ซื้อสินค้า!B:B,A890,ซื้อสินค้า!M:M),)</f>
        <v>0</v>
      </c>
      <c r="E890" s="23">
        <f t="shared" si="3"/>
        <v>0</v>
      </c>
    </row>
    <row r="891" spans="1:5" ht="12.75">
      <c r="A891" s="6"/>
      <c r="B891" s="9">
        <f>IFERROR(VLOOKUP(A891,ชื่อสินค้า!A:D,4,FALSE),)</f>
        <v>0</v>
      </c>
      <c r="C891" s="9">
        <f>IF(A891&lt;&gt;"",SUMIF(ซื้อสินค้า!B:B,A891,ซื้อสินค้า!E:E)-SUMIF(ขายสินค้า!B:B,A891,ขายสินค้า!E:E),)</f>
        <v>0</v>
      </c>
      <c r="D891" s="23">
        <f>IF(A891&lt;&gt;"",SUMIF(ซื้อสินค้า!B:B,A891,ซื้อสินค้า!M:M),)</f>
        <v>0</v>
      </c>
      <c r="E891" s="23">
        <f t="shared" si="3"/>
        <v>0</v>
      </c>
    </row>
    <row r="892" spans="1:5" ht="12.75">
      <c r="A892" s="6"/>
      <c r="B892" s="9">
        <f>IFERROR(VLOOKUP(A892,ชื่อสินค้า!A:D,4,FALSE),)</f>
        <v>0</v>
      </c>
      <c r="C892" s="9">
        <f>IF(A892&lt;&gt;"",SUMIF(ซื้อสินค้า!B:B,A892,ซื้อสินค้า!E:E)-SUMIF(ขายสินค้า!B:B,A892,ขายสินค้า!E:E),)</f>
        <v>0</v>
      </c>
      <c r="D892" s="23">
        <f>IF(A892&lt;&gt;"",SUMIF(ซื้อสินค้า!B:B,A892,ซื้อสินค้า!M:M),)</f>
        <v>0</v>
      </c>
      <c r="E892" s="23">
        <f t="shared" si="3"/>
        <v>0</v>
      </c>
    </row>
    <row r="893" spans="1:5" ht="12.75">
      <c r="A893" s="6"/>
      <c r="B893" s="9">
        <f>IFERROR(VLOOKUP(A893,ชื่อสินค้า!A:D,4,FALSE),)</f>
        <v>0</v>
      </c>
      <c r="C893" s="9">
        <f>IF(A893&lt;&gt;"",SUMIF(ซื้อสินค้า!B:B,A893,ซื้อสินค้า!E:E)-SUMIF(ขายสินค้า!B:B,A893,ขายสินค้า!E:E),)</f>
        <v>0</v>
      </c>
      <c r="D893" s="23">
        <f>IF(A893&lt;&gt;"",SUMIF(ซื้อสินค้า!B:B,A893,ซื้อสินค้า!M:M),)</f>
        <v>0</v>
      </c>
      <c r="E893" s="23">
        <f t="shared" si="3"/>
        <v>0</v>
      </c>
    </row>
    <row r="894" spans="1:5" ht="12.75">
      <c r="A894" s="6"/>
      <c r="B894" s="9">
        <f>IFERROR(VLOOKUP(A894,ชื่อสินค้า!A:D,4,FALSE),)</f>
        <v>0</v>
      </c>
      <c r="C894" s="9">
        <f>IF(A894&lt;&gt;"",SUMIF(ซื้อสินค้า!B:B,A894,ซื้อสินค้า!E:E)-SUMIF(ขายสินค้า!B:B,A894,ขายสินค้า!E:E),)</f>
        <v>0</v>
      </c>
      <c r="D894" s="23">
        <f>IF(A894&lt;&gt;"",SUMIF(ซื้อสินค้า!B:B,A894,ซื้อสินค้า!M:M),)</f>
        <v>0</v>
      </c>
      <c r="E894" s="23">
        <f t="shared" si="3"/>
        <v>0</v>
      </c>
    </row>
    <row r="895" spans="1:5" ht="12.75">
      <c r="A895" s="6"/>
      <c r="B895" s="9">
        <f>IFERROR(VLOOKUP(A895,ชื่อสินค้า!A:D,4,FALSE),)</f>
        <v>0</v>
      </c>
      <c r="C895" s="9">
        <f>IF(A895&lt;&gt;"",SUMIF(ซื้อสินค้า!B:B,A895,ซื้อสินค้า!E:E)-SUMIF(ขายสินค้า!B:B,A895,ขายสินค้า!E:E),)</f>
        <v>0</v>
      </c>
      <c r="D895" s="23">
        <f>IF(A895&lt;&gt;"",SUMIF(ซื้อสินค้า!B:B,A895,ซื้อสินค้า!M:M),)</f>
        <v>0</v>
      </c>
      <c r="E895" s="23">
        <f t="shared" si="3"/>
        <v>0</v>
      </c>
    </row>
    <row r="896" spans="1:5" ht="12.75">
      <c r="A896" s="6"/>
      <c r="B896" s="9">
        <f>IFERROR(VLOOKUP(A896,ชื่อสินค้า!A:D,4,FALSE),)</f>
        <v>0</v>
      </c>
      <c r="C896" s="9">
        <f>IF(A896&lt;&gt;"",SUMIF(ซื้อสินค้า!B:B,A896,ซื้อสินค้า!E:E)-SUMIF(ขายสินค้า!B:B,A896,ขายสินค้า!E:E),)</f>
        <v>0</v>
      </c>
      <c r="D896" s="23">
        <f>IF(A896&lt;&gt;"",SUMIF(ซื้อสินค้า!B:B,A896,ซื้อสินค้า!M:M),)</f>
        <v>0</v>
      </c>
      <c r="E896" s="23">
        <f t="shared" si="3"/>
        <v>0</v>
      </c>
    </row>
    <row r="897" spans="1:5" ht="12.75">
      <c r="A897" s="6"/>
      <c r="B897" s="9">
        <f>IFERROR(VLOOKUP(A897,ชื่อสินค้า!A:D,4,FALSE),)</f>
        <v>0</v>
      </c>
      <c r="C897" s="9">
        <f>IF(A897&lt;&gt;"",SUMIF(ซื้อสินค้า!B:B,A897,ซื้อสินค้า!E:E)-SUMIF(ขายสินค้า!B:B,A897,ขายสินค้า!E:E),)</f>
        <v>0</v>
      </c>
      <c r="D897" s="23">
        <f>IF(A897&lt;&gt;"",SUMIF(ซื้อสินค้า!B:B,A897,ซื้อสินค้า!M:M),)</f>
        <v>0</v>
      </c>
      <c r="E897" s="23">
        <f t="shared" si="3"/>
        <v>0</v>
      </c>
    </row>
    <row r="898" spans="1:5" ht="12.75">
      <c r="A898" s="6"/>
      <c r="B898" s="9">
        <f>IFERROR(VLOOKUP(A898,ชื่อสินค้า!A:D,4,FALSE),)</f>
        <v>0</v>
      </c>
      <c r="C898" s="9">
        <f>IF(A898&lt;&gt;"",SUMIF(ซื้อสินค้า!B:B,A898,ซื้อสินค้า!E:E)-SUMIF(ขายสินค้า!B:B,A898,ขายสินค้า!E:E),)</f>
        <v>0</v>
      </c>
      <c r="D898" s="23">
        <f>IF(A898&lt;&gt;"",SUMIF(ซื้อสินค้า!B:B,A898,ซื้อสินค้า!M:M),)</f>
        <v>0</v>
      </c>
      <c r="E898" s="23">
        <f t="shared" si="3"/>
        <v>0</v>
      </c>
    </row>
    <row r="899" spans="1:5" ht="12.75">
      <c r="A899" s="6"/>
      <c r="B899" s="9">
        <f>IFERROR(VLOOKUP(A899,ชื่อสินค้า!A:D,4,FALSE),)</f>
        <v>0</v>
      </c>
      <c r="C899" s="9">
        <f>IF(A899&lt;&gt;"",SUMIF(ซื้อสินค้า!B:B,A899,ซื้อสินค้า!E:E)-SUMIF(ขายสินค้า!B:B,A899,ขายสินค้า!E:E),)</f>
        <v>0</v>
      </c>
      <c r="D899" s="23">
        <f>IF(A899&lt;&gt;"",SUMIF(ซื้อสินค้า!B:B,A899,ซื้อสินค้า!M:M),)</f>
        <v>0</v>
      </c>
      <c r="E899" s="23">
        <f t="shared" si="3"/>
        <v>0</v>
      </c>
    </row>
    <row r="900" spans="1:5" ht="12.75">
      <c r="A900" s="6"/>
      <c r="B900" s="9">
        <f>IFERROR(VLOOKUP(A900,ชื่อสินค้า!A:D,4,FALSE),)</f>
        <v>0</v>
      </c>
      <c r="C900" s="9">
        <f>IF(A900&lt;&gt;"",SUMIF(ซื้อสินค้า!B:B,A900,ซื้อสินค้า!E:E)-SUMIF(ขายสินค้า!B:B,A900,ขายสินค้า!E:E),)</f>
        <v>0</v>
      </c>
      <c r="D900" s="23">
        <f>IF(A900&lt;&gt;"",SUMIF(ซื้อสินค้า!B:B,A900,ซื้อสินค้า!M:M),)</f>
        <v>0</v>
      </c>
      <c r="E900" s="23">
        <f t="shared" si="3"/>
        <v>0</v>
      </c>
    </row>
    <row r="901" spans="1:5" ht="12.75">
      <c r="A901" s="6"/>
      <c r="B901" s="9">
        <f>IFERROR(VLOOKUP(A901,ชื่อสินค้า!A:D,4,FALSE),)</f>
        <v>0</v>
      </c>
      <c r="C901" s="9">
        <f>IF(A901&lt;&gt;"",SUMIF(ซื้อสินค้า!B:B,A901,ซื้อสินค้า!E:E)-SUMIF(ขายสินค้า!B:B,A901,ขายสินค้า!E:E),)</f>
        <v>0</v>
      </c>
      <c r="D901" s="23">
        <f>IF(A901&lt;&gt;"",SUMIF(ซื้อสินค้า!B:B,A901,ซื้อสินค้า!M:M),)</f>
        <v>0</v>
      </c>
      <c r="E901" s="23">
        <f t="shared" si="3"/>
        <v>0</v>
      </c>
    </row>
    <row r="902" spans="1:5" ht="12.75">
      <c r="A902" s="6"/>
      <c r="B902" s="9">
        <f>IFERROR(VLOOKUP(A902,ชื่อสินค้า!A:D,4,FALSE),)</f>
        <v>0</v>
      </c>
      <c r="C902" s="9">
        <f>IF(A902&lt;&gt;"",SUMIF(ซื้อสินค้า!B:B,A902,ซื้อสินค้า!E:E)-SUMIF(ขายสินค้า!B:B,A902,ขายสินค้า!E:E),)</f>
        <v>0</v>
      </c>
      <c r="D902" s="23">
        <f>IF(A902&lt;&gt;"",SUMIF(ซื้อสินค้า!B:B,A902,ซื้อสินค้า!M:M),)</f>
        <v>0</v>
      </c>
      <c r="E902" s="23">
        <f t="shared" si="3"/>
        <v>0</v>
      </c>
    </row>
    <row r="903" spans="1:5" ht="12.75">
      <c r="A903" s="6"/>
      <c r="B903" s="9">
        <f>IFERROR(VLOOKUP(A903,ชื่อสินค้า!A:D,4,FALSE),)</f>
        <v>0</v>
      </c>
      <c r="C903" s="9">
        <f>IF(A903&lt;&gt;"",SUMIF(ซื้อสินค้า!B:B,A903,ซื้อสินค้า!E:E)-SUMIF(ขายสินค้า!B:B,A903,ขายสินค้า!E:E),)</f>
        <v>0</v>
      </c>
      <c r="D903" s="23">
        <f>IF(A903&lt;&gt;"",SUMIF(ซื้อสินค้า!B:B,A903,ซื้อสินค้า!M:M),)</f>
        <v>0</v>
      </c>
      <c r="E903" s="23">
        <f t="shared" si="3"/>
        <v>0</v>
      </c>
    </row>
    <row r="904" spans="1:5" ht="12.75">
      <c r="A904" s="6"/>
      <c r="B904" s="9">
        <f>IFERROR(VLOOKUP(A904,ชื่อสินค้า!A:D,4,FALSE),)</f>
        <v>0</v>
      </c>
      <c r="C904" s="9">
        <f>IF(A904&lt;&gt;"",SUMIF(ซื้อสินค้า!B:B,A904,ซื้อสินค้า!E:E)-SUMIF(ขายสินค้า!B:B,A904,ขายสินค้า!E:E),)</f>
        <v>0</v>
      </c>
      <c r="D904" s="23">
        <f>IF(A904&lt;&gt;"",SUMIF(ซื้อสินค้า!B:B,A904,ซื้อสินค้า!M:M),)</f>
        <v>0</v>
      </c>
      <c r="E904" s="23">
        <f t="shared" si="3"/>
        <v>0</v>
      </c>
    </row>
    <row r="905" spans="1:5" ht="12.75">
      <c r="A905" s="6"/>
      <c r="B905" s="9">
        <f>IFERROR(VLOOKUP(A905,ชื่อสินค้า!A:D,4,FALSE),)</f>
        <v>0</v>
      </c>
      <c r="C905" s="9">
        <f>IF(A905&lt;&gt;"",SUMIF(ซื้อสินค้า!B:B,A905,ซื้อสินค้า!E:E)-SUMIF(ขายสินค้า!B:B,A905,ขายสินค้า!E:E),)</f>
        <v>0</v>
      </c>
      <c r="D905" s="23">
        <f>IF(A905&lt;&gt;"",SUMIF(ซื้อสินค้า!B:B,A905,ซื้อสินค้า!M:M),)</f>
        <v>0</v>
      </c>
      <c r="E905" s="23">
        <f t="shared" si="3"/>
        <v>0</v>
      </c>
    </row>
    <row r="906" spans="1:5" ht="12.75">
      <c r="A906" s="6"/>
      <c r="B906" s="9">
        <f>IFERROR(VLOOKUP(A906,ชื่อสินค้า!A:D,4,FALSE),)</f>
        <v>0</v>
      </c>
      <c r="C906" s="9">
        <f>IF(A906&lt;&gt;"",SUMIF(ซื้อสินค้า!B:B,A906,ซื้อสินค้า!E:E)-SUMIF(ขายสินค้า!B:B,A906,ขายสินค้า!E:E),)</f>
        <v>0</v>
      </c>
      <c r="D906" s="23">
        <f>IF(A906&lt;&gt;"",SUMIF(ซื้อสินค้า!B:B,A906,ซื้อสินค้า!M:M),)</f>
        <v>0</v>
      </c>
      <c r="E906" s="23">
        <f t="shared" si="3"/>
        <v>0</v>
      </c>
    </row>
    <row r="907" spans="1:5" ht="12.75">
      <c r="A907" s="6"/>
      <c r="B907" s="9">
        <f>IFERROR(VLOOKUP(A907,ชื่อสินค้า!A:D,4,FALSE),)</f>
        <v>0</v>
      </c>
      <c r="C907" s="9">
        <f>IF(A907&lt;&gt;"",SUMIF(ซื้อสินค้า!B:B,A907,ซื้อสินค้า!E:E)-SUMIF(ขายสินค้า!B:B,A907,ขายสินค้า!E:E),)</f>
        <v>0</v>
      </c>
      <c r="D907" s="23">
        <f>IF(A907&lt;&gt;"",SUMIF(ซื้อสินค้า!B:B,A907,ซื้อสินค้า!M:M),)</f>
        <v>0</v>
      </c>
      <c r="E907" s="23">
        <f t="shared" si="3"/>
        <v>0</v>
      </c>
    </row>
    <row r="908" spans="1:5" ht="12.75">
      <c r="A908" s="6"/>
      <c r="B908" s="9">
        <f>IFERROR(VLOOKUP(A908,ชื่อสินค้า!A:D,4,FALSE),)</f>
        <v>0</v>
      </c>
      <c r="C908" s="9">
        <f>IF(A908&lt;&gt;"",SUMIF(ซื้อสินค้า!B:B,A908,ซื้อสินค้า!E:E)-SUMIF(ขายสินค้า!B:B,A908,ขายสินค้า!E:E),)</f>
        <v>0</v>
      </c>
      <c r="D908" s="23">
        <f>IF(A908&lt;&gt;"",SUMIF(ซื้อสินค้า!B:B,A908,ซื้อสินค้า!M:M),)</f>
        <v>0</v>
      </c>
      <c r="E908" s="23">
        <f t="shared" si="3"/>
        <v>0</v>
      </c>
    </row>
    <row r="909" spans="1:5" ht="12.75">
      <c r="A909" s="6"/>
      <c r="B909" s="9">
        <f>IFERROR(VLOOKUP(A909,ชื่อสินค้า!A:D,4,FALSE),)</f>
        <v>0</v>
      </c>
      <c r="C909" s="9">
        <f>IF(A909&lt;&gt;"",SUMIF(ซื้อสินค้า!B:B,A909,ซื้อสินค้า!E:E)-SUMIF(ขายสินค้า!B:B,A909,ขายสินค้า!E:E),)</f>
        <v>0</v>
      </c>
      <c r="D909" s="23">
        <f>IF(A909&lt;&gt;"",SUMIF(ซื้อสินค้า!B:B,A909,ซื้อสินค้า!M:M),)</f>
        <v>0</v>
      </c>
      <c r="E909" s="23">
        <f t="shared" si="3"/>
        <v>0</v>
      </c>
    </row>
    <row r="910" spans="1:5" ht="12.75">
      <c r="A910" s="6"/>
      <c r="B910" s="9">
        <f>IFERROR(VLOOKUP(A910,ชื่อสินค้า!A:D,4,FALSE),)</f>
        <v>0</v>
      </c>
      <c r="C910" s="9">
        <f>IF(A910&lt;&gt;"",SUMIF(ซื้อสินค้า!B:B,A910,ซื้อสินค้า!E:E)-SUMIF(ขายสินค้า!B:B,A910,ขายสินค้า!E:E),)</f>
        <v>0</v>
      </c>
      <c r="D910" s="23">
        <f>IF(A910&lt;&gt;"",SUMIF(ซื้อสินค้า!B:B,A910,ซื้อสินค้า!M:M),)</f>
        <v>0</v>
      </c>
      <c r="E910" s="23">
        <f t="shared" si="3"/>
        <v>0</v>
      </c>
    </row>
    <row r="911" spans="1:5" ht="12.75">
      <c r="A911" s="6"/>
      <c r="B911" s="9">
        <f>IFERROR(VLOOKUP(A911,ชื่อสินค้า!A:D,4,FALSE),)</f>
        <v>0</v>
      </c>
      <c r="C911" s="9">
        <f>IF(A911&lt;&gt;"",SUMIF(ซื้อสินค้า!B:B,A911,ซื้อสินค้า!E:E)-SUMIF(ขายสินค้า!B:B,A911,ขายสินค้า!E:E),)</f>
        <v>0</v>
      </c>
      <c r="D911" s="23">
        <f>IF(A911&lt;&gt;"",SUMIF(ซื้อสินค้า!B:B,A911,ซื้อสินค้า!M:M),)</f>
        <v>0</v>
      </c>
      <c r="E911" s="23">
        <f t="shared" si="3"/>
        <v>0</v>
      </c>
    </row>
    <row r="912" spans="1:5" ht="12.75">
      <c r="A912" s="6"/>
      <c r="B912" s="9">
        <f>IFERROR(VLOOKUP(A912,ชื่อสินค้า!A:D,4,FALSE),)</f>
        <v>0</v>
      </c>
      <c r="C912" s="9">
        <f>IF(A912&lt;&gt;"",SUMIF(ซื้อสินค้า!B:B,A912,ซื้อสินค้า!E:E)-SUMIF(ขายสินค้า!B:B,A912,ขายสินค้า!E:E),)</f>
        <v>0</v>
      </c>
      <c r="D912" s="23">
        <f>IF(A912&lt;&gt;"",SUMIF(ซื้อสินค้า!B:B,A912,ซื้อสินค้า!M:M),)</f>
        <v>0</v>
      </c>
      <c r="E912" s="23">
        <f t="shared" si="3"/>
        <v>0</v>
      </c>
    </row>
    <row r="913" spans="1:5" ht="12.75">
      <c r="A913" s="6"/>
      <c r="B913" s="9">
        <f>IFERROR(VLOOKUP(A913,ชื่อสินค้า!A:D,4,FALSE),)</f>
        <v>0</v>
      </c>
      <c r="C913" s="9">
        <f>IF(A913&lt;&gt;"",SUMIF(ซื้อสินค้า!B:B,A913,ซื้อสินค้า!E:E)-SUMIF(ขายสินค้า!B:B,A913,ขายสินค้า!E:E),)</f>
        <v>0</v>
      </c>
      <c r="D913" s="23">
        <f>IF(A913&lt;&gt;"",SUMIF(ซื้อสินค้า!B:B,A913,ซื้อสินค้า!M:M),)</f>
        <v>0</v>
      </c>
      <c r="E913" s="23">
        <f t="shared" si="3"/>
        <v>0</v>
      </c>
    </row>
    <row r="914" spans="1:5" ht="12.75">
      <c r="A914" s="6"/>
      <c r="B914" s="9">
        <f>IFERROR(VLOOKUP(A914,ชื่อสินค้า!A:D,4,FALSE),)</f>
        <v>0</v>
      </c>
      <c r="C914" s="9">
        <f>IF(A914&lt;&gt;"",SUMIF(ซื้อสินค้า!B:B,A914,ซื้อสินค้า!E:E)-SUMIF(ขายสินค้า!B:B,A914,ขายสินค้า!E:E),)</f>
        <v>0</v>
      </c>
      <c r="D914" s="23">
        <f>IF(A914&lt;&gt;"",SUMIF(ซื้อสินค้า!B:B,A914,ซื้อสินค้า!M:M),)</f>
        <v>0</v>
      </c>
      <c r="E914" s="23">
        <f t="shared" si="3"/>
        <v>0</v>
      </c>
    </row>
    <row r="915" spans="1:5" ht="12.75">
      <c r="A915" s="6"/>
      <c r="B915" s="9">
        <f>IFERROR(VLOOKUP(A915,ชื่อสินค้า!A:D,4,FALSE),)</f>
        <v>0</v>
      </c>
      <c r="C915" s="9">
        <f>IF(A915&lt;&gt;"",SUMIF(ซื้อสินค้า!B:B,A915,ซื้อสินค้า!E:E)-SUMIF(ขายสินค้า!B:B,A915,ขายสินค้า!E:E),)</f>
        <v>0</v>
      </c>
      <c r="D915" s="23">
        <f>IF(A915&lt;&gt;"",SUMIF(ซื้อสินค้า!B:B,A915,ซื้อสินค้า!M:M),)</f>
        <v>0</v>
      </c>
      <c r="E915" s="23">
        <f t="shared" si="3"/>
        <v>0</v>
      </c>
    </row>
    <row r="916" spans="1:5" ht="12.75">
      <c r="A916" s="6"/>
      <c r="B916" s="9">
        <f>IFERROR(VLOOKUP(A916,ชื่อสินค้า!A:D,4,FALSE),)</f>
        <v>0</v>
      </c>
      <c r="C916" s="9">
        <f>IF(A916&lt;&gt;"",SUMIF(ซื้อสินค้า!B:B,A916,ซื้อสินค้า!E:E)-SUMIF(ขายสินค้า!B:B,A916,ขายสินค้า!E:E),)</f>
        <v>0</v>
      </c>
      <c r="D916" s="23">
        <f>IF(A916&lt;&gt;"",SUMIF(ซื้อสินค้า!B:B,A916,ซื้อสินค้า!M:M),)</f>
        <v>0</v>
      </c>
      <c r="E916" s="23">
        <f t="shared" si="3"/>
        <v>0</v>
      </c>
    </row>
    <row r="917" spans="1:5" ht="12.75">
      <c r="A917" s="6"/>
      <c r="B917" s="9">
        <f>IFERROR(VLOOKUP(A917,ชื่อสินค้า!A:D,4,FALSE),)</f>
        <v>0</v>
      </c>
      <c r="C917" s="9">
        <f>IF(A917&lt;&gt;"",SUMIF(ซื้อสินค้า!B:B,A917,ซื้อสินค้า!E:E)-SUMIF(ขายสินค้า!B:B,A917,ขายสินค้า!E:E),)</f>
        <v>0</v>
      </c>
      <c r="D917" s="23">
        <f>IF(A917&lt;&gt;"",SUMIF(ซื้อสินค้า!B:B,A917,ซื้อสินค้า!M:M),)</f>
        <v>0</v>
      </c>
      <c r="E917" s="23">
        <f t="shared" si="3"/>
        <v>0</v>
      </c>
    </row>
    <row r="918" spans="1:5" ht="12.75">
      <c r="A918" s="6"/>
      <c r="B918" s="9">
        <f>IFERROR(VLOOKUP(A918,ชื่อสินค้า!A:D,4,FALSE),)</f>
        <v>0</v>
      </c>
      <c r="C918" s="9">
        <f>IF(A918&lt;&gt;"",SUMIF(ซื้อสินค้า!B:B,A918,ซื้อสินค้า!E:E)-SUMIF(ขายสินค้า!B:B,A918,ขายสินค้า!E:E),)</f>
        <v>0</v>
      </c>
      <c r="D918" s="23">
        <f>IF(A918&lt;&gt;"",SUMIF(ซื้อสินค้า!B:B,A918,ซื้อสินค้า!M:M),)</f>
        <v>0</v>
      </c>
      <c r="E918" s="23">
        <f t="shared" si="3"/>
        <v>0</v>
      </c>
    </row>
    <row r="919" spans="1:5" ht="12.75">
      <c r="A919" s="6"/>
      <c r="B919" s="9">
        <f>IFERROR(VLOOKUP(A919,ชื่อสินค้า!A:D,4,FALSE),)</f>
        <v>0</v>
      </c>
      <c r="C919" s="9">
        <f>IF(A919&lt;&gt;"",SUMIF(ซื้อสินค้า!B:B,A919,ซื้อสินค้า!E:E)-SUMIF(ขายสินค้า!B:B,A919,ขายสินค้า!E:E),)</f>
        <v>0</v>
      </c>
      <c r="D919" s="23">
        <f>IF(A919&lt;&gt;"",SUMIF(ซื้อสินค้า!B:B,A919,ซื้อสินค้า!M:M),)</f>
        <v>0</v>
      </c>
      <c r="E919" s="23">
        <f t="shared" si="3"/>
        <v>0</v>
      </c>
    </row>
    <row r="920" spans="1:5" ht="12.75">
      <c r="A920" s="6"/>
      <c r="B920" s="9">
        <f>IFERROR(VLOOKUP(A920,ชื่อสินค้า!A:D,4,FALSE),)</f>
        <v>0</v>
      </c>
      <c r="C920" s="9">
        <f>IF(A920&lt;&gt;"",SUMIF(ซื้อสินค้า!B:B,A920,ซื้อสินค้า!E:E)-SUMIF(ขายสินค้า!B:B,A920,ขายสินค้า!E:E),)</f>
        <v>0</v>
      </c>
      <c r="D920" s="23">
        <f>IF(A920&lt;&gt;"",SUMIF(ซื้อสินค้า!B:B,A920,ซื้อสินค้า!M:M),)</f>
        <v>0</v>
      </c>
      <c r="E920" s="23">
        <f t="shared" si="3"/>
        <v>0</v>
      </c>
    </row>
    <row r="921" spans="1:5" ht="12.75">
      <c r="A921" s="6"/>
      <c r="B921" s="9">
        <f>IFERROR(VLOOKUP(A921,ชื่อสินค้า!A:D,4,FALSE),)</f>
        <v>0</v>
      </c>
      <c r="C921" s="9">
        <f>IF(A921&lt;&gt;"",SUMIF(ซื้อสินค้า!B:B,A921,ซื้อสินค้า!E:E)-SUMIF(ขายสินค้า!B:B,A921,ขายสินค้า!E:E),)</f>
        <v>0</v>
      </c>
      <c r="D921" s="23">
        <f>IF(A921&lt;&gt;"",SUMIF(ซื้อสินค้า!B:B,A921,ซื้อสินค้า!M:M),)</f>
        <v>0</v>
      </c>
      <c r="E921" s="23">
        <f t="shared" si="3"/>
        <v>0</v>
      </c>
    </row>
    <row r="922" spans="1:5" ht="12.75">
      <c r="A922" s="6"/>
      <c r="B922" s="9">
        <f>IFERROR(VLOOKUP(A922,ชื่อสินค้า!A:D,4,FALSE),)</f>
        <v>0</v>
      </c>
      <c r="C922" s="9">
        <f>IF(A922&lt;&gt;"",SUMIF(ซื้อสินค้า!B:B,A922,ซื้อสินค้า!E:E)-SUMIF(ขายสินค้า!B:B,A922,ขายสินค้า!E:E),)</f>
        <v>0</v>
      </c>
      <c r="D922" s="23">
        <f>IF(A922&lt;&gt;"",SUMIF(ซื้อสินค้า!B:B,A922,ซื้อสินค้า!M:M),)</f>
        <v>0</v>
      </c>
      <c r="E922" s="23">
        <f t="shared" si="3"/>
        <v>0</v>
      </c>
    </row>
    <row r="923" spans="1:5" ht="12.75">
      <c r="A923" s="6"/>
      <c r="B923" s="9">
        <f>IFERROR(VLOOKUP(A923,ชื่อสินค้า!A:D,4,FALSE),)</f>
        <v>0</v>
      </c>
      <c r="C923" s="9">
        <f>IF(A923&lt;&gt;"",SUMIF(ซื้อสินค้า!B:B,A923,ซื้อสินค้า!E:E)-SUMIF(ขายสินค้า!B:B,A923,ขายสินค้า!E:E),)</f>
        <v>0</v>
      </c>
      <c r="D923" s="23">
        <f>IF(A923&lt;&gt;"",SUMIF(ซื้อสินค้า!B:B,A923,ซื้อสินค้า!M:M),)</f>
        <v>0</v>
      </c>
      <c r="E923" s="23">
        <f t="shared" si="3"/>
        <v>0</v>
      </c>
    </row>
    <row r="924" spans="1:5" ht="12.75">
      <c r="A924" s="6"/>
      <c r="B924" s="9">
        <f>IFERROR(VLOOKUP(A924,ชื่อสินค้า!A:D,4,FALSE),)</f>
        <v>0</v>
      </c>
      <c r="C924" s="9">
        <f>IF(A924&lt;&gt;"",SUMIF(ซื้อสินค้า!B:B,A924,ซื้อสินค้า!E:E)-SUMIF(ขายสินค้า!B:B,A924,ขายสินค้า!E:E),)</f>
        <v>0</v>
      </c>
      <c r="D924" s="23">
        <f>IF(A924&lt;&gt;"",SUMIF(ซื้อสินค้า!B:B,A924,ซื้อสินค้า!M:M),)</f>
        <v>0</v>
      </c>
      <c r="E924" s="23">
        <f t="shared" si="3"/>
        <v>0</v>
      </c>
    </row>
    <row r="925" spans="1:5" ht="12.75">
      <c r="A925" s="6"/>
      <c r="B925" s="9">
        <f>IFERROR(VLOOKUP(A925,ชื่อสินค้า!A:D,4,FALSE),)</f>
        <v>0</v>
      </c>
      <c r="C925" s="9">
        <f>IF(A925&lt;&gt;"",SUMIF(ซื้อสินค้า!B:B,A925,ซื้อสินค้า!E:E)-SUMIF(ขายสินค้า!B:B,A925,ขายสินค้า!E:E),)</f>
        <v>0</v>
      </c>
      <c r="D925" s="23">
        <f>IF(A925&lt;&gt;"",SUMIF(ซื้อสินค้า!B:B,A925,ซื้อสินค้า!M:M),)</f>
        <v>0</v>
      </c>
      <c r="E925" s="23">
        <f t="shared" si="3"/>
        <v>0</v>
      </c>
    </row>
    <row r="926" spans="1:5" ht="12.75">
      <c r="A926" s="6"/>
      <c r="B926" s="9">
        <f>IFERROR(VLOOKUP(A926,ชื่อสินค้า!A:D,4,FALSE),)</f>
        <v>0</v>
      </c>
      <c r="C926" s="9">
        <f>IF(A926&lt;&gt;"",SUMIF(ซื้อสินค้า!B:B,A926,ซื้อสินค้า!E:E)-SUMIF(ขายสินค้า!B:B,A926,ขายสินค้า!E:E),)</f>
        <v>0</v>
      </c>
      <c r="D926" s="23">
        <f>IF(A926&lt;&gt;"",SUMIF(ซื้อสินค้า!B:B,A926,ซื้อสินค้า!M:M),)</f>
        <v>0</v>
      </c>
      <c r="E926" s="23">
        <f t="shared" si="3"/>
        <v>0</v>
      </c>
    </row>
    <row r="927" spans="1:5" ht="12.75">
      <c r="A927" s="6"/>
      <c r="B927" s="9">
        <f>IFERROR(VLOOKUP(A927,ชื่อสินค้า!A:D,4,FALSE),)</f>
        <v>0</v>
      </c>
      <c r="C927" s="9">
        <f>IF(A927&lt;&gt;"",SUMIF(ซื้อสินค้า!B:B,A927,ซื้อสินค้า!E:E)-SUMIF(ขายสินค้า!B:B,A927,ขายสินค้า!E:E),)</f>
        <v>0</v>
      </c>
      <c r="D927" s="23">
        <f>IF(A927&lt;&gt;"",SUMIF(ซื้อสินค้า!B:B,A927,ซื้อสินค้า!M:M),)</f>
        <v>0</v>
      </c>
      <c r="E927" s="23">
        <f t="shared" si="3"/>
        <v>0</v>
      </c>
    </row>
    <row r="928" spans="1:5" ht="12.75">
      <c r="A928" s="6"/>
      <c r="B928" s="9">
        <f>IFERROR(VLOOKUP(A928,ชื่อสินค้า!A:D,4,FALSE),)</f>
        <v>0</v>
      </c>
      <c r="C928" s="9">
        <f>IF(A928&lt;&gt;"",SUMIF(ซื้อสินค้า!B:B,A928,ซื้อสินค้า!E:E)-SUMIF(ขายสินค้า!B:B,A928,ขายสินค้า!E:E),)</f>
        <v>0</v>
      </c>
      <c r="D928" s="23">
        <f>IF(A928&lt;&gt;"",SUMIF(ซื้อสินค้า!B:B,A928,ซื้อสินค้า!M:M),)</f>
        <v>0</v>
      </c>
      <c r="E928" s="23">
        <f t="shared" si="3"/>
        <v>0</v>
      </c>
    </row>
    <row r="929" spans="1:5" ht="12.75">
      <c r="A929" s="6"/>
      <c r="B929" s="9">
        <f>IFERROR(VLOOKUP(A929,ชื่อสินค้า!A:D,4,FALSE),)</f>
        <v>0</v>
      </c>
      <c r="C929" s="9">
        <f>IF(A929&lt;&gt;"",SUMIF(ซื้อสินค้า!B:B,A929,ซื้อสินค้า!E:E)-SUMIF(ขายสินค้า!B:B,A929,ขายสินค้า!E:E),)</f>
        <v>0</v>
      </c>
      <c r="D929" s="23">
        <f>IF(A929&lt;&gt;"",SUMIF(ซื้อสินค้า!B:B,A929,ซื้อสินค้า!M:M),)</f>
        <v>0</v>
      </c>
      <c r="E929" s="23">
        <f t="shared" si="3"/>
        <v>0</v>
      </c>
    </row>
    <row r="930" spans="1:5" ht="12.75">
      <c r="A930" s="6"/>
      <c r="B930" s="9">
        <f>IFERROR(VLOOKUP(A930,ชื่อสินค้า!A:D,4,FALSE),)</f>
        <v>0</v>
      </c>
      <c r="C930" s="9">
        <f>IF(A930&lt;&gt;"",SUMIF(ซื้อสินค้า!B:B,A930,ซื้อสินค้า!E:E)-SUMIF(ขายสินค้า!B:B,A930,ขายสินค้า!E:E),)</f>
        <v>0</v>
      </c>
      <c r="D930" s="23">
        <f>IF(A930&lt;&gt;"",SUMIF(ซื้อสินค้า!B:B,A930,ซื้อสินค้า!M:M),)</f>
        <v>0</v>
      </c>
      <c r="E930" s="23">
        <f t="shared" si="3"/>
        <v>0</v>
      </c>
    </row>
    <row r="931" spans="1:5" ht="12.75">
      <c r="A931" s="6"/>
      <c r="B931" s="9">
        <f>IFERROR(VLOOKUP(A931,ชื่อสินค้า!A:D,4,FALSE),)</f>
        <v>0</v>
      </c>
      <c r="C931" s="9">
        <f>IF(A931&lt;&gt;"",SUMIF(ซื้อสินค้า!B:B,A931,ซื้อสินค้า!E:E)-SUMIF(ขายสินค้า!B:B,A931,ขายสินค้า!E:E),)</f>
        <v>0</v>
      </c>
      <c r="D931" s="23">
        <f>IF(A931&lt;&gt;"",SUMIF(ซื้อสินค้า!B:B,A931,ซื้อสินค้า!M:M),)</f>
        <v>0</v>
      </c>
      <c r="E931" s="23">
        <f t="shared" si="3"/>
        <v>0</v>
      </c>
    </row>
    <row r="932" spans="1:5" ht="12.75">
      <c r="A932" s="6"/>
      <c r="B932" s="9">
        <f>IFERROR(VLOOKUP(A932,ชื่อสินค้า!A:D,4,FALSE),)</f>
        <v>0</v>
      </c>
      <c r="C932" s="9">
        <f>IF(A932&lt;&gt;"",SUMIF(ซื้อสินค้า!B:B,A932,ซื้อสินค้า!E:E)-SUMIF(ขายสินค้า!B:B,A932,ขายสินค้า!E:E),)</f>
        <v>0</v>
      </c>
      <c r="D932" s="23">
        <f>IF(A932&lt;&gt;"",SUMIF(ซื้อสินค้า!B:B,A932,ซื้อสินค้า!M:M),)</f>
        <v>0</v>
      </c>
      <c r="E932" s="23">
        <f t="shared" si="3"/>
        <v>0</v>
      </c>
    </row>
    <row r="933" spans="1:5" ht="12.75">
      <c r="A933" s="6"/>
      <c r="B933" s="9">
        <f>IFERROR(VLOOKUP(A933,ชื่อสินค้า!A:D,4,FALSE),)</f>
        <v>0</v>
      </c>
      <c r="C933" s="9">
        <f>IF(A933&lt;&gt;"",SUMIF(ซื้อสินค้า!B:B,A933,ซื้อสินค้า!E:E)-SUMIF(ขายสินค้า!B:B,A933,ขายสินค้า!E:E),)</f>
        <v>0</v>
      </c>
      <c r="D933" s="23">
        <f>IF(A933&lt;&gt;"",SUMIF(ซื้อสินค้า!B:B,A933,ซื้อสินค้า!M:M),)</f>
        <v>0</v>
      </c>
      <c r="E933" s="23">
        <f t="shared" si="3"/>
        <v>0</v>
      </c>
    </row>
    <row r="934" spans="1:5" ht="12.75">
      <c r="A934" s="6"/>
      <c r="B934" s="9">
        <f>IFERROR(VLOOKUP(A934,ชื่อสินค้า!A:D,4,FALSE),)</f>
        <v>0</v>
      </c>
      <c r="C934" s="9">
        <f>IF(A934&lt;&gt;"",SUMIF(ซื้อสินค้า!B:B,A934,ซื้อสินค้า!E:E)-SUMIF(ขายสินค้า!B:B,A934,ขายสินค้า!E:E),)</f>
        <v>0</v>
      </c>
      <c r="D934" s="23">
        <f>IF(A934&lt;&gt;"",SUMIF(ซื้อสินค้า!B:B,A934,ซื้อสินค้า!M:M),)</f>
        <v>0</v>
      </c>
      <c r="E934" s="23">
        <f t="shared" si="3"/>
        <v>0</v>
      </c>
    </row>
    <row r="935" spans="1:5" ht="12.75">
      <c r="A935" s="6"/>
      <c r="B935" s="9">
        <f>IFERROR(VLOOKUP(A935,ชื่อสินค้า!A:D,4,FALSE),)</f>
        <v>0</v>
      </c>
      <c r="C935" s="9">
        <f>IF(A935&lt;&gt;"",SUMIF(ซื้อสินค้า!B:B,A935,ซื้อสินค้า!E:E)-SUMIF(ขายสินค้า!B:B,A935,ขายสินค้า!E:E),)</f>
        <v>0</v>
      </c>
      <c r="D935" s="23">
        <f>IF(A935&lt;&gt;"",SUMIF(ซื้อสินค้า!B:B,A935,ซื้อสินค้า!M:M),)</f>
        <v>0</v>
      </c>
      <c r="E935" s="23">
        <f t="shared" si="3"/>
        <v>0</v>
      </c>
    </row>
    <row r="936" spans="1:5" ht="12.75">
      <c r="A936" s="6"/>
      <c r="B936" s="9">
        <f>IFERROR(VLOOKUP(A936,ชื่อสินค้า!A:D,4,FALSE),)</f>
        <v>0</v>
      </c>
      <c r="C936" s="9">
        <f>IF(A936&lt;&gt;"",SUMIF(ซื้อสินค้า!B:B,A936,ซื้อสินค้า!E:E)-SUMIF(ขายสินค้า!B:B,A936,ขายสินค้า!E:E),)</f>
        <v>0</v>
      </c>
      <c r="D936" s="23">
        <f>IF(A936&lt;&gt;"",SUMIF(ซื้อสินค้า!B:B,A936,ซื้อสินค้า!M:M),)</f>
        <v>0</v>
      </c>
      <c r="E936" s="23">
        <f t="shared" si="3"/>
        <v>0</v>
      </c>
    </row>
    <row r="937" spans="1:5" ht="12.75">
      <c r="A937" s="6"/>
      <c r="B937" s="9">
        <f>IFERROR(VLOOKUP(A937,ชื่อสินค้า!A:D,4,FALSE),)</f>
        <v>0</v>
      </c>
      <c r="C937" s="9">
        <f>IF(A937&lt;&gt;"",SUMIF(ซื้อสินค้า!B:B,A937,ซื้อสินค้า!E:E)-SUMIF(ขายสินค้า!B:B,A937,ขายสินค้า!E:E),)</f>
        <v>0</v>
      </c>
      <c r="D937" s="23">
        <f>IF(A937&lt;&gt;"",SUMIF(ซื้อสินค้า!B:B,A937,ซื้อสินค้า!M:M),)</f>
        <v>0</v>
      </c>
      <c r="E937" s="23">
        <f t="shared" si="3"/>
        <v>0</v>
      </c>
    </row>
    <row r="938" spans="1:5" ht="12.75">
      <c r="A938" s="6"/>
      <c r="B938" s="9">
        <f>IFERROR(VLOOKUP(A938,ชื่อสินค้า!A:D,4,FALSE),)</f>
        <v>0</v>
      </c>
      <c r="C938" s="9">
        <f>IF(A938&lt;&gt;"",SUMIF(ซื้อสินค้า!B:B,A938,ซื้อสินค้า!E:E)-SUMIF(ขายสินค้า!B:B,A938,ขายสินค้า!E:E),)</f>
        <v>0</v>
      </c>
      <c r="D938" s="23">
        <f>IF(A938&lt;&gt;"",SUMIF(ซื้อสินค้า!B:B,A938,ซื้อสินค้า!M:M),)</f>
        <v>0</v>
      </c>
      <c r="E938" s="23">
        <f t="shared" si="3"/>
        <v>0</v>
      </c>
    </row>
    <row r="939" spans="1:5" ht="12.75">
      <c r="A939" s="6"/>
      <c r="B939" s="9">
        <f>IFERROR(VLOOKUP(A939,ชื่อสินค้า!A:D,4,FALSE),)</f>
        <v>0</v>
      </c>
      <c r="C939" s="9">
        <f>IF(A939&lt;&gt;"",SUMIF(ซื้อสินค้า!B:B,A939,ซื้อสินค้า!E:E)-SUMIF(ขายสินค้า!B:B,A939,ขายสินค้า!E:E),)</f>
        <v>0</v>
      </c>
      <c r="D939" s="23">
        <f>IF(A939&lt;&gt;"",SUMIF(ซื้อสินค้า!B:B,A939,ซื้อสินค้า!M:M),)</f>
        <v>0</v>
      </c>
      <c r="E939" s="23">
        <f t="shared" si="3"/>
        <v>0</v>
      </c>
    </row>
    <row r="940" spans="1:5" ht="12.75">
      <c r="A940" s="6"/>
      <c r="B940" s="9">
        <f>IFERROR(VLOOKUP(A940,ชื่อสินค้า!A:D,4,FALSE),)</f>
        <v>0</v>
      </c>
      <c r="C940" s="9">
        <f>IF(A940&lt;&gt;"",SUMIF(ซื้อสินค้า!B:B,A940,ซื้อสินค้า!E:E)-SUMIF(ขายสินค้า!B:B,A940,ขายสินค้า!E:E),)</f>
        <v>0</v>
      </c>
      <c r="D940" s="23">
        <f>IF(A940&lt;&gt;"",SUMIF(ซื้อสินค้า!B:B,A940,ซื้อสินค้า!M:M),)</f>
        <v>0</v>
      </c>
      <c r="E940" s="23">
        <f t="shared" si="3"/>
        <v>0</v>
      </c>
    </row>
    <row r="941" spans="1:5" ht="12.75">
      <c r="A941" s="6"/>
      <c r="B941" s="9">
        <f>IFERROR(VLOOKUP(A941,ชื่อสินค้า!A:D,4,FALSE),)</f>
        <v>0</v>
      </c>
      <c r="C941" s="9">
        <f>IF(A941&lt;&gt;"",SUMIF(ซื้อสินค้า!B:B,A941,ซื้อสินค้า!E:E)-SUMIF(ขายสินค้า!B:B,A941,ขายสินค้า!E:E),)</f>
        <v>0</v>
      </c>
      <c r="D941" s="23">
        <f>IF(A941&lt;&gt;"",SUMIF(ซื้อสินค้า!B:B,A941,ซื้อสินค้า!M:M),)</f>
        <v>0</v>
      </c>
      <c r="E941" s="23">
        <f t="shared" si="3"/>
        <v>0</v>
      </c>
    </row>
    <row r="942" spans="1:5" ht="12.75">
      <c r="A942" s="6"/>
      <c r="B942" s="9">
        <f>IFERROR(VLOOKUP(A942,ชื่อสินค้า!A:D,4,FALSE),)</f>
        <v>0</v>
      </c>
      <c r="C942" s="9">
        <f>IF(A942&lt;&gt;"",SUMIF(ซื้อสินค้า!B:B,A942,ซื้อสินค้า!E:E)-SUMIF(ขายสินค้า!B:B,A942,ขายสินค้า!E:E),)</f>
        <v>0</v>
      </c>
      <c r="D942" s="23">
        <f>IF(A942&lt;&gt;"",SUMIF(ซื้อสินค้า!B:B,A942,ซื้อสินค้า!M:M),)</f>
        <v>0</v>
      </c>
      <c r="E942" s="23">
        <f t="shared" si="3"/>
        <v>0</v>
      </c>
    </row>
    <row r="943" spans="1:5" ht="12.75">
      <c r="A943" s="6"/>
      <c r="B943" s="9">
        <f>IFERROR(VLOOKUP(A943,ชื่อสินค้า!A:D,4,FALSE),)</f>
        <v>0</v>
      </c>
      <c r="C943" s="9">
        <f>IF(A943&lt;&gt;"",SUMIF(ซื้อสินค้า!B:B,A943,ซื้อสินค้า!E:E)-SUMIF(ขายสินค้า!B:B,A943,ขายสินค้า!E:E),)</f>
        <v>0</v>
      </c>
      <c r="D943" s="23">
        <f>IF(A943&lt;&gt;"",SUMIF(ซื้อสินค้า!B:B,A943,ซื้อสินค้า!M:M),)</f>
        <v>0</v>
      </c>
      <c r="E943" s="23">
        <f t="shared" si="3"/>
        <v>0</v>
      </c>
    </row>
    <row r="944" spans="1:5" ht="12.75">
      <c r="A944" s="6"/>
      <c r="B944" s="9">
        <f>IFERROR(VLOOKUP(A944,ชื่อสินค้า!A:D,4,FALSE),)</f>
        <v>0</v>
      </c>
      <c r="C944" s="9">
        <f>IF(A944&lt;&gt;"",SUMIF(ซื้อสินค้า!B:B,A944,ซื้อสินค้า!E:E)-SUMIF(ขายสินค้า!B:B,A944,ขายสินค้า!E:E),)</f>
        <v>0</v>
      </c>
      <c r="D944" s="23">
        <f>IF(A944&lt;&gt;"",SUMIF(ซื้อสินค้า!B:B,A944,ซื้อสินค้า!M:M),)</f>
        <v>0</v>
      </c>
      <c r="E944" s="23">
        <f t="shared" si="3"/>
        <v>0</v>
      </c>
    </row>
    <row r="945" spans="1:5" ht="12.75">
      <c r="A945" s="6"/>
      <c r="B945" s="9">
        <f>IFERROR(VLOOKUP(A945,ชื่อสินค้า!A:D,4,FALSE),)</f>
        <v>0</v>
      </c>
      <c r="C945" s="9">
        <f>IF(A945&lt;&gt;"",SUMIF(ซื้อสินค้า!B:B,A945,ซื้อสินค้า!E:E)-SUMIF(ขายสินค้า!B:B,A945,ขายสินค้า!E:E),)</f>
        <v>0</v>
      </c>
      <c r="D945" s="23">
        <f>IF(A945&lt;&gt;"",SUMIF(ซื้อสินค้า!B:B,A945,ซื้อสินค้า!M:M),)</f>
        <v>0</v>
      </c>
      <c r="E945" s="23">
        <f t="shared" si="3"/>
        <v>0</v>
      </c>
    </row>
    <row r="946" spans="1:5" ht="12.75">
      <c r="A946" s="6"/>
      <c r="B946" s="9">
        <f>IFERROR(VLOOKUP(A946,ชื่อสินค้า!A:D,4,FALSE),)</f>
        <v>0</v>
      </c>
      <c r="C946" s="9">
        <f>IF(A946&lt;&gt;"",SUMIF(ซื้อสินค้า!B:B,A946,ซื้อสินค้า!E:E)-SUMIF(ขายสินค้า!B:B,A946,ขายสินค้า!E:E),)</f>
        <v>0</v>
      </c>
      <c r="D946" s="23">
        <f>IF(A946&lt;&gt;"",SUMIF(ซื้อสินค้า!B:B,A946,ซื้อสินค้า!M:M),)</f>
        <v>0</v>
      </c>
      <c r="E946" s="23">
        <f t="shared" si="3"/>
        <v>0</v>
      </c>
    </row>
    <row r="947" spans="1:5" ht="12.75">
      <c r="A947" s="6"/>
      <c r="B947" s="9">
        <f>IFERROR(VLOOKUP(A947,ชื่อสินค้า!A:D,4,FALSE),)</f>
        <v>0</v>
      </c>
      <c r="C947" s="9">
        <f>IF(A947&lt;&gt;"",SUMIF(ซื้อสินค้า!B:B,A947,ซื้อสินค้า!E:E)-SUMIF(ขายสินค้า!B:B,A947,ขายสินค้า!E:E),)</f>
        <v>0</v>
      </c>
      <c r="D947" s="23">
        <f>IF(A947&lt;&gt;"",SUMIF(ซื้อสินค้า!B:B,A947,ซื้อสินค้า!M:M),)</f>
        <v>0</v>
      </c>
      <c r="E947" s="23">
        <f t="shared" si="3"/>
        <v>0</v>
      </c>
    </row>
    <row r="948" spans="1:5" ht="12.75">
      <c r="A948" s="6"/>
      <c r="B948" s="9">
        <f>IFERROR(VLOOKUP(A948,ชื่อสินค้า!A:D,4,FALSE),)</f>
        <v>0</v>
      </c>
      <c r="C948" s="9">
        <f>IF(A948&lt;&gt;"",SUMIF(ซื้อสินค้า!B:B,A948,ซื้อสินค้า!E:E)-SUMIF(ขายสินค้า!B:B,A948,ขายสินค้า!E:E),)</f>
        <v>0</v>
      </c>
      <c r="D948" s="23">
        <f>IF(A948&lt;&gt;"",SUMIF(ซื้อสินค้า!B:B,A948,ซื้อสินค้า!M:M),)</f>
        <v>0</v>
      </c>
      <c r="E948" s="23">
        <f t="shared" si="3"/>
        <v>0</v>
      </c>
    </row>
    <row r="949" spans="1:5" ht="12.75">
      <c r="A949" s="6"/>
      <c r="B949" s="9">
        <f>IFERROR(VLOOKUP(A949,ชื่อสินค้า!A:D,4,FALSE),)</f>
        <v>0</v>
      </c>
      <c r="C949" s="9">
        <f>IF(A949&lt;&gt;"",SUMIF(ซื้อสินค้า!B:B,A949,ซื้อสินค้า!E:E)-SUMIF(ขายสินค้า!B:B,A949,ขายสินค้า!E:E),)</f>
        <v>0</v>
      </c>
      <c r="D949" s="23">
        <f>IF(A949&lt;&gt;"",SUMIF(ซื้อสินค้า!B:B,A949,ซื้อสินค้า!M:M),)</f>
        <v>0</v>
      </c>
      <c r="E949" s="23">
        <f t="shared" si="3"/>
        <v>0</v>
      </c>
    </row>
    <row r="950" spans="1:5" ht="12.75">
      <c r="A950" s="6"/>
      <c r="B950" s="9">
        <f>IFERROR(VLOOKUP(A950,ชื่อสินค้า!A:D,4,FALSE),)</f>
        <v>0</v>
      </c>
      <c r="C950" s="9">
        <f>IF(A950&lt;&gt;"",SUMIF(ซื้อสินค้า!B:B,A950,ซื้อสินค้า!E:E)-SUMIF(ขายสินค้า!B:B,A950,ขายสินค้า!E:E),)</f>
        <v>0</v>
      </c>
      <c r="D950" s="23">
        <f>IF(A950&lt;&gt;"",SUMIF(ซื้อสินค้า!B:B,A950,ซื้อสินค้า!M:M),)</f>
        <v>0</v>
      </c>
      <c r="E950" s="23">
        <f t="shared" si="3"/>
        <v>0</v>
      </c>
    </row>
    <row r="951" spans="1:5" ht="12.75">
      <c r="A951" s="6"/>
      <c r="B951" s="9">
        <f>IFERROR(VLOOKUP(A951,ชื่อสินค้า!A:D,4,FALSE),)</f>
        <v>0</v>
      </c>
      <c r="C951" s="9">
        <f>IF(A951&lt;&gt;"",SUMIF(ซื้อสินค้า!B:B,A951,ซื้อสินค้า!E:E)-SUMIF(ขายสินค้า!B:B,A951,ขายสินค้า!E:E),)</f>
        <v>0</v>
      </c>
      <c r="D951" s="23">
        <f>IF(A951&lt;&gt;"",SUMIF(ซื้อสินค้า!B:B,A951,ซื้อสินค้า!M:M),)</f>
        <v>0</v>
      </c>
      <c r="E951" s="23">
        <f t="shared" si="3"/>
        <v>0</v>
      </c>
    </row>
    <row r="952" spans="1:5" ht="12.75">
      <c r="A952" s="6"/>
      <c r="B952" s="9">
        <f>IFERROR(VLOOKUP(A952,ชื่อสินค้า!A:D,4,FALSE),)</f>
        <v>0</v>
      </c>
      <c r="C952" s="9">
        <f>IF(A952&lt;&gt;"",SUMIF(ซื้อสินค้า!B:B,A952,ซื้อสินค้า!E:E)-SUMIF(ขายสินค้า!B:B,A952,ขายสินค้า!E:E),)</f>
        <v>0</v>
      </c>
      <c r="D952" s="23">
        <f>IF(A952&lt;&gt;"",SUMIF(ซื้อสินค้า!B:B,A952,ซื้อสินค้า!M:M),)</f>
        <v>0</v>
      </c>
      <c r="E952" s="23">
        <f t="shared" si="3"/>
        <v>0</v>
      </c>
    </row>
    <row r="953" spans="1:5" ht="12.75">
      <c r="A953" s="6"/>
      <c r="B953" s="9">
        <f>IFERROR(VLOOKUP(A953,ชื่อสินค้า!A:D,4,FALSE),)</f>
        <v>0</v>
      </c>
      <c r="C953" s="9">
        <f>IF(A953&lt;&gt;"",SUMIF(ซื้อสินค้า!B:B,A953,ซื้อสินค้า!E:E)-SUMIF(ขายสินค้า!B:B,A953,ขายสินค้า!E:E),)</f>
        <v>0</v>
      </c>
      <c r="D953" s="23">
        <f>IF(A953&lt;&gt;"",SUMIF(ซื้อสินค้า!B:B,A953,ซื้อสินค้า!M:M),)</f>
        <v>0</v>
      </c>
      <c r="E953" s="23">
        <f t="shared" si="3"/>
        <v>0</v>
      </c>
    </row>
    <row r="954" spans="1:5" ht="12.75">
      <c r="A954" s="6"/>
      <c r="B954" s="9">
        <f>IFERROR(VLOOKUP(A954,ชื่อสินค้า!A:D,4,FALSE),)</f>
        <v>0</v>
      </c>
      <c r="C954" s="9">
        <f>IF(A954&lt;&gt;"",SUMIF(ซื้อสินค้า!B:B,A954,ซื้อสินค้า!E:E)-SUMIF(ขายสินค้า!B:B,A954,ขายสินค้า!E:E),)</f>
        <v>0</v>
      </c>
      <c r="D954" s="23">
        <f>IF(A954&lt;&gt;"",SUMIF(ซื้อสินค้า!B:B,A954,ซื้อสินค้า!M:M),)</f>
        <v>0</v>
      </c>
      <c r="E954" s="23">
        <f t="shared" si="3"/>
        <v>0</v>
      </c>
    </row>
    <row r="955" spans="1:5" ht="12.75">
      <c r="A955" s="6"/>
      <c r="B955" s="9">
        <f>IFERROR(VLOOKUP(A955,ชื่อสินค้า!A:D,4,FALSE),)</f>
        <v>0</v>
      </c>
      <c r="C955" s="9">
        <f>IF(A955&lt;&gt;"",SUMIF(ซื้อสินค้า!B:B,A955,ซื้อสินค้า!E:E)-SUMIF(ขายสินค้า!B:B,A955,ขายสินค้า!E:E),)</f>
        <v>0</v>
      </c>
      <c r="D955" s="23">
        <f>IF(A955&lt;&gt;"",SUMIF(ซื้อสินค้า!B:B,A955,ซื้อสินค้า!M:M),)</f>
        <v>0</v>
      </c>
      <c r="E955" s="23">
        <f t="shared" si="3"/>
        <v>0</v>
      </c>
    </row>
    <row r="956" spans="1:5" ht="12.75">
      <c r="A956" s="6"/>
      <c r="B956" s="9">
        <f>IFERROR(VLOOKUP(A956,ชื่อสินค้า!A:D,4,FALSE),)</f>
        <v>0</v>
      </c>
      <c r="C956" s="9">
        <f>IF(A956&lt;&gt;"",SUMIF(ซื้อสินค้า!B:B,A956,ซื้อสินค้า!E:E)-SUMIF(ขายสินค้า!B:B,A956,ขายสินค้า!E:E),)</f>
        <v>0</v>
      </c>
      <c r="D956" s="23">
        <f>IF(A956&lt;&gt;"",SUMIF(ซื้อสินค้า!B:B,A956,ซื้อสินค้า!M:M),)</f>
        <v>0</v>
      </c>
      <c r="E956" s="23">
        <f t="shared" si="3"/>
        <v>0</v>
      </c>
    </row>
    <row r="957" spans="1:5" ht="12.75">
      <c r="A957" s="6"/>
      <c r="B957" s="9">
        <f>IFERROR(VLOOKUP(A957,ชื่อสินค้า!A:D,4,FALSE),)</f>
        <v>0</v>
      </c>
      <c r="C957" s="9">
        <f>IF(A957&lt;&gt;"",SUMIF(ซื้อสินค้า!B:B,A957,ซื้อสินค้า!E:E)-SUMIF(ขายสินค้า!B:B,A957,ขายสินค้า!E:E),)</f>
        <v>0</v>
      </c>
      <c r="D957" s="23">
        <f>IF(A957&lt;&gt;"",SUMIF(ซื้อสินค้า!B:B,A957,ซื้อสินค้า!M:M),)</f>
        <v>0</v>
      </c>
      <c r="E957" s="23">
        <f t="shared" si="3"/>
        <v>0</v>
      </c>
    </row>
    <row r="958" spans="1:5" ht="12.75">
      <c r="A958" s="6"/>
      <c r="B958" s="9">
        <f>IFERROR(VLOOKUP(A958,ชื่อสินค้า!A:D,4,FALSE),)</f>
        <v>0</v>
      </c>
      <c r="C958" s="9">
        <f>IF(A958&lt;&gt;"",SUMIF(ซื้อสินค้า!B:B,A958,ซื้อสินค้า!E:E)-SUMIF(ขายสินค้า!B:B,A958,ขายสินค้า!E:E),)</f>
        <v>0</v>
      </c>
      <c r="D958" s="23">
        <f>IF(A958&lt;&gt;"",SUMIF(ซื้อสินค้า!B:B,A958,ซื้อสินค้า!M:M),)</f>
        <v>0</v>
      </c>
      <c r="E958" s="23">
        <f t="shared" si="3"/>
        <v>0</v>
      </c>
    </row>
    <row r="959" spans="1:5" ht="12.75">
      <c r="A959" s="6"/>
      <c r="B959" s="9">
        <f>IFERROR(VLOOKUP(A959,ชื่อสินค้า!A:D,4,FALSE),)</f>
        <v>0</v>
      </c>
      <c r="C959" s="9">
        <f>IF(A959&lt;&gt;"",SUMIF(ซื้อสินค้า!B:B,A959,ซื้อสินค้า!E:E)-SUMIF(ขายสินค้า!B:B,A959,ขายสินค้า!E:E),)</f>
        <v>0</v>
      </c>
      <c r="D959" s="23">
        <f>IF(A959&lt;&gt;"",SUMIF(ซื้อสินค้า!B:B,A959,ซื้อสินค้า!M:M),)</f>
        <v>0</v>
      </c>
      <c r="E959" s="23">
        <f t="shared" si="3"/>
        <v>0</v>
      </c>
    </row>
    <row r="960" spans="1:5" ht="12.75">
      <c r="A960" s="6"/>
      <c r="B960" s="9">
        <f>IFERROR(VLOOKUP(A960,ชื่อสินค้า!A:D,4,FALSE),)</f>
        <v>0</v>
      </c>
      <c r="C960" s="9">
        <f>IF(A960&lt;&gt;"",SUMIF(ซื้อสินค้า!B:B,A960,ซื้อสินค้า!E:E)-SUMIF(ขายสินค้า!B:B,A960,ขายสินค้า!E:E),)</f>
        <v>0</v>
      </c>
      <c r="D960" s="23">
        <f>IF(A960&lt;&gt;"",SUMIF(ซื้อสินค้า!B:B,A960,ซื้อสินค้า!M:M),)</f>
        <v>0</v>
      </c>
      <c r="E960" s="23">
        <f t="shared" si="3"/>
        <v>0</v>
      </c>
    </row>
    <row r="961" spans="1:5" ht="12.75">
      <c r="A961" s="6"/>
      <c r="B961" s="9">
        <f>IFERROR(VLOOKUP(A961,ชื่อสินค้า!A:D,4,FALSE),)</f>
        <v>0</v>
      </c>
      <c r="C961" s="9">
        <f>IF(A961&lt;&gt;"",SUMIF(ซื้อสินค้า!B:B,A961,ซื้อสินค้า!E:E)-SUMIF(ขายสินค้า!B:B,A961,ขายสินค้า!E:E),)</f>
        <v>0</v>
      </c>
      <c r="D961" s="23">
        <f>IF(A961&lt;&gt;"",SUMIF(ซื้อสินค้า!B:B,A961,ซื้อสินค้า!M:M),)</f>
        <v>0</v>
      </c>
      <c r="E961" s="23">
        <f t="shared" si="3"/>
        <v>0</v>
      </c>
    </row>
    <row r="962" spans="1:5" ht="12.75">
      <c r="A962" s="6"/>
      <c r="B962" s="9">
        <f>IFERROR(VLOOKUP(A962,ชื่อสินค้า!A:D,4,FALSE),)</f>
        <v>0</v>
      </c>
      <c r="C962" s="9">
        <f>IF(A962&lt;&gt;"",SUMIF(ซื้อสินค้า!B:B,A962,ซื้อสินค้า!E:E)-SUMIF(ขายสินค้า!B:B,A962,ขายสินค้า!E:E),)</f>
        <v>0</v>
      </c>
      <c r="D962" s="23">
        <f>IF(A962&lt;&gt;"",SUMIF(ซื้อสินค้า!B:B,A962,ซื้อสินค้า!M:M),)</f>
        <v>0</v>
      </c>
      <c r="E962" s="23">
        <f t="shared" si="3"/>
        <v>0</v>
      </c>
    </row>
    <row r="963" spans="1:5" ht="12.75">
      <c r="A963" s="6"/>
      <c r="B963" s="9">
        <f>IFERROR(VLOOKUP(A963,ชื่อสินค้า!A:D,4,FALSE),)</f>
        <v>0</v>
      </c>
      <c r="C963" s="9">
        <f>IF(A963&lt;&gt;"",SUMIF(ซื้อสินค้า!B:B,A963,ซื้อสินค้า!E:E)-SUMIF(ขายสินค้า!B:B,A963,ขายสินค้า!E:E),)</f>
        <v>0</v>
      </c>
      <c r="D963" s="23">
        <f>IF(A963&lt;&gt;"",SUMIF(ซื้อสินค้า!B:B,A963,ซื้อสินค้า!M:M),)</f>
        <v>0</v>
      </c>
      <c r="E963" s="23">
        <f t="shared" si="3"/>
        <v>0</v>
      </c>
    </row>
    <row r="964" spans="1:5" ht="12.75">
      <c r="A964" s="6"/>
      <c r="B964" s="9">
        <f>IFERROR(VLOOKUP(A964,ชื่อสินค้า!A:D,4,FALSE),)</f>
        <v>0</v>
      </c>
      <c r="C964" s="9">
        <f>IF(A964&lt;&gt;"",SUMIF(ซื้อสินค้า!B:B,A964,ซื้อสินค้า!E:E)-SUMIF(ขายสินค้า!B:B,A964,ขายสินค้า!E:E),)</f>
        <v>0</v>
      </c>
      <c r="D964" s="23">
        <f>IF(A964&lt;&gt;"",SUMIF(ซื้อสินค้า!B:B,A964,ซื้อสินค้า!M:M),)</f>
        <v>0</v>
      </c>
      <c r="E964" s="23">
        <f t="shared" si="3"/>
        <v>0</v>
      </c>
    </row>
    <row r="965" spans="1:5" ht="12.75">
      <c r="A965" s="6"/>
      <c r="B965" s="9">
        <f>IFERROR(VLOOKUP(A965,ชื่อสินค้า!A:D,4,FALSE),)</f>
        <v>0</v>
      </c>
      <c r="C965" s="9">
        <f>IF(A965&lt;&gt;"",SUMIF(ซื้อสินค้า!B:B,A965,ซื้อสินค้า!E:E)-SUMIF(ขายสินค้า!B:B,A965,ขายสินค้า!E:E),)</f>
        <v>0</v>
      </c>
      <c r="D965" s="23">
        <f>IF(A965&lt;&gt;"",SUMIF(ซื้อสินค้า!B:B,A965,ซื้อสินค้า!M:M),)</f>
        <v>0</v>
      </c>
      <c r="E965" s="23">
        <f t="shared" si="3"/>
        <v>0</v>
      </c>
    </row>
    <row r="966" spans="1:5" ht="12.75">
      <c r="A966" s="6"/>
      <c r="B966" s="9">
        <f>IFERROR(VLOOKUP(A966,ชื่อสินค้า!A:D,4,FALSE),)</f>
        <v>0</v>
      </c>
      <c r="C966" s="9">
        <f>IF(A966&lt;&gt;"",SUMIF(ซื้อสินค้า!B:B,A966,ซื้อสินค้า!E:E)-SUMIF(ขายสินค้า!B:B,A966,ขายสินค้า!E:E),)</f>
        <v>0</v>
      </c>
      <c r="D966" s="23">
        <f>IF(A966&lt;&gt;"",SUMIF(ซื้อสินค้า!B:B,A966,ซื้อสินค้า!M:M),)</f>
        <v>0</v>
      </c>
      <c r="E966" s="23">
        <f t="shared" si="3"/>
        <v>0</v>
      </c>
    </row>
    <row r="967" spans="1:5" ht="12.75">
      <c r="A967" s="6"/>
      <c r="B967" s="9">
        <f>IFERROR(VLOOKUP(A967,ชื่อสินค้า!A:D,4,FALSE),)</f>
        <v>0</v>
      </c>
      <c r="C967" s="9">
        <f>IF(A967&lt;&gt;"",SUMIF(ซื้อสินค้า!B:B,A967,ซื้อสินค้า!E:E)-SUMIF(ขายสินค้า!B:B,A967,ขายสินค้า!E:E),)</f>
        <v>0</v>
      </c>
      <c r="D967" s="23">
        <f>IF(A967&lt;&gt;"",SUMIF(ซื้อสินค้า!B:B,A967,ซื้อสินค้า!M:M),)</f>
        <v>0</v>
      </c>
      <c r="E967" s="23">
        <f t="shared" si="3"/>
        <v>0</v>
      </c>
    </row>
    <row r="968" spans="1:5" ht="12.75">
      <c r="A968" s="6"/>
      <c r="B968" s="9">
        <f>IFERROR(VLOOKUP(A968,ชื่อสินค้า!A:D,4,FALSE),)</f>
        <v>0</v>
      </c>
      <c r="C968" s="9">
        <f>IF(A968&lt;&gt;"",SUMIF(ซื้อสินค้า!B:B,A968,ซื้อสินค้า!E:E)-SUMIF(ขายสินค้า!B:B,A968,ขายสินค้า!E:E),)</f>
        <v>0</v>
      </c>
      <c r="D968" s="23">
        <f>IF(A968&lt;&gt;"",SUMIF(ซื้อสินค้า!B:B,A968,ซื้อสินค้า!M:M),)</f>
        <v>0</v>
      </c>
      <c r="E968" s="23">
        <f t="shared" si="3"/>
        <v>0</v>
      </c>
    </row>
    <row r="969" spans="1:5" ht="12.75">
      <c r="A969" s="6"/>
      <c r="B969" s="9">
        <f>IFERROR(VLOOKUP(A969,ชื่อสินค้า!A:D,4,FALSE),)</f>
        <v>0</v>
      </c>
      <c r="C969" s="9">
        <f>IF(A969&lt;&gt;"",SUMIF(ซื้อสินค้า!B:B,A969,ซื้อสินค้า!E:E)-SUMIF(ขายสินค้า!B:B,A969,ขายสินค้า!E:E),)</f>
        <v>0</v>
      </c>
      <c r="D969" s="23">
        <f>IF(A969&lt;&gt;"",SUMIF(ซื้อสินค้า!B:B,A969,ซื้อสินค้า!M:M),)</f>
        <v>0</v>
      </c>
      <c r="E969" s="23">
        <f t="shared" si="3"/>
        <v>0</v>
      </c>
    </row>
    <row r="970" spans="1:5" ht="12.75">
      <c r="A970" s="6"/>
      <c r="B970" s="9">
        <f>IFERROR(VLOOKUP(A970,ชื่อสินค้า!A:D,4,FALSE),)</f>
        <v>0</v>
      </c>
      <c r="C970" s="9">
        <f>IF(A970&lt;&gt;"",SUMIF(ซื้อสินค้า!B:B,A970,ซื้อสินค้า!E:E)-SUMIF(ขายสินค้า!B:B,A970,ขายสินค้า!E:E),)</f>
        <v>0</v>
      </c>
      <c r="D970" s="23">
        <f>IF(A970&lt;&gt;"",SUMIF(ซื้อสินค้า!B:B,A970,ซื้อสินค้า!M:M),)</f>
        <v>0</v>
      </c>
      <c r="E970" s="23">
        <f t="shared" si="3"/>
        <v>0</v>
      </c>
    </row>
    <row r="971" spans="1:5" ht="12.75">
      <c r="A971" s="6"/>
      <c r="B971" s="9">
        <f>IFERROR(VLOOKUP(A971,ชื่อสินค้า!A:D,4,FALSE),)</f>
        <v>0</v>
      </c>
      <c r="C971" s="9">
        <f>IF(A971&lt;&gt;"",SUMIF(ซื้อสินค้า!B:B,A971,ซื้อสินค้า!E:E)-SUMIF(ขายสินค้า!B:B,A971,ขายสินค้า!E:E),)</f>
        <v>0</v>
      </c>
      <c r="D971" s="23">
        <f>IF(A971&lt;&gt;"",SUMIF(ซื้อสินค้า!B:B,A971,ซื้อสินค้า!M:M),)</f>
        <v>0</v>
      </c>
      <c r="E971" s="23">
        <f t="shared" si="3"/>
        <v>0</v>
      </c>
    </row>
    <row r="972" spans="1:5" ht="12.75">
      <c r="A972" s="6"/>
      <c r="B972" s="9">
        <f>IFERROR(VLOOKUP(A972,ชื่อสินค้า!A:D,4,FALSE),)</f>
        <v>0</v>
      </c>
      <c r="C972" s="9">
        <f>IF(A972&lt;&gt;"",SUMIF(ซื้อสินค้า!B:B,A972,ซื้อสินค้า!E:E)-SUMIF(ขายสินค้า!B:B,A972,ขายสินค้า!E:E),)</f>
        <v>0</v>
      </c>
      <c r="D972" s="23">
        <f>IF(A972&lt;&gt;"",SUMIF(ซื้อสินค้า!B:B,A972,ซื้อสินค้า!M:M),)</f>
        <v>0</v>
      </c>
      <c r="E972" s="23">
        <f t="shared" si="3"/>
        <v>0</v>
      </c>
    </row>
    <row r="973" spans="1:5" ht="12.75">
      <c r="A973" s="6"/>
      <c r="B973" s="9">
        <f>IFERROR(VLOOKUP(A973,ชื่อสินค้า!A:D,4,FALSE),)</f>
        <v>0</v>
      </c>
      <c r="C973" s="9">
        <f>IF(A973&lt;&gt;"",SUMIF(ซื้อสินค้า!B:B,A973,ซื้อสินค้า!E:E)-SUMIF(ขายสินค้า!B:B,A973,ขายสินค้า!E:E),)</f>
        <v>0</v>
      </c>
      <c r="D973" s="23">
        <f>IF(A973&lt;&gt;"",SUMIF(ซื้อสินค้า!B:B,A973,ซื้อสินค้า!M:M),)</f>
        <v>0</v>
      </c>
      <c r="E973" s="23">
        <f t="shared" si="3"/>
        <v>0</v>
      </c>
    </row>
    <row r="974" spans="1:5" ht="12.75">
      <c r="A974" s="6"/>
      <c r="B974" s="9">
        <f>IFERROR(VLOOKUP(A974,ชื่อสินค้า!A:D,4,FALSE),)</f>
        <v>0</v>
      </c>
      <c r="C974" s="9">
        <f>IF(A974&lt;&gt;"",SUMIF(ซื้อสินค้า!B:B,A974,ซื้อสินค้า!E:E)-SUMIF(ขายสินค้า!B:B,A974,ขายสินค้า!E:E),)</f>
        <v>0</v>
      </c>
      <c r="D974" s="23">
        <f>IF(A974&lt;&gt;"",SUMIF(ซื้อสินค้า!B:B,A974,ซื้อสินค้า!M:M),)</f>
        <v>0</v>
      </c>
      <c r="E974" s="23">
        <f t="shared" si="3"/>
        <v>0</v>
      </c>
    </row>
    <row r="975" spans="1:5" ht="12.75">
      <c r="A975" s="6"/>
      <c r="B975" s="9">
        <f>IFERROR(VLOOKUP(A975,ชื่อสินค้า!A:D,4,FALSE),)</f>
        <v>0</v>
      </c>
      <c r="C975" s="9">
        <f>IF(A975&lt;&gt;"",SUMIF(ซื้อสินค้า!B:B,A975,ซื้อสินค้า!E:E)-SUMIF(ขายสินค้า!B:B,A975,ขายสินค้า!E:E),)</f>
        <v>0</v>
      </c>
      <c r="D975" s="23">
        <f>IF(A975&lt;&gt;"",SUMIF(ซื้อสินค้า!B:B,A975,ซื้อสินค้า!M:M),)</f>
        <v>0</v>
      </c>
      <c r="E975" s="23">
        <f t="shared" si="3"/>
        <v>0</v>
      </c>
    </row>
    <row r="976" spans="1:5" ht="12.75">
      <c r="A976" s="6"/>
      <c r="B976" s="9">
        <f>IFERROR(VLOOKUP(A976,ชื่อสินค้า!A:D,4,FALSE),)</f>
        <v>0</v>
      </c>
      <c r="C976" s="9">
        <f>IF(A976&lt;&gt;"",SUMIF(ซื้อสินค้า!B:B,A976,ซื้อสินค้า!E:E)-SUMIF(ขายสินค้า!B:B,A976,ขายสินค้า!E:E),)</f>
        <v>0</v>
      </c>
      <c r="D976" s="23">
        <f>IF(A976&lt;&gt;"",SUMIF(ซื้อสินค้า!B:B,A976,ซื้อสินค้า!M:M),)</f>
        <v>0</v>
      </c>
      <c r="E976" s="23">
        <f t="shared" si="3"/>
        <v>0</v>
      </c>
    </row>
    <row r="977" spans="1:5" ht="12.75">
      <c r="A977" s="6"/>
      <c r="B977" s="9">
        <f>IFERROR(VLOOKUP(A977,ชื่อสินค้า!A:D,4,FALSE),)</f>
        <v>0</v>
      </c>
      <c r="C977" s="9">
        <f>IF(A977&lt;&gt;"",SUMIF(ซื้อสินค้า!B:B,A977,ซื้อสินค้า!E:E)-SUMIF(ขายสินค้า!B:B,A977,ขายสินค้า!E:E),)</f>
        <v>0</v>
      </c>
      <c r="D977" s="23">
        <f>IF(A977&lt;&gt;"",SUMIF(ซื้อสินค้า!B:B,A977,ซื้อสินค้า!M:M),)</f>
        <v>0</v>
      </c>
      <c r="E977" s="23">
        <f t="shared" si="3"/>
        <v>0</v>
      </c>
    </row>
    <row r="978" spans="1:5" ht="12.75">
      <c r="A978" s="6"/>
      <c r="B978" s="9">
        <f>IFERROR(VLOOKUP(A978,ชื่อสินค้า!A:D,4,FALSE),)</f>
        <v>0</v>
      </c>
      <c r="C978" s="9">
        <f>IF(A978&lt;&gt;"",SUMIF(ซื้อสินค้า!B:B,A978,ซื้อสินค้า!E:E)-SUMIF(ขายสินค้า!B:B,A978,ขายสินค้า!E:E),)</f>
        <v>0</v>
      </c>
      <c r="D978" s="23">
        <f>IF(A978&lt;&gt;"",SUMIF(ซื้อสินค้า!B:B,A978,ซื้อสินค้า!M:M),)</f>
        <v>0</v>
      </c>
      <c r="E978" s="23">
        <f t="shared" si="3"/>
        <v>0</v>
      </c>
    </row>
    <row r="979" spans="1:5" ht="12.75">
      <c r="A979" s="6"/>
      <c r="B979" s="9">
        <f>IFERROR(VLOOKUP(A979,ชื่อสินค้า!A:D,4,FALSE),)</f>
        <v>0</v>
      </c>
      <c r="C979" s="9">
        <f>IF(A979&lt;&gt;"",SUMIF(ซื้อสินค้า!B:B,A979,ซื้อสินค้า!E:E)-SUMIF(ขายสินค้า!B:B,A979,ขายสินค้า!E:E),)</f>
        <v>0</v>
      </c>
      <c r="D979" s="23">
        <f>IF(A979&lt;&gt;"",SUMIF(ซื้อสินค้า!B:B,A979,ซื้อสินค้า!M:M),)</f>
        <v>0</v>
      </c>
      <c r="E979" s="23">
        <f t="shared" si="3"/>
        <v>0</v>
      </c>
    </row>
    <row r="980" spans="1:5" ht="12.75">
      <c r="A980" s="6"/>
      <c r="B980" s="9">
        <f>IFERROR(VLOOKUP(A980,ชื่อสินค้า!A:D,4,FALSE),)</f>
        <v>0</v>
      </c>
      <c r="C980" s="9">
        <f>IF(A980&lt;&gt;"",SUMIF(ซื้อสินค้า!B:B,A980,ซื้อสินค้า!E:E)-SUMIF(ขายสินค้า!B:B,A980,ขายสินค้า!E:E),)</f>
        <v>0</v>
      </c>
      <c r="D980" s="23">
        <f>IF(A980&lt;&gt;"",SUMIF(ซื้อสินค้า!B:B,A980,ซื้อสินค้า!M:M),)</f>
        <v>0</v>
      </c>
      <c r="E980" s="23">
        <f t="shared" si="3"/>
        <v>0</v>
      </c>
    </row>
    <row r="981" spans="1:5" ht="12.75">
      <c r="A981" s="6"/>
      <c r="B981" s="9">
        <f>IFERROR(VLOOKUP(A981,ชื่อสินค้า!A:D,4,FALSE),)</f>
        <v>0</v>
      </c>
      <c r="C981" s="9">
        <f>IF(A981&lt;&gt;"",SUMIF(ซื้อสินค้า!B:B,A981,ซื้อสินค้า!E:E)-SUMIF(ขายสินค้า!B:B,A981,ขายสินค้า!E:E),)</f>
        <v>0</v>
      </c>
      <c r="D981" s="23">
        <f>IF(A981&lt;&gt;"",SUMIF(ซื้อสินค้า!B:B,A981,ซื้อสินค้า!M:M),)</f>
        <v>0</v>
      </c>
      <c r="E981" s="23">
        <f t="shared" si="3"/>
        <v>0</v>
      </c>
    </row>
    <row r="982" spans="1:5" ht="12.75">
      <c r="A982" s="6"/>
      <c r="B982" s="9">
        <f>IFERROR(VLOOKUP(A982,ชื่อสินค้า!A:D,4,FALSE),)</f>
        <v>0</v>
      </c>
      <c r="C982" s="9">
        <f>IF(A982&lt;&gt;"",SUMIF(ซื้อสินค้า!B:B,A982,ซื้อสินค้า!E:E)-SUMIF(ขายสินค้า!B:B,A982,ขายสินค้า!E:E),)</f>
        <v>0</v>
      </c>
      <c r="D982" s="23">
        <f>IF(A982&lt;&gt;"",SUMIF(ซื้อสินค้า!B:B,A982,ซื้อสินค้า!M:M),)</f>
        <v>0</v>
      </c>
      <c r="E982" s="23">
        <f t="shared" si="3"/>
        <v>0</v>
      </c>
    </row>
    <row r="983" spans="1:5" ht="12.75">
      <c r="A983" s="6"/>
      <c r="B983" s="9">
        <f>IFERROR(VLOOKUP(A983,ชื่อสินค้า!A:D,4,FALSE),)</f>
        <v>0</v>
      </c>
      <c r="C983" s="9">
        <f>IF(A983&lt;&gt;"",SUMIF(ซื้อสินค้า!B:B,A983,ซื้อสินค้า!E:E)-SUMIF(ขายสินค้า!B:B,A983,ขายสินค้า!E:E),)</f>
        <v>0</v>
      </c>
      <c r="D983" s="23">
        <f>IF(A983&lt;&gt;"",SUMIF(ซื้อสินค้า!B:B,A983,ซื้อสินค้า!M:M),)</f>
        <v>0</v>
      </c>
      <c r="E983" s="23">
        <f t="shared" si="3"/>
        <v>0</v>
      </c>
    </row>
    <row r="984" spans="1:5" ht="12.75">
      <c r="A984" s="6"/>
      <c r="B984" s="9">
        <f>IFERROR(VLOOKUP(A984,ชื่อสินค้า!A:D,4,FALSE),)</f>
        <v>0</v>
      </c>
      <c r="C984" s="9">
        <f>IF(A984&lt;&gt;"",SUMIF(ซื้อสินค้า!B:B,A984,ซื้อสินค้า!E:E)-SUMIF(ขายสินค้า!B:B,A984,ขายสินค้า!E:E),)</f>
        <v>0</v>
      </c>
      <c r="D984" s="23">
        <f>IF(A984&lt;&gt;"",SUMIF(ซื้อสินค้า!B:B,A984,ซื้อสินค้า!M:M),)</f>
        <v>0</v>
      </c>
      <c r="E984" s="23">
        <f t="shared" si="3"/>
        <v>0</v>
      </c>
    </row>
    <row r="985" spans="1:5" ht="12.75">
      <c r="A985" s="6"/>
      <c r="B985" s="9">
        <f>IFERROR(VLOOKUP(A985,ชื่อสินค้า!A:D,4,FALSE),)</f>
        <v>0</v>
      </c>
      <c r="C985" s="9">
        <f>IF(A985&lt;&gt;"",SUMIF(ซื้อสินค้า!B:B,A985,ซื้อสินค้า!E:E)-SUMIF(ขายสินค้า!B:B,A985,ขายสินค้า!E:E),)</f>
        <v>0</v>
      </c>
      <c r="D985" s="23">
        <f>IF(A985&lt;&gt;"",SUMIF(ซื้อสินค้า!B:B,A985,ซื้อสินค้า!M:M),)</f>
        <v>0</v>
      </c>
      <c r="E985" s="23">
        <f t="shared" si="3"/>
        <v>0</v>
      </c>
    </row>
    <row r="986" spans="1:5" ht="12.75">
      <c r="A986" s="6"/>
      <c r="B986" s="9">
        <f>IFERROR(VLOOKUP(A986,ชื่อสินค้า!A:D,4,FALSE),)</f>
        <v>0</v>
      </c>
      <c r="C986" s="9">
        <f>IF(A986&lt;&gt;"",SUMIF(ซื้อสินค้า!B:B,A986,ซื้อสินค้า!E:E)-SUMIF(ขายสินค้า!B:B,A986,ขายสินค้า!E:E),)</f>
        <v>0</v>
      </c>
      <c r="D986" s="23">
        <f>IF(A986&lt;&gt;"",SUMIF(ซื้อสินค้า!B:B,A986,ซื้อสินค้า!M:M),)</f>
        <v>0</v>
      </c>
      <c r="E986" s="23">
        <f t="shared" si="3"/>
        <v>0</v>
      </c>
    </row>
    <row r="987" spans="1:5" ht="12.75">
      <c r="A987" s="6"/>
      <c r="B987" s="9">
        <f>IFERROR(VLOOKUP(A987,ชื่อสินค้า!A:D,4,FALSE),)</f>
        <v>0</v>
      </c>
      <c r="C987" s="9">
        <f>IF(A987&lt;&gt;"",SUMIF(ซื้อสินค้า!B:B,A987,ซื้อสินค้า!E:E)-SUMIF(ขายสินค้า!B:B,A987,ขายสินค้า!E:E),)</f>
        <v>0</v>
      </c>
      <c r="D987" s="23">
        <f>IF(A987&lt;&gt;"",SUMIF(ซื้อสินค้า!B:B,A987,ซื้อสินค้า!M:M),)</f>
        <v>0</v>
      </c>
      <c r="E987" s="23">
        <f t="shared" si="3"/>
        <v>0</v>
      </c>
    </row>
    <row r="988" spans="1:5" ht="12.75">
      <c r="A988" s="6"/>
      <c r="B988" s="9">
        <f>IFERROR(VLOOKUP(A988,ชื่อสินค้า!A:D,4,FALSE),)</f>
        <v>0</v>
      </c>
      <c r="C988" s="9">
        <f>IF(A988&lt;&gt;"",SUMIF(ซื้อสินค้า!B:B,A988,ซื้อสินค้า!E:E)-SUMIF(ขายสินค้า!B:B,A988,ขายสินค้า!E:E),)</f>
        <v>0</v>
      </c>
      <c r="D988" s="23">
        <f>IF(A988&lt;&gt;"",SUMIF(ซื้อสินค้า!B:B,A988,ซื้อสินค้า!M:M),)</f>
        <v>0</v>
      </c>
      <c r="E988" s="23">
        <f t="shared" si="3"/>
        <v>0</v>
      </c>
    </row>
    <row r="989" spans="1:5" ht="12.75">
      <c r="A989" s="6"/>
      <c r="B989" s="9">
        <f>IFERROR(VLOOKUP(A989,ชื่อสินค้า!A:D,4,FALSE),)</f>
        <v>0</v>
      </c>
      <c r="C989" s="9">
        <f>IF(A989&lt;&gt;"",SUMIF(ซื้อสินค้า!B:B,A989,ซื้อสินค้า!E:E)-SUMIF(ขายสินค้า!B:B,A989,ขายสินค้า!E:E),)</f>
        <v>0</v>
      </c>
      <c r="D989" s="23">
        <f>IF(A989&lt;&gt;"",SUMIF(ซื้อสินค้า!B:B,A989,ซื้อสินค้า!M:M),)</f>
        <v>0</v>
      </c>
      <c r="E989" s="23">
        <f t="shared" si="3"/>
        <v>0</v>
      </c>
    </row>
    <row r="990" spans="1:5" ht="12.75">
      <c r="A990" s="6"/>
      <c r="B990" s="9">
        <f>IFERROR(VLOOKUP(A990,ชื่อสินค้า!A:D,4,FALSE),)</f>
        <v>0</v>
      </c>
      <c r="C990" s="9">
        <f>IF(A990&lt;&gt;"",SUMIF(ซื้อสินค้า!B:B,A990,ซื้อสินค้า!E:E)-SUMIF(ขายสินค้า!B:B,A990,ขายสินค้า!E:E),)</f>
        <v>0</v>
      </c>
      <c r="D990" s="23">
        <f>IF(A990&lt;&gt;"",SUMIF(ซื้อสินค้า!B:B,A990,ซื้อสินค้า!M:M),)</f>
        <v>0</v>
      </c>
      <c r="E990" s="23">
        <f t="shared" si="3"/>
        <v>0</v>
      </c>
    </row>
    <row r="991" spans="1:5" ht="12.75">
      <c r="A991" s="6"/>
      <c r="B991" s="9">
        <f>IFERROR(VLOOKUP(A991,ชื่อสินค้า!A:D,4,FALSE),)</f>
        <v>0</v>
      </c>
      <c r="C991" s="9">
        <f>IF(A991&lt;&gt;"",SUMIF(ซื้อสินค้า!B:B,A991,ซื้อสินค้า!E:E)-SUMIF(ขายสินค้า!B:B,A991,ขายสินค้า!E:E),)</f>
        <v>0</v>
      </c>
      <c r="D991" s="23">
        <f>IF(A991&lt;&gt;"",SUMIF(ซื้อสินค้า!B:B,A991,ซื้อสินค้า!M:M),)</f>
        <v>0</v>
      </c>
      <c r="E991" s="23">
        <f t="shared" si="3"/>
        <v>0</v>
      </c>
    </row>
    <row r="992" spans="1:5" ht="12.75">
      <c r="A992" s="6"/>
      <c r="B992" s="9">
        <f>IFERROR(VLOOKUP(A992,ชื่อสินค้า!A:D,4,FALSE),)</f>
        <v>0</v>
      </c>
      <c r="C992" s="9">
        <f>IF(A992&lt;&gt;"",SUMIF(ซื้อสินค้า!B:B,A992,ซื้อสินค้า!E:E)-SUMIF(ขายสินค้า!B:B,A992,ขายสินค้า!E:E),)</f>
        <v>0</v>
      </c>
      <c r="D992" s="23">
        <f>IF(A992&lt;&gt;"",SUMIF(ซื้อสินค้า!B:B,A992,ซื้อสินค้า!M:M),)</f>
        <v>0</v>
      </c>
      <c r="E992" s="23">
        <f t="shared" si="3"/>
        <v>0</v>
      </c>
    </row>
    <row r="993" spans="1:5" ht="12.75">
      <c r="A993" s="6"/>
      <c r="B993" s="9">
        <f>IFERROR(VLOOKUP(A993,ชื่อสินค้า!A:D,4,FALSE),)</f>
        <v>0</v>
      </c>
      <c r="C993" s="9">
        <f>IF(A993&lt;&gt;"",SUMIF(ซื้อสินค้า!B:B,A993,ซื้อสินค้า!E:E)-SUMIF(ขายสินค้า!B:B,A993,ขายสินค้า!E:E),)</f>
        <v>0</v>
      </c>
      <c r="D993" s="23">
        <f>IF(A993&lt;&gt;"",SUMIF(ซื้อสินค้า!B:B,A993,ซื้อสินค้า!M:M),)</f>
        <v>0</v>
      </c>
      <c r="E993" s="23">
        <f t="shared" si="3"/>
        <v>0</v>
      </c>
    </row>
    <row r="994" spans="1:5" ht="12.75">
      <c r="A994" s="6"/>
      <c r="B994" s="9">
        <f>IFERROR(VLOOKUP(A994,ชื่อสินค้า!A:D,4,FALSE),)</f>
        <v>0</v>
      </c>
      <c r="C994" s="9">
        <f>IF(A994&lt;&gt;"",SUMIF(ซื้อสินค้า!B:B,A994,ซื้อสินค้า!E:E)-SUMIF(ขายสินค้า!B:B,A994,ขายสินค้า!E:E),)</f>
        <v>0</v>
      </c>
      <c r="D994" s="23">
        <f>IF(A994&lt;&gt;"",SUMIF(ซื้อสินค้า!B:B,A994,ซื้อสินค้า!M:M),)</f>
        <v>0</v>
      </c>
      <c r="E994" s="23">
        <f t="shared" si="3"/>
        <v>0</v>
      </c>
    </row>
    <row r="995" spans="1:5" ht="12.75">
      <c r="A995" s="6"/>
      <c r="B995" s="9">
        <f>IFERROR(VLOOKUP(A995,ชื่อสินค้า!A:D,4,FALSE),)</f>
        <v>0</v>
      </c>
      <c r="C995" s="9">
        <f>IF(A995&lt;&gt;"",SUMIF(ซื้อสินค้า!B:B,A995,ซื้อสินค้า!E:E)-SUMIF(ขายสินค้า!B:B,A995,ขายสินค้า!E:E),)</f>
        <v>0</v>
      </c>
      <c r="D995" s="23">
        <f>IF(A995&lt;&gt;"",SUMIF(ซื้อสินค้า!B:B,A995,ซื้อสินค้า!M:M),)</f>
        <v>0</v>
      </c>
      <c r="E995" s="23">
        <f t="shared" si="3"/>
        <v>0</v>
      </c>
    </row>
    <row r="996" spans="1:5" ht="12.75">
      <c r="A996" s="6"/>
      <c r="B996" s="9">
        <f>IFERROR(VLOOKUP(A996,ชื่อสินค้า!A:D,4,FALSE),)</f>
        <v>0</v>
      </c>
      <c r="C996" s="9">
        <f>IF(A996&lt;&gt;"",SUMIF(ซื้อสินค้า!B:B,A996,ซื้อสินค้า!E:E)-SUMIF(ขายสินค้า!B:B,A996,ขายสินค้า!E:E),)</f>
        <v>0</v>
      </c>
      <c r="D996" s="23">
        <f>IF(A996&lt;&gt;"",SUMIF(ซื้อสินค้า!B:B,A996,ซื้อสินค้า!M:M),)</f>
        <v>0</v>
      </c>
      <c r="E996" s="23">
        <f t="shared" si="3"/>
        <v>0</v>
      </c>
    </row>
    <row r="997" spans="1:5" ht="12.75">
      <c r="A997" s="6"/>
      <c r="B997" s="9">
        <f>IFERROR(VLOOKUP(A997,ชื่อสินค้า!A:D,4,FALSE),)</f>
        <v>0</v>
      </c>
      <c r="C997" s="9">
        <f>IF(A997&lt;&gt;"",SUMIF(ซื้อสินค้า!B:B,A997,ซื้อสินค้า!E:E)-SUMIF(ขายสินค้า!B:B,A997,ขายสินค้า!E:E),)</f>
        <v>0</v>
      </c>
      <c r="D997" s="23">
        <f>IF(A997&lt;&gt;"",SUMIF(ซื้อสินค้า!B:B,A997,ซื้อสินค้า!M:M),)</f>
        <v>0</v>
      </c>
      <c r="E997" s="23">
        <f t="shared" si="3"/>
        <v>0</v>
      </c>
    </row>
    <row r="998" spans="1:5" ht="12.75">
      <c r="A998" s="6"/>
      <c r="B998" s="9">
        <f>IFERROR(VLOOKUP(A998,ชื่อสินค้า!A:D,4,FALSE),)</f>
        <v>0</v>
      </c>
      <c r="C998" s="9">
        <f>IF(A998&lt;&gt;"",SUMIF(ซื้อสินค้า!B:B,A998,ซื้อสินค้า!E:E)-SUMIF(ขายสินค้า!B:B,A998,ขายสินค้า!E:E),)</f>
        <v>0</v>
      </c>
      <c r="D998" s="23">
        <f>IF(A998&lt;&gt;"",SUMIF(ซื้อสินค้า!B:B,A998,ซื้อสินค้า!M:M),)</f>
        <v>0</v>
      </c>
      <c r="E998" s="23">
        <f t="shared" si="3"/>
        <v>0</v>
      </c>
    </row>
    <row r="999" spans="1:5" ht="12.75">
      <c r="A999" s="6"/>
      <c r="B999" s="9">
        <f>IFERROR(VLOOKUP(A999,ชื่อสินค้า!A:D,4,FALSE),)</f>
        <v>0</v>
      </c>
      <c r="C999" s="9">
        <f>IF(A999&lt;&gt;"",SUMIF(ซื้อสินค้า!B:B,A999,ซื้อสินค้า!E:E)-SUMIF(ขายสินค้า!B:B,A999,ขายสินค้า!E:E),)</f>
        <v>0</v>
      </c>
      <c r="D999" s="23">
        <f>IF(A999&lt;&gt;"",SUMIF(ซื้อสินค้า!B:B,A999,ซื้อสินค้า!M:M),)</f>
        <v>0</v>
      </c>
      <c r="E999" s="23">
        <f t="shared" si="3"/>
        <v>0</v>
      </c>
    </row>
    <row r="1000" spans="1:5" ht="12.75">
      <c r="A1000" s="6"/>
      <c r="B1000" s="9">
        <f>IFERROR(VLOOKUP(A1000,ชื่อสินค้า!A:D,4,FALSE),)</f>
        <v>0</v>
      </c>
      <c r="C1000" s="9">
        <f>IF(A1000&lt;&gt;"",SUMIF(ซื้อสินค้า!B:B,A1000,ซื้อสินค้า!E:E)-SUMIF(ขายสินค้า!B:B,A1000,ขายสินค้า!E:E),)</f>
        <v>0</v>
      </c>
      <c r="D1000" s="23">
        <f>IF(A1000&lt;&gt;"",SUMIF(ซื้อสินค้า!B:B,A1000,ซื้อสินค้า!M:M),)</f>
        <v>0</v>
      </c>
      <c r="E1000" s="23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AD3"/>
    <outlinePr summaryBelow="0" summaryRight="0"/>
  </sheetPr>
  <dimension ref="A1:R1001"/>
  <sheetViews>
    <sheetView showGridLines="0" zoomScale="70" zoomScaleNormal="70" workbookViewId="0">
      <selection activeCell="S5" sqref="S5"/>
    </sheetView>
  </sheetViews>
  <sheetFormatPr defaultColWidth="12.5703125" defaultRowHeight="15.75" customHeight="1"/>
  <cols>
    <col min="1" max="1" width="12.42578125" customWidth="1"/>
    <col min="2" max="2" width="13" customWidth="1"/>
    <col min="3" max="3" width="14.85546875" bestFit="1" customWidth="1"/>
    <col min="4" max="4" width="12.42578125" customWidth="1"/>
    <col min="5" max="5" width="15.140625" customWidth="1"/>
    <col min="6" max="6" width="14.42578125" customWidth="1"/>
    <col min="7" max="7" width="9.42578125" customWidth="1"/>
    <col min="8" max="8" width="17.28515625" customWidth="1"/>
    <col min="9" max="9" width="11.42578125" customWidth="1"/>
    <col min="10" max="10" width="15.140625" customWidth="1"/>
    <col min="11" max="12" width="10.85546875" customWidth="1"/>
    <col min="13" max="13" width="15.7109375" customWidth="1"/>
    <col min="14" max="14" width="14" customWidth="1"/>
    <col min="15" max="15" width="8.42578125" customWidth="1"/>
    <col min="16" max="16" width="9.5703125" customWidth="1"/>
  </cols>
  <sheetData>
    <row r="1" spans="1:18" ht="13.5" thickBo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8" ht="33.75" customHeight="1" thickBot="1">
      <c r="A2" s="24" t="s">
        <v>26</v>
      </c>
      <c r="B2" s="46" t="s">
        <v>12</v>
      </c>
      <c r="C2" s="47"/>
      <c r="D2" s="48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8" ht="12.7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8" ht="36.75" customHeight="1" thickBo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8" ht="36" customHeight="1" thickBot="1">
      <c r="A5" s="15"/>
      <c r="B5" s="28" t="s">
        <v>27</v>
      </c>
      <c r="C5" s="27">
        <f>SUMPRODUCT(D9:D1001, C9:C1001)</f>
        <v>3002000</v>
      </c>
      <c r="D5" s="26"/>
      <c r="E5" s="28" t="s">
        <v>28</v>
      </c>
      <c r="F5" s="25">
        <f>SUM(C9:C1001)</f>
        <v>109</v>
      </c>
      <c r="G5" s="26"/>
      <c r="H5" s="26"/>
      <c r="I5" s="26"/>
      <c r="J5" s="29" t="s">
        <v>29</v>
      </c>
      <c r="K5" s="27">
        <f>SUM(K9)</f>
        <v>1</v>
      </c>
      <c r="L5" s="26"/>
      <c r="M5" s="29" t="s">
        <v>30</v>
      </c>
      <c r="N5" s="25">
        <f>SUM(K9:K1001)</f>
        <v>109</v>
      </c>
      <c r="O5" s="15"/>
      <c r="P5" s="15"/>
      <c r="Q5" s="51" t="s">
        <v>346</v>
      </c>
    </row>
    <row r="6" spans="1:18" ht="38.25" customHeight="1"/>
    <row r="7" spans="1:18" ht="24.75" customHeight="1">
      <c r="A7" s="49" t="s">
        <v>31</v>
      </c>
      <c r="B7" s="49"/>
      <c r="C7" s="49"/>
      <c r="D7" s="49"/>
      <c r="E7" s="49"/>
      <c r="F7" s="49"/>
      <c r="G7" s="49"/>
      <c r="H7" s="30"/>
      <c r="I7" s="50" t="s">
        <v>32</v>
      </c>
      <c r="J7" s="50"/>
      <c r="K7" s="50"/>
      <c r="L7" s="50"/>
      <c r="M7" s="50"/>
      <c r="N7" s="50"/>
      <c r="O7" s="50"/>
      <c r="P7" s="50"/>
    </row>
    <row r="8" spans="1:18" ht="37.5" customHeight="1">
      <c r="A8" s="7" t="s">
        <v>0</v>
      </c>
      <c r="B8" s="7" t="s">
        <v>33</v>
      </c>
      <c r="C8" s="7" t="s">
        <v>4</v>
      </c>
      <c r="D8" s="7" t="s">
        <v>34</v>
      </c>
      <c r="E8" s="7" t="s">
        <v>35</v>
      </c>
      <c r="F8" s="7" t="s">
        <v>36</v>
      </c>
      <c r="G8" s="7" t="s">
        <v>7</v>
      </c>
      <c r="H8" s="30"/>
      <c r="I8" s="31" t="s">
        <v>0</v>
      </c>
      <c r="J8" s="31" t="s">
        <v>22</v>
      </c>
      <c r="K8" s="31" t="s">
        <v>13</v>
      </c>
      <c r="L8" s="31" t="s">
        <v>37</v>
      </c>
      <c r="M8" s="31" t="s">
        <v>18</v>
      </c>
      <c r="N8" s="31" t="s">
        <v>38</v>
      </c>
      <c r="O8" s="31" t="s">
        <v>39</v>
      </c>
      <c r="P8" s="31" t="s">
        <v>7</v>
      </c>
    </row>
    <row r="9" spans="1:18" ht="12.75">
      <c r="A9" s="32">
        <v>45658</v>
      </c>
      <c r="B9" s="33">
        <v>18500</v>
      </c>
      <c r="C9" s="34">
        <v>1</v>
      </c>
      <c r="D9" s="33">
        <v>18500</v>
      </c>
      <c r="E9" s="65">
        <v>0</v>
      </c>
      <c r="F9" s="65">
        <v>0.2</v>
      </c>
      <c r="G9" s="34" t="s">
        <v>296</v>
      </c>
      <c r="H9" s="30"/>
      <c r="I9" s="66">
        <v>45662</v>
      </c>
      <c r="J9" s="34">
        <v>22000</v>
      </c>
      <c r="K9" s="34">
        <v>1</v>
      </c>
      <c r="L9" s="34">
        <v>22000</v>
      </c>
      <c r="M9" s="34">
        <v>3500</v>
      </c>
      <c r="N9" s="34">
        <v>18500</v>
      </c>
      <c r="O9" s="35">
        <v>0.15</v>
      </c>
      <c r="P9" s="34" t="s">
        <v>296</v>
      </c>
    </row>
    <row r="10" spans="1:18" ht="12.75">
      <c r="A10" s="32">
        <v>45659</v>
      </c>
      <c r="B10" s="33">
        <v>24900</v>
      </c>
      <c r="C10" s="34">
        <v>2</v>
      </c>
      <c r="D10" s="33">
        <v>49800</v>
      </c>
      <c r="E10" s="65">
        <v>0</v>
      </c>
      <c r="F10" s="65">
        <v>0.25</v>
      </c>
      <c r="G10" s="34" t="s">
        <v>297</v>
      </c>
      <c r="H10" s="30"/>
      <c r="I10" s="66">
        <v>45663</v>
      </c>
      <c r="J10" s="34">
        <v>31000</v>
      </c>
      <c r="K10" s="34">
        <v>2</v>
      </c>
      <c r="L10" s="34">
        <v>62000</v>
      </c>
      <c r="M10" s="34">
        <v>6100</v>
      </c>
      <c r="N10" s="34">
        <v>24900</v>
      </c>
      <c r="O10" s="35">
        <v>0.19500000000000001</v>
      </c>
      <c r="P10" s="34" t="s">
        <v>297</v>
      </c>
    </row>
    <row r="11" spans="1:18" ht="12.75">
      <c r="A11" s="32">
        <v>45660</v>
      </c>
      <c r="B11" s="33">
        <v>38000</v>
      </c>
      <c r="C11" s="34">
        <v>1</v>
      </c>
      <c r="D11" s="33">
        <v>38000</v>
      </c>
      <c r="E11" s="65">
        <v>0</v>
      </c>
      <c r="F11" s="65">
        <v>0.22</v>
      </c>
      <c r="G11" s="34" t="s">
        <v>298</v>
      </c>
      <c r="H11" s="30"/>
      <c r="I11" s="66">
        <v>45664</v>
      </c>
      <c r="J11" s="34">
        <v>46000</v>
      </c>
      <c r="K11" s="34">
        <v>1</v>
      </c>
      <c r="L11" s="34">
        <v>46000</v>
      </c>
      <c r="M11" s="34">
        <v>8000</v>
      </c>
      <c r="N11" s="34">
        <v>38000</v>
      </c>
      <c r="O11" s="35">
        <v>0.21740000000000001</v>
      </c>
      <c r="P11" s="34" t="s">
        <v>298</v>
      </c>
    </row>
    <row r="12" spans="1:18" ht="12.75">
      <c r="A12" s="66">
        <v>45661</v>
      </c>
      <c r="B12" s="33">
        <v>14900</v>
      </c>
      <c r="C12" s="34">
        <v>3</v>
      </c>
      <c r="D12" s="33">
        <v>44700</v>
      </c>
      <c r="E12" s="65">
        <v>1</v>
      </c>
      <c r="F12" s="65">
        <v>0.18</v>
      </c>
      <c r="G12" s="34" t="s">
        <v>299</v>
      </c>
      <c r="H12" s="30"/>
      <c r="I12" s="66">
        <v>45665</v>
      </c>
      <c r="J12" s="34">
        <v>17000</v>
      </c>
      <c r="K12" s="34">
        <v>3</v>
      </c>
      <c r="L12" s="34">
        <v>51000</v>
      </c>
      <c r="M12" s="34">
        <v>2100</v>
      </c>
      <c r="N12" s="34">
        <v>14900</v>
      </c>
      <c r="O12" s="35">
        <v>0.125</v>
      </c>
      <c r="P12" s="34" t="s">
        <v>299</v>
      </c>
    </row>
    <row r="13" spans="1:18" ht="12.75">
      <c r="A13" s="66">
        <v>45662</v>
      </c>
      <c r="B13" s="33">
        <v>3200</v>
      </c>
      <c r="C13" s="34">
        <v>5</v>
      </c>
      <c r="D13" s="33">
        <v>16000</v>
      </c>
      <c r="E13" s="65">
        <v>2</v>
      </c>
      <c r="F13" s="65">
        <v>0.15</v>
      </c>
      <c r="G13" s="34" t="s">
        <v>300</v>
      </c>
      <c r="H13" s="30"/>
      <c r="I13" s="66">
        <v>45666</v>
      </c>
      <c r="J13" s="34">
        <v>3700</v>
      </c>
      <c r="K13" s="34">
        <v>5</v>
      </c>
      <c r="L13" s="34">
        <v>18500</v>
      </c>
      <c r="M13" s="34">
        <v>500</v>
      </c>
      <c r="N13" s="34">
        <v>3200</v>
      </c>
      <c r="O13" s="35">
        <v>0.1351</v>
      </c>
      <c r="P13" s="34" t="s">
        <v>300</v>
      </c>
    </row>
    <row r="14" spans="1:18" ht="12.75">
      <c r="A14" s="66">
        <v>45663</v>
      </c>
      <c r="B14" s="33">
        <v>26000</v>
      </c>
      <c r="C14" s="34">
        <v>2</v>
      </c>
      <c r="D14" s="33">
        <v>52000</v>
      </c>
      <c r="E14" s="65">
        <v>1</v>
      </c>
      <c r="F14" s="65">
        <v>0.2</v>
      </c>
      <c r="G14" s="34" t="s">
        <v>301</v>
      </c>
      <c r="H14" s="30"/>
      <c r="I14" s="66">
        <v>45667</v>
      </c>
      <c r="J14" s="34">
        <v>32000</v>
      </c>
      <c r="K14" s="34">
        <v>2</v>
      </c>
      <c r="L14" s="34">
        <v>64000</v>
      </c>
      <c r="M14" s="34">
        <v>6000</v>
      </c>
      <c r="N14" s="34">
        <v>26000</v>
      </c>
      <c r="O14" s="35">
        <v>0.1875</v>
      </c>
      <c r="P14" s="34" t="s">
        <v>301</v>
      </c>
    </row>
    <row r="15" spans="1:18" ht="12.75">
      <c r="A15" s="66">
        <v>45664</v>
      </c>
      <c r="B15" s="33">
        <v>12500</v>
      </c>
      <c r="C15" s="34">
        <v>3</v>
      </c>
      <c r="D15" s="33">
        <v>37500</v>
      </c>
      <c r="E15" s="65">
        <v>2</v>
      </c>
      <c r="F15" s="65">
        <v>0.15</v>
      </c>
      <c r="G15" s="34" t="s">
        <v>302</v>
      </c>
      <c r="H15" s="30"/>
      <c r="I15" s="66">
        <v>45668</v>
      </c>
      <c r="J15" s="34">
        <v>14500</v>
      </c>
      <c r="K15" s="34">
        <v>3</v>
      </c>
      <c r="L15" s="34">
        <v>43500</v>
      </c>
      <c r="M15" s="34">
        <v>2000</v>
      </c>
      <c r="N15" s="34">
        <v>12500</v>
      </c>
      <c r="O15" s="35">
        <v>0.16</v>
      </c>
      <c r="P15" s="34" t="s">
        <v>302</v>
      </c>
      <c r="R15" t="s">
        <v>46</v>
      </c>
    </row>
    <row r="16" spans="1:18" ht="12.75">
      <c r="A16" s="66">
        <v>45665</v>
      </c>
      <c r="B16" s="33">
        <v>1800</v>
      </c>
      <c r="C16" s="34">
        <v>4</v>
      </c>
      <c r="D16" s="33">
        <v>7200</v>
      </c>
      <c r="E16" s="65">
        <v>1</v>
      </c>
      <c r="F16" s="65">
        <v>0.1</v>
      </c>
      <c r="G16" s="34" t="s">
        <v>303</v>
      </c>
      <c r="H16" s="30"/>
      <c r="I16" s="66">
        <v>45669</v>
      </c>
      <c r="J16" s="34">
        <v>2000</v>
      </c>
      <c r="K16" s="34">
        <v>4</v>
      </c>
      <c r="L16" s="34">
        <v>8000</v>
      </c>
      <c r="M16" s="34">
        <v>200</v>
      </c>
      <c r="N16" s="34">
        <v>1800</v>
      </c>
      <c r="O16" s="35">
        <v>0.1111</v>
      </c>
      <c r="P16" s="34" t="s">
        <v>303</v>
      </c>
    </row>
    <row r="17" spans="1:16" ht="12.75">
      <c r="A17" s="66">
        <v>45666</v>
      </c>
      <c r="B17" s="33">
        <v>18500</v>
      </c>
      <c r="C17" s="34">
        <v>2</v>
      </c>
      <c r="D17" s="33">
        <v>37000</v>
      </c>
      <c r="E17" s="65">
        <v>0</v>
      </c>
      <c r="F17" s="65">
        <v>0.2</v>
      </c>
      <c r="G17" s="34" t="s">
        <v>304</v>
      </c>
      <c r="H17" s="30"/>
      <c r="I17" s="66">
        <v>45670</v>
      </c>
      <c r="J17" s="34">
        <v>22000</v>
      </c>
      <c r="K17" s="34">
        <v>2</v>
      </c>
      <c r="L17" s="34">
        <v>44000</v>
      </c>
      <c r="M17" s="34">
        <v>3500</v>
      </c>
      <c r="N17" s="34">
        <v>18500</v>
      </c>
      <c r="O17" s="35">
        <v>0.15909999999999999</v>
      </c>
      <c r="P17" s="34" t="s">
        <v>304</v>
      </c>
    </row>
    <row r="18" spans="1:16" ht="12.75">
      <c r="A18" s="66">
        <v>45667</v>
      </c>
      <c r="B18" s="33">
        <v>24900</v>
      </c>
      <c r="C18" s="34">
        <v>1</v>
      </c>
      <c r="D18" s="33">
        <v>24900</v>
      </c>
      <c r="E18" s="65">
        <v>0</v>
      </c>
      <c r="F18" s="65">
        <v>0.25</v>
      </c>
      <c r="G18" s="34" t="s">
        <v>305</v>
      </c>
      <c r="H18" s="30"/>
      <c r="I18" s="66">
        <v>45671</v>
      </c>
      <c r="J18" s="34">
        <v>31000</v>
      </c>
      <c r="K18" s="34">
        <v>1</v>
      </c>
      <c r="L18" s="34">
        <v>31000</v>
      </c>
      <c r="M18" s="34">
        <v>6100</v>
      </c>
      <c r="N18" s="34">
        <v>24900</v>
      </c>
      <c r="O18" s="35">
        <v>0.19520000000000001</v>
      </c>
      <c r="P18" s="34" t="s">
        <v>305</v>
      </c>
    </row>
    <row r="19" spans="1:16" ht="12.75">
      <c r="A19" s="66">
        <v>45668</v>
      </c>
      <c r="B19" s="33">
        <v>38000</v>
      </c>
      <c r="C19" s="34">
        <v>2</v>
      </c>
      <c r="D19" s="33">
        <v>76000</v>
      </c>
      <c r="E19" s="65">
        <v>1</v>
      </c>
      <c r="F19" s="65">
        <v>0.22</v>
      </c>
      <c r="G19" s="34" t="s">
        <v>306</v>
      </c>
      <c r="H19" s="30"/>
      <c r="I19" s="66">
        <v>45672</v>
      </c>
      <c r="J19" s="34">
        <v>46000</v>
      </c>
      <c r="K19" s="34">
        <v>2</v>
      </c>
      <c r="L19" s="34">
        <v>92000</v>
      </c>
      <c r="M19" s="34">
        <v>8000</v>
      </c>
      <c r="N19" s="34">
        <v>38000</v>
      </c>
      <c r="O19" s="35">
        <v>0.21740000000000001</v>
      </c>
      <c r="P19" s="34" t="s">
        <v>306</v>
      </c>
    </row>
    <row r="20" spans="1:16" ht="12.75">
      <c r="A20" s="66">
        <v>45669</v>
      </c>
      <c r="B20" s="33">
        <v>14900</v>
      </c>
      <c r="C20" s="34">
        <v>1</v>
      </c>
      <c r="D20" s="33">
        <v>14900</v>
      </c>
      <c r="E20" s="65">
        <v>0</v>
      </c>
      <c r="F20" s="65">
        <v>0.18</v>
      </c>
      <c r="G20" s="34" t="s">
        <v>307</v>
      </c>
      <c r="H20" s="30"/>
      <c r="I20" s="66">
        <v>45673</v>
      </c>
      <c r="J20" s="34">
        <v>17000</v>
      </c>
      <c r="K20" s="34">
        <v>1</v>
      </c>
      <c r="L20" s="34">
        <v>17000</v>
      </c>
      <c r="M20" s="34">
        <v>2100</v>
      </c>
      <c r="N20" s="34">
        <v>14900</v>
      </c>
      <c r="O20" s="35">
        <v>0.125</v>
      </c>
      <c r="P20" s="34" t="s">
        <v>307</v>
      </c>
    </row>
    <row r="21" spans="1:16" ht="12.75">
      <c r="A21" s="66">
        <v>45670</v>
      </c>
      <c r="B21" s="33">
        <v>3200</v>
      </c>
      <c r="C21" s="34">
        <v>3</v>
      </c>
      <c r="D21" s="33">
        <v>9600</v>
      </c>
      <c r="E21" s="65">
        <v>1</v>
      </c>
      <c r="F21" s="65">
        <v>0.15</v>
      </c>
      <c r="G21" s="34" t="s">
        <v>308</v>
      </c>
      <c r="H21" s="30"/>
      <c r="I21" s="66">
        <v>45674</v>
      </c>
      <c r="J21" s="34">
        <v>3700</v>
      </c>
      <c r="K21" s="34">
        <v>3</v>
      </c>
      <c r="L21" s="34">
        <v>11100</v>
      </c>
      <c r="M21" s="34">
        <v>500</v>
      </c>
      <c r="N21" s="34">
        <v>3200</v>
      </c>
      <c r="O21" s="35">
        <v>0.1351</v>
      </c>
      <c r="P21" s="34" t="s">
        <v>308</v>
      </c>
    </row>
    <row r="22" spans="1:16" ht="12.75">
      <c r="A22" s="66">
        <v>45671</v>
      </c>
      <c r="B22" s="33">
        <v>26000</v>
      </c>
      <c r="C22" s="34">
        <v>1</v>
      </c>
      <c r="D22" s="33">
        <v>26000</v>
      </c>
      <c r="E22" s="65">
        <v>0</v>
      </c>
      <c r="F22" s="65">
        <v>0.2</v>
      </c>
      <c r="G22" s="34" t="s">
        <v>309</v>
      </c>
      <c r="H22" s="30"/>
      <c r="I22" s="66">
        <v>45675</v>
      </c>
      <c r="J22" s="34">
        <v>32000</v>
      </c>
      <c r="K22" s="34">
        <v>1</v>
      </c>
      <c r="L22" s="34">
        <v>32000</v>
      </c>
      <c r="M22" s="34">
        <v>6000</v>
      </c>
      <c r="N22" s="34">
        <v>26000</v>
      </c>
      <c r="O22" s="35">
        <v>0.1875</v>
      </c>
      <c r="P22" s="34" t="s">
        <v>309</v>
      </c>
    </row>
    <row r="23" spans="1:16" ht="12.75">
      <c r="A23" s="66">
        <v>45672</v>
      </c>
      <c r="B23" s="33">
        <v>12500</v>
      </c>
      <c r="C23" s="34">
        <v>2</v>
      </c>
      <c r="D23" s="33">
        <v>25000</v>
      </c>
      <c r="E23" s="65">
        <v>1</v>
      </c>
      <c r="F23" s="65">
        <v>0.15</v>
      </c>
      <c r="G23" s="34" t="s">
        <v>310</v>
      </c>
      <c r="H23" s="30"/>
      <c r="I23" s="66">
        <v>45676</v>
      </c>
      <c r="J23" s="34">
        <v>14500</v>
      </c>
      <c r="K23" s="34">
        <v>2</v>
      </c>
      <c r="L23" s="34">
        <v>29000</v>
      </c>
      <c r="M23" s="34">
        <v>2000</v>
      </c>
      <c r="N23" s="34">
        <v>12500</v>
      </c>
      <c r="O23" s="35">
        <v>0.16</v>
      </c>
      <c r="P23" s="34" t="s">
        <v>310</v>
      </c>
    </row>
    <row r="24" spans="1:16" ht="12.75">
      <c r="A24" s="66">
        <v>45673</v>
      </c>
      <c r="B24" s="33">
        <v>1800</v>
      </c>
      <c r="C24" s="34">
        <v>5</v>
      </c>
      <c r="D24" s="33">
        <v>9000</v>
      </c>
      <c r="E24" s="65">
        <v>3</v>
      </c>
      <c r="F24" s="65">
        <v>0.1</v>
      </c>
      <c r="G24" s="34" t="s">
        <v>311</v>
      </c>
      <c r="H24" s="30"/>
      <c r="I24" s="66">
        <v>45677</v>
      </c>
      <c r="J24" s="34">
        <v>2000</v>
      </c>
      <c r="K24" s="34">
        <v>5</v>
      </c>
      <c r="L24" s="34">
        <v>10000</v>
      </c>
      <c r="M24" s="34">
        <v>200</v>
      </c>
      <c r="N24" s="34">
        <v>1800</v>
      </c>
      <c r="O24" s="35">
        <v>0.1111</v>
      </c>
      <c r="P24" s="34" t="s">
        <v>311</v>
      </c>
    </row>
    <row r="25" spans="1:16" ht="12.75">
      <c r="A25" s="66">
        <v>45674</v>
      </c>
      <c r="B25" s="33">
        <v>18500</v>
      </c>
      <c r="C25" s="34">
        <v>1</v>
      </c>
      <c r="D25" s="33">
        <v>18500</v>
      </c>
      <c r="E25" s="65">
        <v>0</v>
      </c>
      <c r="F25" s="65">
        <v>0.2</v>
      </c>
      <c r="G25" s="34" t="s">
        <v>312</v>
      </c>
      <c r="H25" s="30"/>
      <c r="I25" s="66">
        <v>45678</v>
      </c>
      <c r="J25" s="34">
        <v>22000</v>
      </c>
      <c r="K25" s="34">
        <v>1</v>
      </c>
      <c r="L25" s="34">
        <v>22000</v>
      </c>
      <c r="M25" s="34">
        <v>3500</v>
      </c>
      <c r="N25" s="34">
        <v>18500</v>
      </c>
      <c r="O25" s="35">
        <v>0.15909999999999999</v>
      </c>
      <c r="P25" s="34" t="s">
        <v>312</v>
      </c>
    </row>
    <row r="26" spans="1:16" ht="12.75">
      <c r="A26" s="66">
        <v>45675</v>
      </c>
      <c r="B26" s="33">
        <v>24900</v>
      </c>
      <c r="C26" s="34">
        <v>2</v>
      </c>
      <c r="D26" s="33">
        <v>49800</v>
      </c>
      <c r="E26" s="65">
        <v>0</v>
      </c>
      <c r="F26" s="65">
        <v>0.25</v>
      </c>
      <c r="G26" s="34" t="s">
        <v>313</v>
      </c>
      <c r="H26" s="30"/>
      <c r="I26" s="66">
        <v>45679</v>
      </c>
      <c r="J26" s="34">
        <v>31000</v>
      </c>
      <c r="K26" s="34">
        <v>2</v>
      </c>
      <c r="L26" s="34">
        <v>62000</v>
      </c>
      <c r="M26" s="34">
        <v>6100</v>
      </c>
      <c r="N26" s="34">
        <v>24900</v>
      </c>
      <c r="O26" s="35">
        <v>0.19520000000000001</v>
      </c>
      <c r="P26" s="34" t="s">
        <v>313</v>
      </c>
    </row>
    <row r="27" spans="1:16" ht="12.75">
      <c r="A27" s="66">
        <v>45676</v>
      </c>
      <c r="B27" s="33">
        <v>38000</v>
      </c>
      <c r="C27" s="34">
        <v>1</v>
      </c>
      <c r="D27" s="33">
        <v>38000</v>
      </c>
      <c r="E27" s="65">
        <v>0</v>
      </c>
      <c r="F27" s="65">
        <v>0.22</v>
      </c>
      <c r="G27" s="34" t="s">
        <v>314</v>
      </c>
      <c r="H27" s="30"/>
      <c r="I27" s="66">
        <v>45680</v>
      </c>
      <c r="J27" s="34">
        <v>46000</v>
      </c>
      <c r="K27" s="34">
        <v>1</v>
      </c>
      <c r="L27" s="34">
        <v>46000</v>
      </c>
      <c r="M27" s="34">
        <v>8000</v>
      </c>
      <c r="N27" s="34">
        <v>38000</v>
      </c>
      <c r="O27" s="35">
        <v>0.21740000000000001</v>
      </c>
      <c r="P27" s="34" t="s">
        <v>314</v>
      </c>
    </row>
    <row r="28" spans="1:16" ht="12.75">
      <c r="A28" s="66">
        <v>45677</v>
      </c>
      <c r="B28" s="33">
        <v>14900</v>
      </c>
      <c r="C28" s="34">
        <v>3</v>
      </c>
      <c r="D28" s="33">
        <v>44700</v>
      </c>
      <c r="E28" s="65">
        <v>1</v>
      </c>
      <c r="F28" s="65">
        <v>0.18</v>
      </c>
      <c r="G28" s="34" t="s">
        <v>315</v>
      </c>
      <c r="H28" s="30"/>
      <c r="I28" s="66">
        <v>45681</v>
      </c>
      <c r="J28" s="34">
        <v>17000</v>
      </c>
      <c r="K28" s="34">
        <v>3</v>
      </c>
      <c r="L28" s="34">
        <v>51000</v>
      </c>
      <c r="M28" s="34">
        <v>2100</v>
      </c>
      <c r="N28" s="34">
        <v>14900</v>
      </c>
      <c r="O28" s="35">
        <v>0.125</v>
      </c>
      <c r="P28" s="34" t="s">
        <v>315</v>
      </c>
    </row>
    <row r="29" spans="1:16" ht="12.75">
      <c r="A29" s="66">
        <v>45678</v>
      </c>
      <c r="B29" s="33">
        <v>3200</v>
      </c>
      <c r="C29" s="34">
        <v>2</v>
      </c>
      <c r="D29" s="33">
        <v>6400</v>
      </c>
      <c r="E29" s="65">
        <v>0</v>
      </c>
      <c r="F29" s="65">
        <v>0.15</v>
      </c>
      <c r="G29" s="34" t="s">
        <v>316</v>
      </c>
      <c r="H29" s="30"/>
      <c r="I29" s="66">
        <v>45682</v>
      </c>
      <c r="J29" s="34">
        <v>3700</v>
      </c>
      <c r="K29" s="34">
        <v>2</v>
      </c>
      <c r="L29" s="34">
        <v>7400</v>
      </c>
      <c r="M29" s="34">
        <v>500</v>
      </c>
      <c r="N29" s="34">
        <v>3200</v>
      </c>
      <c r="O29" s="35">
        <v>0.1351</v>
      </c>
      <c r="P29" s="34" t="s">
        <v>316</v>
      </c>
    </row>
    <row r="30" spans="1:16" ht="12.75">
      <c r="A30" s="66">
        <v>45679</v>
      </c>
      <c r="B30" s="33">
        <v>26000</v>
      </c>
      <c r="C30" s="34">
        <v>1</v>
      </c>
      <c r="D30" s="33">
        <v>26000</v>
      </c>
      <c r="E30" s="65">
        <v>0</v>
      </c>
      <c r="F30" s="65">
        <v>0.2</v>
      </c>
      <c r="G30" s="34" t="s">
        <v>317</v>
      </c>
      <c r="H30" s="30"/>
      <c r="I30" s="66">
        <v>45683</v>
      </c>
      <c r="J30" s="34">
        <v>32000</v>
      </c>
      <c r="K30" s="34">
        <v>1</v>
      </c>
      <c r="L30" s="34">
        <v>32000</v>
      </c>
      <c r="M30" s="34">
        <v>6000</v>
      </c>
      <c r="N30" s="34">
        <v>26000</v>
      </c>
      <c r="O30" s="35">
        <v>0.1875</v>
      </c>
      <c r="P30" s="34" t="s">
        <v>317</v>
      </c>
    </row>
    <row r="31" spans="1:16" ht="12.75">
      <c r="A31" s="66">
        <v>45680</v>
      </c>
      <c r="B31" s="33">
        <v>12500</v>
      </c>
      <c r="C31" s="34">
        <v>3</v>
      </c>
      <c r="D31" s="33">
        <v>37500</v>
      </c>
      <c r="E31" s="65">
        <v>1</v>
      </c>
      <c r="F31" s="65">
        <v>0.15</v>
      </c>
      <c r="G31" s="34" t="s">
        <v>318</v>
      </c>
      <c r="H31" s="30"/>
      <c r="I31" s="66">
        <v>45684</v>
      </c>
      <c r="J31" s="34">
        <v>14500</v>
      </c>
      <c r="K31" s="34">
        <v>3</v>
      </c>
      <c r="L31" s="34">
        <v>43500</v>
      </c>
      <c r="M31" s="34">
        <v>2000</v>
      </c>
      <c r="N31" s="34">
        <v>12500</v>
      </c>
      <c r="O31" s="35">
        <v>0.16</v>
      </c>
      <c r="P31" s="34" t="s">
        <v>318</v>
      </c>
    </row>
    <row r="32" spans="1:16" ht="12.75">
      <c r="A32" s="66">
        <v>45681</v>
      </c>
      <c r="B32" s="33">
        <v>1800</v>
      </c>
      <c r="C32" s="34">
        <v>4</v>
      </c>
      <c r="D32" s="33">
        <v>7200</v>
      </c>
      <c r="E32" s="65">
        <v>2</v>
      </c>
      <c r="F32" s="65">
        <v>0.1</v>
      </c>
      <c r="G32" s="34" t="s">
        <v>319</v>
      </c>
      <c r="H32" s="30"/>
      <c r="I32" s="66">
        <v>45685</v>
      </c>
      <c r="J32" s="34">
        <v>2000</v>
      </c>
      <c r="K32" s="34">
        <v>4</v>
      </c>
      <c r="L32" s="34">
        <v>8000</v>
      </c>
      <c r="M32" s="34">
        <v>200</v>
      </c>
      <c r="N32" s="34">
        <v>1800</v>
      </c>
      <c r="O32" s="35">
        <v>0.1111</v>
      </c>
      <c r="P32" s="34" t="s">
        <v>319</v>
      </c>
    </row>
    <row r="33" spans="1:16" ht="12.75">
      <c r="A33" s="66">
        <v>45682</v>
      </c>
      <c r="B33" s="33">
        <v>18500</v>
      </c>
      <c r="C33" s="34">
        <v>2</v>
      </c>
      <c r="D33" s="33">
        <v>37000</v>
      </c>
      <c r="E33" s="65">
        <v>1</v>
      </c>
      <c r="F33" s="65">
        <v>0.2</v>
      </c>
      <c r="G33" s="34" t="s">
        <v>320</v>
      </c>
      <c r="H33" s="30"/>
      <c r="I33" s="66">
        <v>45686</v>
      </c>
      <c r="J33" s="34">
        <v>22000</v>
      </c>
      <c r="K33" s="34">
        <v>2</v>
      </c>
      <c r="L33" s="34">
        <v>44000</v>
      </c>
      <c r="M33" s="34">
        <v>3500</v>
      </c>
      <c r="N33" s="34">
        <v>18500</v>
      </c>
      <c r="O33" s="35">
        <v>0.15909999999999999</v>
      </c>
      <c r="P33" s="34" t="s">
        <v>320</v>
      </c>
    </row>
    <row r="34" spans="1:16" ht="12.75">
      <c r="A34" s="66">
        <v>45683</v>
      </c>
      <c r="B34" s="33">
        <v>24900</v>
      </c>
      <c r="C34" s="34">
        <v>1</v>
      </c>
      <c r="D34" s="33">
        <v>24900</v>
      </c>
      <c r="E34" s="65">
        <v>0</v>
      </c>
      <c r="F34" s="65">
        <v>0.25</v>
      </c>
      <c r="G34" s="34" t="s">
        <v>321</v>
      </c>
      <c r="H34" s="30"/>
      <c r="I34" s="66">
        <v>45687</v>
      </c>
      <c r="J34" s="34">
        <v>31000</v>
      </c>
      <c r="K34" s="34">
        <v>1</v>
      </c>
      <c r="L34" s="34">
        <v>31000</v>
      </c>
      <c r="M34" s="34">
        <v>6100</v>
      </c>
      <c r="N34" s="34">
        <v>24900</v>
      </c>
      <c r="O34" s="35">
        <v>0.19520000000000001</v>
      </c>
      <c r="P34" s="34" t="s">
        <v>321</v>
      </c>
    </row>
    <row r="35" spans="1:16" ht="12.75">
      <c r="A35" s="66">
        <v>45684</v>
      </c>
      <c r="B35" s="33">
        <v>38000</v>
      </c>
      <c r="C35" s="34">
        <v>2</v>
      </c>
      <c r="D35" s="33">
        <v>76000</v>
      </c>
      <c r="E35" s="65">
        <v>1</v>
      </c>
      <c r="F35" s="65">
        <v>0.22</v>
      </c>
      <c r="G35" s="34" t="s">
        <v>322</v>
      </c>
      <c r="H35" s="30"/>
      <c r="I35" s="66">
        <v>45688</v>
      </c>
      <c r="J35" s="34">
        <v>46000</v>
      </c>
      <c r="K35" s="34">
        <v>2</v>
      </c>
      <c r="L35" s="34">
        <v>92000</v>
      </c>
      <c r="M35" s="34">
        <v>8000</v>
      </c>
      <c r="N35" s="34">
        <v>38000</v>
      </c>
      <c r="O35" s="35">
        <v>0.21740000000000001</v>
      </c>
      <c r="P35" s="34" t="s">
        <v>322</v>
      </c>
    </row>
    <row r="36" spans="1:16" ht="12.75">
      <c r="A36" s="66">
        <v>45685</v>
      </c>
      <c r="B36" s="33">
        <v>14900</v>
      </c>
      <c r="C36" s="34">
        <v>1</v>
      </c>
      <c r="D36" s="33">
        <v>14900</v>
      </c>
      <c r="E36" s="65">
        <v>0</v>
      </c>
      <c r="F36" s="65">
        <v>0.18</v>
      </c>
      <c r="G36" s="34" t="s">
        <v>323</v>
      </c>
      <c r="H36" s="30"/>
      <c r="I36" s="66">
        <v>45689</v>
      </c>
      <c r="J36" s="34">
        <v>17000</v>
      </c>
      <c r="K36" s="34">
        <v>1</v>
      </c>
      <c r="L36" s="34">
        <v>17000</v>
      </c>
      <c r="M36" s="34">
        <v>2100</v>
      </c>
      <c r="N36" s="34">
        <v>14900</v>
      </c>
      <c r="O36" s="35">
        <v>0.125</v>
      </c>
      <c r="P36" s="34" t="s">
        <v>323</v>
      </c>
    </row>
    <row r="37" spans="1:16" ht="12.75">
      <c r="A37" s="66">
        <v>45686</v>
      </c>
      <c r="B37" s="33">
        <v>3200</v>
      </c>
      <c r="C37" s="34">
        <v>3</v>
      </c>
      <c r="D37" s="33">
        <v>9600</v>
      </c>
      <c r="E37" s="65">
        <v>1</v>
      </c>
      <c r="F37" s="65">
        <v>0.15</v>
      </c>
      <c r="G37" s="34" t="s">
        <v>324</v>
      </c>
      <c r="H37" s="30"/>
      <c r="I37" s="66">
        <v>45690</v>
      </c>
      <c r="J37" s="34">
        <v>3700</v>
      </c>
      <c r="K37" s="34">
        <v>3</v>
      </c>
      <c r="L37" s="34">
        <v>11100</v>
      </c>
      <c r="M37" s="34">
        <v>500</v>
      </c>
      <c r="N37" s="34">
        <v>3200</v>
      </c>
      <c r="O37" s="35">
        <v>0.1351</v>
      </c>
      <c r="P37" s="34" t="s">
        <v>324</v>
      </c>
    </row>
    <row r="38" spans="1:16" ht="12.75">
      <c r="A38" s="66">
        <v>45687</v>
      </c>
      <c r="B38" s="33">
        <v>26000</v>
      </c>
      <c r="C38" s="34">
        <v>2</v>
      </c>
      <c r="D38" s="33">
        <v>52000</v>
      </c>
      <c r="E38" s="65">
        <v>0</v>
      </c>
      <c r="F38" s="65">
        <v>0.2</v>
      </c>
      <c r="G38" s="34" t="s">
        <v>325</v>
      </c>
      <c r="H38" s="30"/>
      <c r="I38" s="66">
        <v>45691</v>
      </c>
      <c r="J38" s="34">
        <v>32000</v>
      </c>
      <c r="K38" s="34">
        <v>2</v>
      </c>
      <c r="L38" s="34">
        <v>64000</v>
      </c>
      <c r="M38" s="34">
        <v>6000</v>
      </c>
      <c r="N38" s="34">
        <v>26000</v>
      </c>
      <c r="O38" s="35">
        <v>0.1875</v>
      </c>
      <c r="P38" s="34" t="s">
        <v>325</v>
      </c>
    </row>
    <row r="39" spans="1:16" ht="12.75">
      <c r="A39" s="66">
        <v>45688</v>
      </c>
      <c r="B39" s="33">
        <v>12500</v>
      </c>
      <c r="C39" s="34">
        <v>1</v>
      </c>
      <c r="D39" s="33">
        <v>12500</v>
      </c>
      <c r="E39" s="65">
        <v>0</v>
      </c>
      <c r="F39" s="65">
        <v>0.15</v>
      </c>
      <c r="G39" s="34" t="s">
        <v>326</v>
      </c>
      <c r="H39" s="30"/>
      <c r="I39" s="66">
        <v>45692</v>
      </c>
      <c r="J39" s="34">
        <v>14500</v>
      </c>
      <c r="K39" s="34">
        <v>1</v>
      </c>
      <c r="L39" s="34">
        <v>14500</v>
      </c>
      <c r="M39" s="34">
        <v>2000</v>
      </c>
      <c r="N39" s="34">
        <v>12500</v>
      </c>
      <c r="O39" s="35">
        <v>0.16</v>
      </c>
      <c r="P39" s="34" t="s">
        <v>326</v>
      </c>
    </row>
    <row r="40" spans="1:16" ht="12.75">
      <c r="A40" s="66">
        <v>45689</v>
      </c>
      <c r="B40" s="33">
        <v>1800</v>
      </c>
      <c r="C40" s="34">
        <v>5</v>
      </c>
      <c r="D40" s="33">
        <v>9000</v>
      </c>
      <c r="E40" s="65">
        <v>3</v>
      </c>
      <c r="F40" s="65">
        <v>0.1</v>
      </c>
      <c r="G40" s="34" t="s">
        <v>327</v>
      </c>
      <c r="H40" s="30"/>
      <c r="I40" s="66">
        <v>45693</v>
      </c>
      <c r="J40" s="34">
        <v>2000</v>
      </c>
      <c r="K40" s="34">
        <v>5</v>
      </c>
      <c r="L40" s="34">
        <v>10000</v>
      </c>
      <c r="M40" s="34">
        <v>200</v>
      </c>
      <c r="N40" s="34">
        <v>1800</v>
      </c>
      <c r="O40" s="35">
        <v>0.1111</v>
      </c>
      <c r="P40" s="34" t="s">
        <v>327</v>
      </c>
    </row>
    <row r="41" spans="1:16" ht="12.75">
      <c r="A41" s="66">
        <v>45690</v>
      </c>
      <c r="B41" s="33">
        <v>18500</v>
      </c>
      <c r="C41" s="34">
        <v>1</v>
      </c>
      <c r="D41" s="33">
        <v>18500</v>
      </c>
      <c r="E41" s="65">
        <v>0</v>
      </c>
      <c r="F41" s="65">
        <v>0.2</v>
      </c>
      <c r="G41" s="34" t="s">
        <v>328</v>
      </c>
      <c r="H41" s="30"/>
      <c r="I41" s="66">
        <v>45694</v>
      </c>
      <c r="J41" s="34">
        <v>22000</v>
      </c>
      <c r="K41" s="34">
        <v>1</v>
      </c>
      <c r="L41" s="34">
        <v>22000</v>
      </c>
      <c r="M41" s="34">
        <v>3500</v>
      </c>
      <c r="N41" s="34">
        <v>18500</v>
      </c>
      <c r="O41" s="35">
        <v>0.15909999999999999</v>
      </c>
      <c r="P41" s="34" t="s">
        <v>328</v>
      </c>
    </row>
    <row r="42" spans="1:16" ht="12.75">
      <c r="A42" s="66">
        <v>45691</v>
      </c>
      <c r="B42" s="33">
        <v>24900</v>
      </c>
      <c r="C42" s="34">
        <v>2</v>
      </c>
      <c r="D42" s="33">
        <v>49800</v>
      </c>
      <c r="E42" s="65">
        <v>0</v>
      </c>
      <c r="F42" s="65">
        <v>0.25</v>
      </c>
      <c r="G42" s="34" t="s">
        <v>329</v>
      </c>
      <c r="H42" s="30"/>
      <c r="I42" s="66">
        <v>45695</v>
      </c>
      <c r="J42" s="34">
        <v>31000</v>
      </c>
      <c r="K42" s="34">
        <v>2</v>
      </c>
      <c r="L42" s="34">
        <v>62000</v>
      </c>
      <c r="M42" s="34">
        <v>6100</v>
      </c>
      <c r="N42" s="34">
        <v>24900</v>
      </c>
      <c r="O42" s="35">
        <v>0.19520000000000001</v>
      </c>
      <c r="P42" s="34" t="s">
        <v>329</v>
      </c>
    </row>
    <row r="43" spans="1:16" ht="12.75">
      <c r="A43" s="66">
        <v>45692</v>
      </c>
      <c r="B43" s="33">
        <v>38000</v>
      </c>
      <c r="C43" s="34">
        <v>1</v>
      </c>
      <c r="D43" s="33">
        <v>38000</v>
      </c>
      <c r="E43" s="65">
        <v>0</v>
      </c>
      <c r="F43" s="65">
        <v>0.22</v>
      </c>
      <c r="G43" s="34" t="s">
        <v>330</v>
      </c>
      <c r="H43" s="30"/>
      <c r="I43" s="66">
        <v>45696</v>
      </c>
      <c r="J43" s="34">
        <v>46000</v>
      </c>
      <c r="K43" s="34">
        <v>1</v>
      </c>
      <c r="L43" s="34">
        <v>46000</v>
      </c>
      <c r="M43" s="34">
        <v>8000</v>
      </c>
      <c r="N43" s="34">
        <v>38000</v>
      </c>
      <c r="O43" s="35">
        <v>0.21740000000000001</v>
      </c>
      <c r="P43" s="34" t="s">
        <v>330</v>
      </c>
    </row>
    <row r="44" spans="1:16" ht="12.75">
      <c r="A44" s="66">
        <v>45693</v>
      </c>
      <c r="B44" s="33">
        <v>14900</v>
      </c>
      <c r="C44" s="34">
        <v>3</v>
      </c>
      <c r="D44" s="33">
        <v>44700</v>
      </c>
      <c r="E44" s="65">
        <v>1</v>
      </c>
      <c r="F44" s="65">
        <v>0.18</v>
      </c>
      <c r="G44" s="34" t="s">
        <v>331</v>
      </c>
      <c r="H44" s="30"/>
      <c r="I44" s="66">
        <v>45697</v>
      </c>
      <c r="J44" s="34">
        <v>17000</v>
      </c>
      <c r="K44" s="34">
        <v>3</v>
      </c>
      <c r="L44" s="34">
        <v>51000</v>
      </c>
      <c r="M44" s="34">
        <v>2100</v>
      </c>
      <c r="N44" s="34">
        <v>14900</v>
      </c>
      <c r="O44" s="35">
        <v>0.125</v>
      </c>
      <c r="P44" s="34" t="s">
        <v>331</v>
      </c>
    </row>
    <row r="45" spans="1:16" ht="12.75">
      <c r="A45" s="66">
        <v>45694</v>
      </c>
      <c r="B45" s="33">
        <v>3200</v>
      </c>
      <c r="C45" s="34">
        <v>2</v>
      </c>
      <c r="D45" s="33">
        <v>6400</v>
      </c>
      <c r="E45" s="65">
        <v>0</v>
      </c>
      <c r="F45" s="65">
        <v>0.15</v>
      </c>
      <c r="G45" s="34" t="s">
        <v>332</v>
      </c>
      <c r="H45" s="30"/>
      <c r="I45" s="66">
        <v>45698</v>
      </c>
      <c r="J45" s="34">
        <v>3700</v>
      </c>
      <c r="K45" s="34">
        <v>2</v>
      </c>
      <c r="L45" s="34">
        <v>7400</v>
      </c>
      <c r="M45" s="34">
        <v>500</v>
      </c>
      <c r="N45" s="34">
        <v>3200</v>
      </c>
      <c r="O45" s="35">
        <v>0.1351</v>
      </c>
      <c r="P45" s="34" t="s">
        <v>332</v>
      </c>
    </row>
    <row r="46" spans="1:16" ht="12.75">
      <c r="A46" s="66">
        <v>45695</v>
      </c>
      <c r="B46" s="33">
        <v>26000</v>
      </c>
      <c r="C46" s="34">
        <v>1</v>
      </c>
      <c r="D46" s="33">
        <v>26000</v>
      </c>
      <c r="E46" s="65">
        <v>0</v>
      </c>
      <c r="F46" s="65">
        <v>0.2</v>
      </c>
      <c r="G46" s="34" t="s">
        <v>333</v>
      </c>
      <c r="H46" s="30"/>
      <c r="I46" s="66">
        <v>45699</v>
      </c>
      <c r="J46" s="34">
        <v>32000</v>
      </c>
      <c r="K46" s="34">
        <v>1</v>
      </c>
      <c r="L46" s="34">
        <v>32000</v>
      </c>
      <c r="M46" s="34">
        <v>6000</v>
      </c>
      <c r="N46" s="34">
        <v>26000</v>
      </c>
      <c r="O46" s="35">
        <v>0.1875</v>
      </c>
      <c r="P46" s="34" t="s">
        <v>333</v>
      </c>
    </row>
    <row r="47" spans="1:16" ht="12.75">
      <c r="A47" s="66">
        <v>45696</v>
      </c>
      <c r="B47" s="33">
        <v>12500</v>
      </c>
      <c r="C47" s="34">
        <v>3</v>
      </c>
      <c r="D47" s="33">
        <v>37500</v>
      </c>
      <c r="E47" s="65">
        <v>1</v>
      </c>
      <c r="F47" s="65">
        <v>0.15</v>
      </c>
      <c r="G47" s="34" t="s">
        <v>334</v>
      </c>
      <c r="H47" s="30"/>
      <c r="I47" s="66">
        <v>45700</v>
      </c>
      <c r="J47" s="34">
        <v>14500</v>
      </c>
      <c r="K47" s="34">
        <v>3</v>
      </c>
      <c r="L47" s="34">
        <v>43500</v>
      </c>
      <c r="M47" s="34">
        <v>2000</v>
      </c>
      <c r="N47" s="34">
        <v>12500</v>
      </c>
      <c r="O47" s="35">
        <v>0.16</v>
      </c>
      <c r="P47" s="34" t="s">
        <v>334</v>
      </c>
    </row>
    <row r="48" spans="1:16" ht="12.75">
      <c r="A48" s="66">
        <v>45697</v>
      </c>
      <c r="B48" s="33">
        <v>1800</v>
      </c>
      <c r="C48" s="34">
        <v>4</v>
      </c>
      <c r="D48" s="33">
        <v>7200</v>
      </c>
      <c r="E48" s="65">
        <v>2</v>
      </c>
      <c r="F48" s="65">
        <v>0.1</v>
      </c>
      <c r="G48" s="34" t="s">
        <v>335</v>
      </c>
      <c r="H48" s="30"/>
      <c r="I48" s="66">
        <v>45701</v>
      </c>
      <c r="J48" s="34">
        <v>2000</v>
      </c>
      <c r="K48" s="34">
        <v>4</v>
      </c>
      <c r="L48" s="34">
        <v>8000</v>
      </c>
      <c r="M48" s="34">
        <v>200</v>
      </c>
      <c r="N48" s="34">
        <v>1800</v>
      </c>
      <c r="O48" s="35">
        <v>0.1111</v>
      </c>
      <c r="P48" s="34" t="s">
        <v>335</v>
      </c>
    </row>
    <row r="49" spans="1:16" ht="12.75">
      <c r="A49" s="66">
        <v>45698</v>
      </c>
      <c r="B49" s="33">
        <v>18500</v>
      </c>
      <c r="C49" s="34">
        <v>2</v>
      </c>
      <c r="D49" s="33">
        <v>37000</v>
      </c>
      <c r="E49" s="65">
        <v>1</v>
      </c>
      <c r="F49" s="65">
        <v>0.2</v>
      </c>
      <c r="G49" s="34" t="s">
        <v>336</v>
      </c>
      <c r="H49" s="30"/>
      <c r="I49" s="66">
        <v>45702</v>
      </c>
      <c r="J49" s="34">
        <v>22000</v>
      </c>
      <c r="K49" s="34">
        <v>2</v>
      </c>
      <c r="L49" s="34">
        <v>44000</v>
      </c>
      <c r="M49" s="34">
        <v>3500</v>
      </c>
      <c r="N49" s="34">
        <v>18500</v>
      </c>
      <c r="O49" s="35">
        <v>0.15909999999999999</v>
      </c>
      <c r="P49" s="34" t="s">
        <v>336</v>
      </c>
    </row>
    <row r="50" spans="1:16" ht="12.75">
      <c r="A50" s="66">
        <v>45699</v>
      </c>
      <c r="B50" s="33">
        <v>24900</v>
      </c>
      <c r="C50" s="34">
        <v>1</v>
      </c>
      <c r="D50" s="33">
        <v>24900</v>
      </c>
      <c r="E50" s="65">
        <v>0</v>
      </c>
      <c r="F50" s="65">
        <v>0.25</v>
      </c>
      <c r="G50" s="34" t="s">
        <v>337</v>
      </c>
      <c r="H50" s="30"/>
      <c r="I50" s="66">
        <v>45703</v>
      </c>
      <c r="J50" s="34">
        <v>31000</v>
      </c>
      <c r="K50" s="34">
        <v>1</v>
      </c>
      <c r="L50" s="34">
        <v>31000</v>
      </c>
      <c r="M50" s="34">
        <v>6100</v>
      </c>
      <c r="N50" s="34">
        <v>24900</v>
      </c>
      <c r="O50" s="35">
        <v>0.19520000000000001</v>
      </c>
      <c r="P50" s="34" t="s">
        <v>337</v>
      </c>
    </row>
    <row r="51" spans="1:16" ht="12.75">
      <c r="A51" s="66">
        <v>45700</v>
      </c>
      <c r="B51" s="33">
        <v>38000</v>
      </c>
      <c r="C51" s="34">
        <v>2</v>
      </c>
      <c r="D51" s="33">
        <v>76000</v>
      </c>
      <c r="E51" s="65">
        <v>1</v>
      </c>
      <c r="F51" s="65">
        <v>0.22</v>
      </c>
      <c r="G51" s="34" t="s">
        <v>338</v>
      </c>
      <c r="H51" s="30"/>
      <c r="I51" s="66">
        <v>45704</v>
      </c>
      <c r="J51" s="34">
        <v>46000</v>
      </c>
      <c r="K51" s="34">
        <v>2</v>
      </c>
      <c r="L51" s="34">
        <v>92000</v>
      </c>
      <c r="M51" s="34">
        <v>8000</v>
      </c>
      <c r="N51" s="34">
        <v>38000</v>
      </c>
      <c r="O51" s="35">
        <v>0.21740000000000001</v>
      </c>
      <c r="P51" s="34" t="s">
        <v>338</v>
      </c>
    </row>
    <row r="52" spans="1:16" ht="12.75">
      <c r="A52" s="66">
        <v>45701</v>
      </c>
      <c r="B52" s="33">
        <v>14900</v>
      </c>
      <c r="C52" s="34">
        <v>1</v>
      </c>
      <c r="D52" s="33">
        <v>14900</v>
      </c>
      <c r="E52" s="65">
        <v>0</v>
      </c>
      <c r="F52" s="65">
        <v>0.18</v>
      </c>
      <c r="G52" s="34" t="s">
        <v>339</v>
      </c>
      <c r="H52" s="30"/>
      <c r="I52" s="66">
        <v>45705</v>
      </c>
      <c r="J52" s="34">
        <v>17000</v>
      </c>
      <c r="K52" s="34">
        <v>1</v>
      </c>
      <c r="L52" s="34">
        <v>17000</v>
      </c>
      <c r="M52" s="34">
        <v>2100</v>
      </c>
      <c r="N52" s="34">
        <v>14900</v>
      </c>
      <c r="O52" s="35">
        <v>0.125</v>
      </c>
      <c r="P52" s="34" t="s">
        <v>339</v>
      </c>
    </row>
    <row r="53" spans="1:16" ht="12.75">
      <c r="A53" s="66">
        <v>45702</v>
      </c>
      <c r="B53" s="33">
        <v>3200</v>
      </c>
      <c r="C53" s="34">
        <v>3</v>
      </c>
      <c r="D53" s="33">
        <v>9600</v>
      </c>
      <c r="E53" s="65">
        <v>1</v>
      </c>
      <c r="F53" s="65">
        <v>0.15</v>
      </c>
      <c r="G53" s="34" t="s">
        <v>340</v>
      </c>
      <c r="H53" s="30"/>
      <c r="I53" s="66">
        <v>45706</v>
      </c>
      <c r="J53" s="34">
        <v>3700</v>
      </c>
      <c r="K53" s="34">
        <v>3</v>
      </c>
      <c r="L53" s="34">
        <v>11100</v>
      </c>
      <c r="M53" s="34">
        <v>500</v>
      </c>
      <c r="N53" s="34">
        <v>3200</v>
      </c>
      <c r="O53" s="35">
        <v>0.1351</v>
      </c>
      <c r="P53" s="34" t="s">
        <v>340</v>
      </c>
    </row>
    <row r="54" spans="1:16" ht="12.75">
      <c r="A54" s="66">
        <v>45703</v>
      </c>
      <c r="B54" s="33">
        <v>26000</v>
      </c>
      <c r="C54" s="34">
        <v>2</v>
      </c>
      <c r="D54" s="33">
        <v>52000</v>
      </c>
      <c r="E54" s="65">
        <v>0</v>
      </c>
      <c r="F54" s="65">
        <v>0.2</v>
      </c>
      <c r="G54" s="34" t="s">
        <v>341</v>
      </c>
      <c r="H54" s="30"/>
      <c r="I54" s="66">
        <v>45707</v>
      </c>
      <c r="J54" s="34">
        <v>32000</v>
      </c>
      <c r="K54" s="34">
        <v>2</v>
      </c>
      <c r="L54" s="34">
        <v>64000</v>
      </c>
      <c r="M54" s="34">
        <v>6000</v>
      </c>
      <c r="N54" s="34">
        <v>26000</v>
      </c>
      <c r="O54" s="35">
        <v>0.1875</v>
      </c>
      <c r="P54" s="34" t="s">
        <v>341</v>
      </c>
    </row>
    <row r="55" spans="1:16" ht="12.75">
      <c r="A55" s="66">
        <v>45704</v>
      </c>
      <c r="B55" s="33">
        <v>12500</v>
      </c>
      <c r="C55" s="34">
        <v>1</v>
      </c>
      <c r="D55" s="33">
        <v>12500</v>
      </c>
      <c r="E55" s="65">
        <v>0</v>
      </c>
      <c r="F55" s="65">
        <v>0.15</v>
      </c>
      <c r="G55" s="34" t="s">
        <v>342</v>
      </c>
      <c r="H55" s="30"/>
      <c r="I55" s="66">
        <v>45708</v>
      </c>
      <c r="J55" s="34">
        <v>14500</v>
      </c>
      <c r="K55" s="34">
        <v>1</v>
      </c>
      <c r="L55" s="34">
        <v>14500</v>
      </c>
      <c r="M55" s="34">
        <v>2000</v>
      </c>
      <c r="N55" s="34">
        <v>12500</v>
      </c>
      <c r="O55" s="35">
        <v>0.16</v>
      </c>
      <c r="P55" s="34" t="s">
        <v>342</v>
      </c>
    </row>
    <row r="56" spans="1:16" ht="12.75">
      <c r="A56" s="66">
        <v>45705</v>
      </c>
      <c r="B56" s="33">
        <v>1800</v>
      </c>
      <c r="C56" s="34">
        <v>5</v>
      </c>
      <c r="D56" s="33">
        <v>9000</v>
      </c>
      <c r="E56" s="65">
        <v>3</v>
      </c>
      <c r="F56" s="65">
        <v>0.1</v>
      </c>
      <c r="G56" s="34" t="s">
        <v>343</v>
      </c>
      <c r="H56" s="30"/>
      <c r="I56" s="66">
        <v>45709</v>
      </c>
      <c r="J56" s="34">
        <v>2000</v>
      </c>
      <c r="K56" s="34">
        <v>5</v>
      </c>
      <c r="L56" s="34">
        <v>10000</v>
      </c>
      <c r="M56" s="34">
        <v>200</v>
      </c>
      <c r="N56" s="34">
        <v>1800</v>
      </c>
      <c r="O56" s="35">
        <v>0.1111</v>
      </c>
      <c r="P56" s="34" t="s">
        <v>343</v>
      </c>
    </row>
    <row r="57" spans="1:16" ht="12.75">
      <c r="A57" s="66">
        <v>45706</v>
      </c>
      <c r="B57" s="33">
        <v>18500</v>
      </c>
      <c r="C57" s="34">
        <v>1</v>
      </c>
      <c r="D57" s="33">
        <v>18500</v>
      </c>
      <c r="E57" s="65">
        <v>0</v>
      </c>
      <c r="F57" s="65">
        <v>0.2</v>
      </c>
      <c r="G57" s="34" t="s">
        <v>344</v>
      </c>
      <c r="H57" s="30"/>
      <c r="I57" s="66">
        <v>45710</v>
      </c>
      <c r="J57" s="34">
        <v>22000</v>
      </c>
      <c r="K57" s="34">
        <v>1</v>
      </c>
      <c r="L57" s="34">
        <v>22000</v>
      </c>
      <c r="M57" s="34">
        <v>3500</v>
      </c>
      <c r="N57" s="34">
        <v>18500</v>
      </c>
      <c r="O57" s="35">
        <v>0.15909999999999999</v>
      </c>
      <c r="P57" s="34" t="s">
        <v>344</v>
      </c>
    </row>
    <row r="58" spans="1:16" ht="12.75">
      <c r="A58" s="66">
        <v>45707</v>
      </c>
      <c r="B58" s="33">
        <v>24900</v>
      </c>
      <c r="C58" s="34">
        <v>2</v>
      </c>
      <c r="D58" s="33">
        <v>49800</v>
      </c>
      <c r="E58" s="65">
        <v>0</v>
      </c>
      <c r="F58" s="65">
        <v>0.25</v>
      </c>
      <c r="G58" s="34" t="s">
        <v>345</v>
      </c>
      <c r="H58" s="30"/>
      <c r="I58" s="66">
        <v>45711</v>
      </c>
      <c r="J58" s="34">
        <v>31000</v>
      </c>
      <c r="K58" s="34">
        <v>2</v>
      </c>
      <c r="L58" s="34">
        <v>62000</v>
      </c>
      <c r="M58" s="34">
        <v>6100</v>
      </c>
      <c r="N58" s="34">
        <v>24900</v>
      </c>
      <c r="O58" s="35">
        <v>0.19520000000000001</v>
      </c>
      <c r="P58" s="34" t="s">
        <v>345</v>
      </c>
    </row>
    <row r="59" spans="1:16" ht="12.75">
      <c r="A59" s="34"/>
      <c r="B59" s="33"/>
      <c r="C59" s="34"/>
      <c r="D59" s="33"/>
      <c r="E59" s="34"/>
      <c r="F59" s="34"/>
      <c r="G59" s="34"/>
      <c r="H59" s="30"/>
      <c r="I59" s="34"/>
      <c r="J59" s="34"/>
      <c r="K59" s="34"/>
      <c r="L59" s="34"/>
      <c r="M59" s="34"/>
      <c r="N59" s="34"/>
      <c r="O59" s="34"/>
      <c r="P59" s="34"/>
    </row>
    <row r="60" spans="1:16" ht="12.75">
      <c r="A60" s="34"/>
      <c r="B60" s="33"/>
      <c r="C60" s="34"/>
      <c r="D60" s="33"/>
      <c r="E60" s="34"/>
      <c r="F60" s="34"/>
      <c r="G60" s="34"/>
      <c r="H60" s="30"/>
      <c r="I60" s="34"/>
      <c r="J60" s="34"/>
      <c r="K60" s="34"/>
      <c r="L60" s="34"/>
      <c r="M60" s="34"/>
      <c r="N60" s="34"/>
      <c r="O60" s="34"/>
      <c r="P60" s="34"/>
    </row>
    <row r="61" spans="1:16" ht="12.75">
      <c r="A61" s="34"/>
      <c r="B61" s="33"/>
      <c r="C61" s="34"/>
      <c r="D61" s="33"/>
      <c r="E61" s="34"/>
      <c r="F61" s="34"/>
      <c r="G61" s="34"/>
      <c r="H61" s="30"/>
      <c r="I61" s="34"/>
      <c r="J61" s="34"/>
      <c r="K61" s="34"/>
      <c r="L61" s="34"/>
      <c r="M61" s="34"/>
      <c r="N61" s="34"/>
      <c r="O61" s="34"/>
      <c r="P61" s="34"/>
    </row>
    <row r="62" spans="1:16" ht="12.75">
      <c r="A62" s="34"/>
      <c r="B62" s="33"/>
      <c r="C62" s="34"/>
      <c r="D62" s="33"/>
      <c r="E62" s="34"/>
      <c r="F62" s="34"/>
      <c r="G62" s="34"/>
      <c r="H62" s="30"/>
      <c r="I62" s="34"/>
      <c r="J62" s="34"/>
      <c r="K62" s="34"/>
      <c r="L62" s="34"/>
      <c r="M62" s="34"/>
      <c r="N62" s="34"/>
      <c r="O62" s="34"/>
      <c r="P62" s="34"/>
    </row>
    <row r="63" spans="1:16" ht="12.75">
      <c r="A63" s="34"/>
      <c r="B63" s="33"/>
      <c r="C63" s="34"/>
      <c r="D63" s="33"/>
      <c r="E63" s="34"/>
      <c r="F63" s="34"/>
      <c r="G63" s="34"/>
      <c r="H63" s="30"/>
      <c r="I63" s="34"/>
      <c r="J63" s="34"/>
      <c r="K63" s="34"/>
      <c r="L63" s="34"/>
      <c r="M63" s="34"/>
      <c r="N63" s="34"/>
      <c r="O63" s="34"/>
      <c r="P63" s="34"/>
    </row>
    <row r="64" spans="1:16" ht="12.75">
      <c r="A64" s="34"/>
      <c r="B64" s="33"/>
      <c r="C64" s="34"/>
      <c r="D64" s="33"/>
      <c r="E64" s="34"/>
      <c r="F64" s="34"/>
      <c r="G64" s="34"/>
      <c r="H64" s="30"/>
      <c r="I64" s="34"/>
      <c r="J64" s="34"/>
      <c r="K64" s="34"/>
      <c r="L64" s="34"/>
      <c r="M64" s="34"/>
      <c r="N64" s="34"/>
      <c r="O64" s="34"/>
      <c r="P64" s="34"/>
    </row>
    <row r="65" spans="1:16" ht="12.75">
      <c r="A65" s="34"/>
      <c r="B65" s="33"/>
      <c r="C65" s="34"/>
      <c r="D65" s="33"/>
      <c r="E65" s="34"/>
      <c r="F65" s="34"/>
      <c r="G65" s="34"/>
      <c r="H65" s="30"/>
      <c r="I65" s="34"/>
      <c r="J65" s="34"/>
      <c r="K65" s="34"/>
      <c r="L65" s="34"/>
      <c r="M65" s="34"/>
      <c r="N65" s="34"/>
      <c r="O65" s="34"/>
      <c r="P65" s="34"/>
    </row>
    <row r="66" spans="1:16" ht="12.75">
      <c r="A66" s="34"/>
      <c r="B66" s="33"/>
      <c r="C66" s="34"/>
      <c r="D66" s="33"/>
      <c r="E66" s="34"/>
      <c r="F66" s="34"/>
      <c r="G66" s="34"/>
      <c r="H66" s="30"/>
      <c r="I66" s="34"/>
      <c r="J66" s="34"/>
      <c r="K66" s="34"/>
      <c r="L66" s="34"/>
      <c r="M66" s="34"/>
      <c r="N66" s="34"/>
      <c r="O66" s="34"/>
      <c r="P66" s="34"/>
    </row>
    <row r="67" spans="1:16" ht="12.75">
      <c r="A67" s="34"/>
      <c r="B67" s="33"/>
      <c r="C67" s="34"/>
      <c r="D67" s="33"/>
      <c r="E67" s="34"/>
      <c r="F67" s="34"/>
      <c r="G67" s="34"/>
      <c r="H67" s="30"/>
      <c r="I67" s="34"/>
      <c r="J67" s="34"/>
      <c r="K67" s="34"/>
      <c r="L67" s="34"/>
      <c r="M67" s="34"/>
      <c r="N67" s="34"/>
      <c r="O67" s="34"/>
      <c r="P67" s="34"/>
    </row>
    <row r="68" spans="1:16" ht="12.75">
      <c r="A68" s="34"/>
      <c r="B68" s="33"/>
      <c r="C68" s="34"/>
      <c r="D68" s="33"/>
      <c r="E68" s="34"/>
      <c r="F68" s="34"/>
      <c r="G68" s="34"/>
      <c r="H68" s="30"/>
      <c r="I68" s="34"/>
      <c r="J68" s="34"/>
      <c r="K68" s="34"/>
      <c r="L68" s="34"/>
      <c r="M68" s="34"/>
      <c r="N68" s="34"/>
      <c r="O68" s="34"/>
      <c r="P68" s="34"/>
    </row>
    <row r="69" spans="1:16" ht="12.75">
      <c r="A69" s="34"/>
      <c r="B69" s="33"/>
      <c r="C69" s="34"/>
      <c r="D69" s="33"/>
      <c r="E69" s="34"/>
      <c r="F69" s="34"/>
      <c r="G69" s="34"/>
      <c r="H69" s="30"/>
      <c r="I69" s="34"/>
      <c r="J69" s="34"/>
      <c r="K69" s="34"/>
      <c r="L69" s="34"/>
      <c r="M69" s="34"/>
      <c r="N69" s="34"/>
      <c r="O69" s="34"/>
      <c r="P69" s="34"/>
    </row>
    <row r="70" spans="1:16" ht="12.75">
      <c r="A70" s="34"/>
      <c r="B70" s="33"/>
      <c r="C70" s="34"/>
      <c r="D70" s="33"/>
      <c r="E70" s="34"/>
      <c r="F70" s="34"/>
      <c r="G70" s="34"/>
      <c r="H70" s="30"/>
      <c r="I70" s="34"/>
      <c r="J70" s="34"/>
      <c r="K70" s="34"/>
      <c r="L70" s="34"/>
      <c r="M70" s="34"/>
      <c r="N70" s="34"/>
      <c r="O70" s="34"/>
      <c r="P70" s="34"/>
    </row>
    <row r="71" spans="1:16" ht="12.75">
      <c r="A71" s="34"/>
      <c r="B71" s="33"/>
      <c r="C71" s="34"/>
      <c r="D71" s="33"/>
      <c r="E71" s="34"/>
      <c r="F71" s="34"/>
      <c r="G71" s="34"/>
      <c r="H71" s="30"/>
      <c r="I71" s="34"/>
      <c r="J71" s="34"/>
      <c r="K71" s="34"/>
      <c r="L71" s="34"/>
      <c r="M71" s="34"/>
      <c r="N71" s="34"/>
      <c r="O71" s="34"/>
      <c r="P71" s="34"/>
    </row>
    <row r="72" spans="1:16" ht="12.75">
      <c r="A72" s="34"/>
      <c r="B72" s="33"/>
      <c r="C72" s="34"/>
      <c r="D72" s="33"/>
      <c r="E72" s="34"/>
      <c r="F72" s="34"/>
      <c r="G72" s="34"/>
      <c r="H72" s="30"/>
      <c r="I72" s="34"/>
      <c r="J72" s="34"/>
      <c r="K72" s="34"/>
      <c r="L72" s="34"/>
      <c r="M72" s="34"/>
      <c r="N72" s="34"/>
      <c r="O72" s="34"/>
      <c r="P72" s="34"/>
    </row>
    <row r="73" spans="1:16" ht="12.75">
      <c r="A73" s="34"/>
      <c r="B73" s="33"/>
      <c r="C73" s="34"/>
      <c r="D73" s="33"/>
      <c r="E73" s="34"/>
      <c r="F73" s="34"/>
      <c r="G73" s="34"/>
      <c r="H73" s="30"/>
      <c r="I73" s="34"/>
      <c r="J73" s="34"/>
      <c r="K73" s="34"/>
      <c r="L73" s="34"/>
      <c r="M73" s="34"/>
      <c r="N73" s="34"/>
      <c r="O73" s="34"/>
      <c r="P73" s="34"/>
    </row>
    <row r="74" spans="1:16" ht="12.75">
      <c r="A74" s="34"/>
      <c r="B74" s="33"/>
      <c r="C74" s="34"/>
      <c r="D74" s="33"/>
      <c r="E74" s="34"/>
      <c r="F74" s="34"/>
      <c r="G74" s="34"/>
      <c r="H74" s="30"/>
      <c r="I74" s="34"/>
      <c r="J74" s="34"/>
      <c r="K74" s="34"/>
      <c r="L74" s="34"/>
      <c r="M74" s="34"/>
      <c r="N74" s="34"/>
      <c r="O74" s="34"/>
      <c r="P74" s="34"/>
    </row>
    <row r="75" spans="1:16" ht="12.75">
      <c r="A75" s="34"/>
      <c r="B75" s="33"/>
      <c r="C75" s="34"/>
      <c r="D75" s="33"/>
      <c r="E75" s="34"/>
      <c r="F75" s="34"/>
      <c r="G75" s="34"/>
      <c r="H75" s="30"/>
      <c r="I75" s="34"/>
      <c r="J75" s="34"/>
      <c r="K75" s="34"/>
      <c r="L75" s="34"/>
      <c r="M75" s="34"/>
      <c r="N75" s="34"/>
      <c r="O75" s="34"/>
      <c r="P75" s="34"/>
    </row>
    <row r="76" spans="1:16" ht="12.75">
      <c r="A76" s="34"/>
      <c r="B76" s="33"/>
      <c r="C76" s="34"/>
      <c r="D76" s="33"/>
      <c r="E76" s="34"/>
      <c r="F76" s="34"/>
      <c r="G76" s="34"/>
      <c r="H76" s="30"/>
      <c r="I76" s="34"/>
      <c r="J76" s="34"/>
      <c r="K76" s="34"/>
      <c r="L76" s="34"/>
      <c r="M76" s="34"/>
      <c r="N76" s="34"/>
      <c r="O76" s="34"/>
      <c r="P76" s="34"/>
    </row>
    <row r="77" spans="1:16" ht="12.75">
      <c r="A77" s="34"/>
      <c r="B77" s="33"/>
      <c r="C77" s="34"/>
      <c r="D77" s="33"/>
      <c r="E77" s="34"/>
      <c r="F77" s="34"/>
      <c r="G77" s="34"/>
      <c r="H77" s="30"/>
      <c r="I77" s="34"/>
      <c r="J77" s="34"/>
      <c r="K77" s="34"/>
      <c r="L77" s="34"/>
      <c r="M77" s="34"/>
      <c r="N77" s="34"/>
      <c r="O77" s="34"/>
      <c r="P77" s="34"/>
    </row>
    <row r="78" spans="1:16" ht="12.75">
      <c r="A78" s="34"/>
      <c r="B78" s="33"/>
      <c r="C78" s="34"/>
      <c r="D78" s="33"/>
      <c r="E78" s="34"/>
      <c r="F78" s="34"/>
      <c r="G78" s="34"/>
      <c r="H78" s="30"/>
      <c r="I78" s="34"/>
      <c r="J78" s="34"/>
      <c r="K78" s="34"/>
      <c r="L78" s="34"/>
      <c r="M78" s="34"/>
      <c r="N78" s="34"/>
      <c r="O78" s="34"/>
      <c r="P78" s="34"/>
    </row>
    <row r="79" spans="1:16" ht="12.75">
      <c r="A79" s="34"/>
      <c r="B79" s="33"/>
      <c r="C79" s="34"/>
      <c r="D79" s="33"/>
      <c r="E79" s="34"/>
      <c r="F79" s="34"/>
      <c r="G79" s="34"/>
      <c r="H79" s="30"/>
      <c r="I79" s="34"/>
      <c r="J79" s="34"/>
      <c r="K79" s="34"/>
      <c r="L79" s="34"/>
      <c r="M79" s="34"/>
      <c r="N79" s="34"/>
      <c r="O79" s="34"/>
      <c r="P79" s="34"/>
    </row>
    <row r="80" spans="1:16" ht="12.75">
      <c r="A80" s="34"/>
      <c r="B80" s="33"/>
      <c r="C80" s="34"/>
      <c r="D80" s="33"/>
      <c r="E80" s="34"/>
      <c r="F80" s="34"/>
      <c r="G80" s="34"/>
      <c r="H80" s="30"/>
      <c r="I80" s="34"/>
      <c r="J80" s="34"/>
      <c r="K80" s="34"/>
      <c r="L80" s="34"/>
      <c r="M80" s="34"/>
      <c r="N80" s="34"/>
      <c r="O80" s="34"/>
      <c r="P80" s="34"/>
    </row>
    <row r="81" spans="1:16" ht="12.75">
      <c r="A81" s="34"/>
      <c r="B81" s="33"/>
      <c r="C81" s="34"/>
      <c r="D81" s="33"/>
      <c r="E81" s="34"/>
      <c r="F81" s="34"/>
      <c r="G81" s="34"/>
      <c r="H81" s="30"/>
      <c r="I81" s="34"/>
      <c r="J81" s="34"/>
      <c r="K81" s="34"/>
      <c r="L81" s="34"/>
      <c r="M81" s="34"/>
      <c r="N81" s="34"/>
      <c r="O81" s="34"/>
      <c r="P81" s="34"/>
    </row>
    <row r="82" spans="1:16" ht="12.75">
      <c r="A82" s="34"/>
      <c r="B82" s="33"/>
      <c r="C82" s="34"/>
      <c r="D82" s="33"/>
      <c r="E82" s="34"/>
      <c r="F82" s="34"/>
      <c r="G82" s="34"/>
      <c r="H82" s="30"/>
      <c r="I82" s="34"/>
      <c r="J82" s="34"/>
      <c r="K82" s="34"/>
      <c r="L82" s="34"/>
      <c r="M82" s="34"/>
      <c r="N82" s="34"/>
      <c r="O82" s="34"/>
      <c r="P82" s="34"/>
    </row>
    <row r="83" spans="1:16" ht="12.75">
      <c r="A83" s="34"/>
      <c r="B83" s="33"/>
      <c r="C83" s="34"/>
      <c r="D83" s="33"/>
      <c r="E83" s="34"/>
      <c r="F83" s="34"/>
      <c r="G83" s="34"/>
      <c r="H83" s="30"/>
      <c r="I83" s="34"/>
      <c r="J83" s="34"/>
      <c r="K83" s="34"/>
      <c r="L83" s="34"/>
      <c r="M83" s="34"/>
      <c r="N83" s="34"/>
      <c r="O83" s="34"/>
      <c r="P83" s="34"/>
    </row>
    <row r="84" spans="1:16" ht="12.75">
      <c r="A84" s="34"/>
      <c r="B84" s="33"/>
      <c r="C84" s="34"/>
      <c r="D84" s="33"/>
      <c r="E84" s="34"/>
      <c r="F84" s="34"/>
      <c r="G84" s="34"/>
      <c r="H84" s="30"/>
      <c r="I84" s="34"/>
      <c r="J84" s="34"/>
      <c r="K84" s="34"/>
      <c r="L84" s="34"/>
      <c r="M84" s="34"/>
      <c r="N84" s="34"/>
      <c r="O84" s="34"/>
      <c r="P84" s="34"/>
    </row>
    <row r="85" spans="1:16" ht="12.75">
      <c r="A85" s="34"/>
      <c r="B85" s="33"/>
      <c r="C85" s="34"/>
      <c r="D85" s="33"/>
      <c r="E85" s="34"/>
      <c r="F85" s="34"/>
      <c r="G85" s="34"/>
      <c r="H85" s="30"/>
      <c r="I85" s="34"/>
      <c r="J85" s="34"/>
      <c r="K85" s="34"/>
      <c r="L85" s="34"/>
      <c r="M85" s="34"/>
      <c r="N85" s="34"/>
      <c r="O85" s="34"/>
      <c r="P85" s="34"/>
    </row>
    <row r="86" spans="1:16" ht="12.75">
      <c r="A86" s="34"/>
      <c r="B86" s="33"/>
      <c r="C86" s="34"/>
      <c r="D86" s="33"/>
      <c r="E86" s="34"/>
      <c r="F86" s="34"/>
      <c r="G86" s="34"/>
      <c r="H86" s="30"/>
      <c r="I86" s="34"/>
      <c r="J86" s="34"/>
      <c r="K86" s="34"/>
      <c r="L86" s="34"/>
      <c r="M86" s="34"/>
      <c r="N86" s="34"/>
      <c r="O86" s="34"/>
      <c r="P86" s="34"/>
    </row>
    <row r="87" spans="1:16" ht="12.75">
      <c r="A87" s="34"/>
      <c r="B87" s="33"/>
      <c r="C87" s="34"/>
      <c r="D87" s="33"/>
      <c r="E87" s="34"/>
      <c r="F87" s="34"/>
      <c r="G87" s="34"/>
      <c r="H87" s="30"/>
      <c r="I87" s="34"/>
      <c r="J87" s="34"/>
      <c r="K87" s="34"/>
      <c r="L87" s="34"/>
      <c r="M87" s="34"/>
      <c r="N87" s="34"/>
      <c r="O87" s="34"/>
      <c r="P87" s="34"/>
    </row>
    <row r="88" spans="1:16" ht="12.75">
      <c r="A88" s="34"/>
      <c r="B88" s="33"/>
      <c r="C88" s="34"/>
      <c r="D88" s="33"/>
      <c r="E88" s="34"/>
      <c r="F88" s="34"/>
      <c r="G88" s="34"/>
      <c r="H88" s="30"/>
      <c r="I88" s="34"/>
      <c r="J88" s="34"/>
      <c r="K88" s="34"/>
      <c r="L88" s="34"/>
      <c r="M88" s="34"/>
      <c r="N88" s="34"/>
      <c r="O88" s="34"/>
      <c r="P88" s="34"/>
    </row>
    <row r="89" spans="1:16" ht="12.75">
      <c r="A89" s="34"/>
      <c r="B89" s="33"/>
      <c r="C89" s="34"/>
      <c r="D89" s="33"/>
      <c r="E89" s="34"/>
      <c r="F89" s="34"/>
      <c r="G89" s="34"/>
      <c r="H89" s="30"/>
      <c r="I89" s="34"/>
      <c r="J89" s="34"/>
      <c r="K89" s="34"/>
      <c r="L89" s="34"/>
      <c r="M89" s="34"/>
      <c r="N89" s="34"/>
      <c r="O89" s="34"/>
      <c r="P89" s="34"/>
    </row>
    <row r="90" spans="1:16" ht="12.75">
      <c r="A90" s="34"/>
      <c r="B90" s="33"/>
      <c r="C90" s="34"/>
      <c r="D90" s="33"/>
      <c r="E90" s="34"/>
      <c r="F90" s="34"/>
      <c r="G90" s="34"/>
      <c r="H90" s="30"/>
      <c r="I90" s="34"/>
      <c r="J90" s="34"/>
      <c r="K90" s="34"/>
      <c r="L90" s="34"/>
      <c r="M90" s="34"/>
      <c r="N90" s="34"/>
      <c r="O90" s="34"/>
      <c r="P90" s="34"/>
    </row>
    <row r="91" spans="1:16" ht="12.75">
      <c r="A91" s="34"/>
      <c r="B91" s="33"/>
      <c r="C91" s="34"/>
      <c r="D91" s="33"/>
      <c r="E91" s="34"/>
      <c r="F91" s="34"/>
      <c r="G91" s="34"/>
      <c r="H91" s="30"/>
      <c r="I91" s="34"/>
      <c r="J91" s="34"/>
      <c r="K91" s="34"/>
      <c r="L91" s="34"/>
      <c r="M91" s="34"/>
      <c r="N91" s="34"/>
      <c r="O91" s="34"/>
      <c r="P91" s="34"/>
    </row>
    <row r="92" spans="1:16" ht="12.75">
      <c r="A92" s="34"/>
      <c r="B92" s="33"/>
      <c r="C92" s="34"/>
      <c r="D92" s="33"/>
      <c r="E92" s="34"/>
      <c r="F92" s="34"/>
      <c r="G92" s="34"/>
      <c r="H92" s="30"/>
      <c r="I92" s="34"/>
      <c r="J92" s="34"/>
      <c r="K92" s="34"/>
      <c r="L92" s="34"/>
      <c r="M92" s="34"/>
      <c r="N92" s="34"/>
      <c r="O92" s="34"/>
      <c r="P92" s="34"/>
    </row>
    <row r="93" spans="1:16" ht="12.75">
      <c r="A93" s="34"/>
      <c r="B93" s="33"/>
      <c r="C93" s="34"/>
      <c r="D93" s="33"/>
      <c r="E93" s="34"/>
      <c r="F93" s="34"/>
      <c r="G93" s="34"/>
      <c r="H93" s="30"/>
      <c r="I93" s="34"/>
      <c r="J93" s="34"/>
      <c r="K93" s="34"/>
      <c r="L93" s="34"/>
      <c r="M93" s="34"/>
      <c r="N93" s="34"/>
      <c r="O93" s="34"/>
      <c r="P93" s="34"/>
    </row>
    <row r="94" spans="1:16" ht="12.75">
      <c r="A94" s="34"/>
      <c r="B94" s="33"/>
      <c r="C94" s="34"/>
      <c r="D94" s="33"/>
      <c r="E94" s="34"/>
      <c r="F94" s="34"/>
      <c r="G94" s="34"/>
      <c r="H94" s="30"/>
      <c r="I94" s="34"/>
      <c r="J94" s="34"/>
      <c r="K94" s="34"/>
      <c r="L94" s="34"/>
      <c r="M94" s="34"/>
      <c r="N94" s="34"/>
      <c r="O94" s="34"/>
      <c r="P94" s="34"/>
    </row>
    <row r="95" spans="1:16" ht="12.75">
      <c r="A95" s="34"/>
      <c r="B95" s="33"/>
      <c r="C95" s="34"/>
      <c r="D95" s="33"/>
      <c r="E95" s="34"/>
      <c r="F95" s="34"/>
      <c r="G95" s="34"/>
      <c r="H95" s="30"/>
      <c r="I95" s="34"/>
      <c r="J95" s="34"/>
      <c r="K95" s="34"/>
      <c r="L95" s="34"/>
      <c r="M95" s="34"/>
      <c r="N95" s="34"/>
      <c r="O95" s="34"/>
      <c r="P95" s="34"/>
    </row>
    <row r="96" spans="1:16" ht="12.75">
      <c r="A96" s="34"/>
      <c r="B96" s="33"/>
      <c r="C96" s="34"/>
      <c r="D96" s="33"/>
      <c r="E96" s="34"/>
      <c r="F96" s="34"/>
      <c r="G96" s="34"/>
      <c r="H96" s="30"/>
      <c r="I96" s="34"/>
      <c r="J96" s="34"/>
      <c r="K96" s="34"/>
      <c r="L96" s="34"/>
      <c r="M96" s="34"/>
      <c r="N96" s="34"/>
      <c r="O96" s="34"/>
      <c r="P96" s="34"/>
    </row>
    <row r="97" spans="1:16" ht="12.75">
      <c r="A97" s="34"/>
      <c r="B97" s="33"/>
      <c r="C97" s="34"/>
      <c r="D97" s="33"/>
      <c r="E97" s="34"/>
      <c r="F97" s="34"/>
      <c r="G97" s="34"/>
      <c r="H97" s="30"/>
      <c r="I97" s="34"/>
      <c r="J97" s="34"/>
      <c r="K97" s="34"/>
      <c r="L97" s="34"/>
      <c r="M97" s="34"/>
      <c r="N97" s="34"/>
      <c r="O97" s="34"/>
      <c r="P97" s="34"/>
    </row>
    <row r="98" spans="1:16" ht="12.75">
      <c r="A98" s="34"/>
      <c r="B98" s="33"/>
      <c r="C98" s="34"/>
      <c r="D98" s="33"/>
      <c r="E98" s="34"/>
      <c r="F98" s="34"/>
      <c r="G98" s="34"/>
      <c r="H98" s="30"/>
      <c r="I98" s="34"/>
      <c r="J98" s="34"/>
      <c r="K98" s="34"/>
      <c r="L98" s="34"/>
      <c r="M98" s="34"/>
      <c r="N98" s="34"/>
      <c r="O98" s="34"/>
      <c r="P98" s="34"/>
    </row>
    <row r="99" spans="1:16" ht="12.75">
      <c r="A99" s="34"/>
      <c r="B99" s="33"/>
      <c r="C99" s="34"/>
      <c r="D99" s="33"/>
      <c r="E99" s="34"/>
      <c r="F99" s="34"/>
      <c r="G99" s="34"/>
      <c r="H99" s="30"/>
      <c r="I99" s="34"/>
      <c r="J99" s="34"/>
      <c r="K99" s="34"/>
      <c r="L99" s="34"/>
      <c r="M99" s="34"/>
      <c r="N99" s="34"/>
      <c r="O99" s="34"/>
      <c r="P99" s="34"/>
    </row>
    <row r="100" spans="1:16" ht="12.75">
      <c r="A100" s="34"/>
      <c r="B100" s="33"/>
      <c r="C100" s="34"/>
      <c r="D100" s="33"/>
      <c r="E100" s="34"/>
      <c r="F100" s="34"/>
      <c r="G100" s="34"/>
      <c r="H100" s="30"/>
      <c r="I100" s="34"/>
      <c r="J100" s="34"/>
      <c r="K100" s="34"/>
      <c r="L100" s="34"/>
      <c r="M100" s="34"/>
      <c r="N100" s="34"/>
      <c r="O100" s="34"/>
      <c r="P100" s="34"/>
    </row>
    <row r="101" spans="1:16" ht="12.75">
      <c r="A101" s="34"/>
      <c r="B101" s="33"/>
      <c r="C101" s="34"/>
      <c r="D101" s="33"/>
      <c r="E101" s="34"/>
      <c r="F101" s="34"/>
      <c r="G101" s="34"/>
      <c r="H101" s="30"/>
      <c r="I101" s="34"/>
      <c r="J101" s="34"/>
      <c r="K101" s="34"/>
      <c r="L101" s="34"/>
      <c r="M101" s="34"/>
      <c r="N101" s="34"/>
      <c r="O101" s="34"/>
      <c r="P101" s="34"/>
    </row>
    <row r="102" spans="1:16" ht="12.75">
      <c r="A102" s="34"/>
      <c r="B102" s="33"/>
      <c r="C102" s="34"/>
      <c r="D102" s="33"/>
      <c r="E102" s="34"/>
      <c r="F102" s="34"/>
      <c r="G102" s="34"/>
      <c r="H102" s="30"/>
      <c r="I102" s="34"/>
      <c r="J102" s="34"/>
      <c r="K102" s="34"/>
      <c r="L102" s="34"/>
      <c r="M102" s="34"/>
      <c r="N102" s="34"/>
      <c r="O102" s="34"/>
      <c r="P102" s="34"/>
    </row>
    <row r="103" spans="1:16" ht="12.75">
      <c r="A103" s="34"/>
      <c r="B103" s="33"/>
      <c r="C103" s="34"/>
      <c r="D103" s="33"/>
      <c r="E103" s="34"/>
      <c r="F103" s="34"/>
      <c r="G103" s="34"/>
      <c r="H103" s="30"/>
      <c r="I103" s="34"/>
      <c r="J103" s="34"/>
      <c r="K103" s="34"/>
      <c r="L103" s="34"/>
      <c r="M103" s="34"/>
      <c r="N103" s="34"/>
      <c r="O103" s="34"/>
      <c r="P103" s="34"/>
    </row>
    <row r="104" spans="1:16" ht="12.75">
      <c r="A104" s="34"/>
      <c r="B104" s="33"/>
      <c r="C104" s="34"/>
      <c r="D104" s="33"/>
      <c r="E104" s="34"/>
      <c r="F104" s="34"/>
      <c r="G104" s="34"/>
      <c r="H104" s="30"/>
      <c r="I104" s="34"/>
      <c r="J104" s="34"/>
      <c r="K104" s="34"/>
      <c r="L104" s="34"/>
      <c r="M104" s="34"/>
      <c r="N104" s="34"/>
      <c r="O104" s="34"/>
      <c r="P104" s="34"/>
    </row>
    <row r="105" spans="1:16" ht="12.75">
      <c r="A105" s="34"/>
      <c r="B105" s="33"/>
      <c r="C105" s="34"/>
      <c r="D105" s="33"/>
      <c r="E105" s="34"/>
      <c r="F105" s="34"/>
      <c r="G105" s="34"/>
      <c r="H105" s="30"/>
      <c r="I105" s="34"/>
      <c r="J105" s="34"/>
      <c r="K105" s="34"/>
      <c r="L105" s="34"/>
      <c r="M105" s="34"/>
      <c r="N105" s="34"/>
      <c r="O105" s="34"/>
      <c r="P105" s="34"/>
    </row>
    <row r="106" spans="1:16" ht="12.75">
      <c r="A106" s="34"/>
      <c r="B106" s="33"/>
      <c r="C106" s="34"/>
      <c r="D106" s="33"/>
      <c r="E106" s="34"/>
      <c r="F106" s="34"/>
      <c r="G106" s="34"/>
      <c r="H106" s="30"/>
      <c r="I106" s="34"/>
      <c r="J106" s="34"/>
      <c r="K106" s="34"/>
      <c r="L106" s="34"/>
      <c r="M106" s="34"/>
      <c r="N106" s="34"/>
      <c r="O106" s="34"/>
      <c r="P106" s="34"/>
    </row>
    <row r="107" spans="1:16" ht="12.75">
      <c r="A107" s="34"/>
      <c r="B107" s="33"/>
      <c r="C107" s="34"/>
      <c r="D107" s="33"/>
      <c r="E107" s="34"/>
      <c r="F107" s="34"/>
      <c r="G107" s="34"/>
      <c r="H107" s="30"/>
      <c r="I107" s="34"/>
      <c r="J107" s="34"/>
      <c r="K107" s="34"/>
      <c r="L107" s="34"/>
      <c r="M107" s="34"/>
      <c r="N107" s="34"/>
      <c r="O107" s="34"/>
      <c r="P107" s="34"/>
    </row>
    <row r="108" spans="1:16" ht="12.75">
      <c r="A108" s="34"/>
      <c r="B108" s="33"/>
      <c r="C108" s="34"/>
      <c r="D108" s="33"/>
      <c r="E108" s="34"/>
      <c r="F108" s="34"/>
      <c r="G108" s="34"/>
      <c r="H108" s="30"/>
      <c r="I108" s="34"/>
      <c r="J108" s="34"/>
      <c r="K108" s="34"/>
      <c r="L108" s="34"/>
      <c r="M108" s="34"/>
      <c r="N108" s="34"/>
      <c r="O108" s="34"/>
      <c r="P108" s="34"/>
    </row>
    <row r="109" spans="1:16" ht="12.75">
      <c r="A109" s="34"/>
      <c r="B109" s="33"/>
      <c r="C109" s="34"/>
      <c r="D109" s="33"/>
      <c r="E109" s="34"/>
      <c r="F109" s="34"/>
      <c r="G109" s="34"/>
      <c r="H109" s="30"/>
      <c r="I109" s="34"/>
      <c r="J109" s="34"/>
      <c r="K109" s="34"/>
      <c r="L109" s="34"/>
      <c r="M109" s="34"/>
      <c r="N109" s="34"/>
      <c r="O109" s="34"/>
      <c r="P109" s="34"/>
    </row>
    <row r="110" spans="1:16" ht="12.75">
      <c r="A110" s="34"/>
      <c r="B110" s="33"/>
      <c r="C110" s="34"/>
      <c r="D110" s="33"/>
      <c r="E110" s="34"/>
      <c r="F110" s="34"/>
      <c r="G110" s="34"/>
      <c r="H110" s="30"/>
      <c r="I110" s="34"/>
      <c r="J110" s="34"/>
      <c r="K110" s="34"/>
      <c r="L110" s="34"/>
      <c r="M110" s="34"/>
      <c r="N110" s="34"/>
      <c r="O110" s="34"/>
      <c r="P110" s="34"/>
    </row>
    <row r="111" spans="1:16" ht="12.75">
      <c r="A111" s="34"/>
      <c r="B111" s="33"/>
      <c r="C111" s="34"/>
      <c r="D111" s="33"/>
      <c r="E111" s="34"/>
      <c r="F111" s="34"/>
      <c r="G111" s="34"/>
      <c r="H111" s="30"/>
      <c r="I111" s="34"/>
      <c r="J111" s="34"/>
      <c r="K111" s="34"/>
      <c r="L111" s="34"/>
      <c r="M111" s="34"/>
      <c r="N111" s="34"/>
      <c r="O111" s="34"/>
      <c r="P111" s="34"/>
    </row>
    <row r="112" spans="1:16" ht="12.75">
      <c r="A112" s="34"/>
      <c r="B112" s="33"/>
      <c r="C112" s="34"/>
      <c r="D112" s="33"/>
      <c r="E112" s="34"/>
      <c r="F112" s="34"/>
      <c r="G112" s="34"/>
      <c r="H112" s="30"/>
      <c r="I112" s="34"/>
      <c r="J112" s="34"/>
      <c r="K112" s="34"/>
      <c r="L112" s="34"/>
      <c r="M112" s="34"/>
      <c r="N112" s="34"/>
      <c r="O112" s="34"/>
      <c r="P112" s="34"/>
    </row>
    <row r="113" spans="1:16" ht="12.75">
      <c r="A113" s="34"/>
      <c r="B113" s="33"/>
      <c r="C113" s="34"/>
      <c r="D113" s="33"/>
      <c r="E113" s="34"/>
      <c r="F113" s="34"/>
      <c r="G113" s="34"/>
      <c r="H113" s="30"/>
      <c r="I113" s="34"/>
      <c r="J113" s="34"/>
      <c r="K113" s="34"/>
      <c r="L113" s="34"/>
      <c r="M113" s="34"/>
      <c r="N113" s="34"/>
      <c r="O113" s="34"/>
      <c r="P113" s="34"/>
    </row>
    <row r="114" spans="1:16" ht="12.75">
      <c r="A114" s="34"/>
      <c r="B114" s="33"/>
      <c r="C114" s="34"/>
      <c r="D114" s="33"/>
      <c r="E114" s="34"/>
      <c r="F114" s="34"/>
      <c r="G114" s="34"/>
      <c r="H114" s="30"/>
      <c r="I114" s="34"/>
      <c r="J114" s="34"/>
      <c r="K114" s="34"/>
      <c r="L114" s="34"/>
      <c r="M114" s="34"/>
      <c r="N114" s="34"/>
      <c r="O114" s="34"/>
      <c r="P114" s="34"/>
    </row>
    <row r="115" spans="1:16" ht="12.75">
      <c r="A115" s="34"/>
      <c r="B115" s="33"/>
      <c r="C115" s="34"/>
      <c r="D115" s="33"/>
      <c r="E115" s="34"/>
      <c r="F115" s="34"/>
      <c r="G115" s="34"/>
      <c r="H115" s="30"/>
      <c r="I115" s="34"/>
      <c r="J115" s="34"/>
      <c r="K115" s="34"/>
      <c r="L115" s="34"/>
      <c r="M115" s="34"/>
      <c r="N115" s="34"/>
      <c r="O115" s="34"/>
      <c r="P115" s="34"/>
    </row>
    <row r="116" spans="1:16" ht="12.75">
      <c r="A116" s="34"/>
      <c r="B116" s="33"/>
      <c r="C116" s="34"/>
      <c r="D116" s="33"/>
      <c r="E116" s="34"/>
      <c r="F116" s="34"/>
      <c r="G116" s="34"/>
      <c r="H116" s="30"/>
      <c r="I116" s="34"/>
      <c r="J116" s="34"/>
      <c r="K116" s="34"/>
      <c r="L116" s="34"/>
      <c r="M116" s="34"/>
      <c r="N116" s="34"/>
      <c r="O116" s="34"/>
      <c r="P116" s="34"/>
    </row>
    <row r="117" spans="1:16" ht="12.75">
      <c r="A117" s="34"/>
      <c r="B117" s="33"/>
      <c r="C117" s="34"/>
      <c r="D117" s="33"/>
      <c r="E117" s="34"/>
      <c r="F117" s="34"/>
      <c r="G117" s="34"/>
      <c r="H117" s="30"/>
      <c r="I117" s="34"/>
      <c r="J117" s="34"/>
      <c r="K117" s="34"/>
      <c r="L117" s="34"/>
      <c r="M117" s="34"/>
      <c r="N117" s="34"/>
      <c r="O117" s="34"/>
      <c r="P117" s="34"/>
    </row>
    <row r="118" spans="1:16" ht="12.75">
      <c r="A118" s="34"/>
      <c r="B118" s="33"/>
      <c r="C118" s="34"/>
      <c r="D118" s="33"/>
      <c r="E118" s="34"/>
      <c r="F118" s="34"/>
      <c r="G118" s="34"/>
      <c r="H118" s="30"/>
      <c r="I118" s="34"/>
      <c r="J118" s="34"/>
      <c r="K118" s="34"/>
      <c r="L118" s="34"/>
      <c r="M118" s="34"/>
      <c r="N118" s="34"/>
      <c r="O118" s="34"/>
      <c r="P118" s="34"/>
    </row>
    <row r="119" spans="1:16" ht="12.75">
      <c r="A119" s="34"/>
      <c r="B119" s="33"/>
      <c r="C119" s="34"/>
      <c r="D119" s="33"/>
      <c r="E119" s="34"/>
      <c r="F119" s="34"/>
      <c r="G119" s="34"/>
      <c r="H119" s="30"/>
      <c r="I119" s="34"/>
      <c r="J119" s="34"/>
      <c r="K119" s="34"/>
      <c r="L119" s="34"/>
      <c r="M119" s="34"/>
      <c r="N119" s="34"/>
      <c r="O119" s="34"/>
      <c r="P119" s="34"/>
    </row>
    <row r="120" spans="1:16" ht="12.75">
      <c r="A120" s="34"/>
      <c r="B120" s="33"/>
      <c r="C120" s="34"/>
      <c r="D120" s="33"/>
      <c r="E120" s="34"/>
      <c r="F120" s="34"/>
      <c r="G120" s="34"/>
      <c r="H120" s="30"/>
      <c r="I120" s="34"/>
      <c r="J120" s="34"/>
      <c r="K120" s="34"/>
      <c r="L120" s="34"/>
      <c r="M120" s="34"/>
      <c r="N120" s="34"/>
      <c r="O120" s="34"/>
      <c r="P120" s="34"/>
    </row>
    <row r="121" spans="1:16" ht="12.75">
      <c r="A121" s="34"/>
      <c r="B121" s="33"/>
      <c r="C121" s="34"/>
      <c r="D121" s="33"/>
      <c r="E121" s="34"/>
      <c r="F121" s="34"/>
      <c r="G121" s="34"/>
      <c r="H121" s="30"/>
      <c r="I121" s="34"/>
      <c r="J121" s="34"/>
      <c r="K121" s="34"/>
      <c r="L121" s="34"/>
      <c r="M121" s="34"/>
      <c r="N121" s="34"/>
      <c r="O121" s="34"/>
      <c r="P121" s="34"/>
    </row>
    <row r="122" spans="1:16" ht="12.75">
      <c r="A122" s="34"/>
      <c r="B122" s="33"/>
      <c r="C122" s="34"/>
      <c r="D122" s="33"/>
      <c r="E122" s="34"/>
      <c r="F122" s="34"/>
      <c r="G122" s="34"/>
      <c r="H122" s="30"/>
      <c r="I122" s="34"/>
      <c r="J122" s="34"/>
      <c r="K122" s="34"/>
      <c r="L122" s="34"/>
      <c r="M122" s="34"/>
      <c r="N122" s="34"/>
      <c r="O122" s="34"/>
      <c r="P122" s="34"/>
    </row>
    <row r="123" spans="1:16" ht="12.75">
      <c r="A123" s="34"/>
      <c r="B123" s="33"/>
      <c r="C123" s="34"/>
      <c r="D123" s="33"/>
      <c r="E123" s="34"/>
      <c r="F123" s="34"/>
      <c r="G123" s="34"/>
      <c r="H123" s="30"/>
      <c r="I123" s="34"/>
      <c r="J123" s="34"/>
      <c r="K123" s="34"/>
      <c r="L123" s="34"/>
      <c r="M123" s="34"/>
      <c r="N123" s="34"/>
      <c r="O123" s="34"/>
      <c r="P123" s="34"/>
    </row>
    <row r="124" spans="1:16" ht="12.75">
      <c r="A124" s="34"/>
      <c r="B124" s="33"/>
      <c r="C124" s="34"/>
      <c r="D124" s="33"/>
      <c r="E124" s="34"/>
      <c r="F124" s="34"/>
      <c r="G124" s="34"/>
      <c r="H124" s="30"/>
      <c r="I124" s="34"/>
      <c r="J124" s="34"/>
      <c r="K124" s="34"/>
      <c r="L124" s="34"/>
      <c r="M124" s="34"/>
      <c r="N124" s="34"/>
      <c r="O124" s="34"/>
      <c r="P124" s="34"/>
    </row>
    <row r="125" spans="1:16" ht="12.75">
      <c r="A125" s="34"/>
      <c r="B125" s="33"/>
      <c r="C125" s="34"/>
      <c r="D125" s="33"/>
      <c r="E125" s="34"/>
      <c r="F125" s="34"/>
      <c r="G125" s="34"/>
      <c r="H125" s="30"/>
      <c r="I125" s="34"/>
      <c r="J125" s="34"/>
      <c r="K125" s="34"/>
      <c r="L125" s="34"/>
      <c r="M125" s="34"/>
      <c r="N125" s="34"/>
      <c r="O125" s="34"/>
      <c r="P125" s="34"/>
    </row>
    <row r="126" spans="1:16" ht="12.75">
      <c r="A126" s="34"/>
      <c r="B126" s="33"/>
      <c r="C126" s="34"/>
      <c r="D126" s="33"/>
      <c r="E126" s="34"/>
      <c r="F126" s="34"/>
      <c r="G126" s="34"/>
      <c r="H126" s="30"/>
      <c r="I126" s="34"/>
      <c r="J126" s="34"/>
      <c r="K126" s="34"/>
      <c r="L126" s="34"/>
      <c r="M126" s="34"/>
      <c r="N126" s="34"/>
      <c r="O126" s="34"/>
      <c r="P126" s="34"/>
    </row>
    <row r="127" spans="1:16" ht="12.75">
      <c r="A127" s="34"/>
      <c r="B127" s="33"/>
      <c r="C127" s="34"/>
      <c r="D127" s="33"/>
      <c r="E127" s="34"/>
      <c r="F127" s="34"/>
      <c r="G127" s="34"/>
      <c r="H127" s="30"/>
      <c r="I127" s="34"/>
      <c r="J127" s="34"/>
      <c r="K127" s="34"/>
      <c r="L127" s="34"/>
      <c r="M127" s="34"/>
      <c r="N127" s="34"/>
      <c r="O127" s="34"/>
      <c r="P127" s="34"/>
    </row>
    <row r="128" spans="1:16" ht="12.75">
      <c r="A128" s="34"/>
      <c r="B128" s="33"/>
      <c r="C128" s="34"/>
      <c r="D128" s="33"/>
      <c r="E128" s="34"/>
      <c r="F128" s="34"/>
      <c r="G128" s="34"/>
      <c r="H128" s="30"/>
      <c r="I128" s="34"/>
      <c r="J128" s="34"/>
      <c r="K128" s="34"/>
      <c r="L128" s="34"/>
      <c r="M128" s="34"/>
      <c r="N128" s="34"/>
      <c r="O128" s="34"/>
      <c r="P128" s="34"/>
    </row>
    <row r="129" spans="1:16" ht="12.75">
      <c r="A129" s="34"/>
      <c r="B129" s="33"/>
      <c r="C129" s="34"/>
      <c r="D129" s="33"/>
      <c r="E129" s="34"/>
      <c r="F129" s="34"/>
      <c r="G129" s="34"/>
      <c r="H129" s="30"/>
      <c r="I129" s="34"/>
      <c r="J129" s="34"/>
      <c r="K129" s="34"/>
      <c r="L129" s="34"/>
      <c r="M129" s="34"/>
      <c r="N129" s="34"/>
      <c r="O129" s="34"/>
      <c r="P129" s="34"/>
    </row>
    <row r="130" spans="1:16" ht="12.75">
      <c r="A130" s="34"/>
      <c r="B130" s="33"/>
      <c r="C130" s="34"/>
      <c r="D130" s="33"/>
      <c r="E130" s="34"/>
      <c r="F130" s="34"/>
      <c r="G130" s="34"/>
      <c r="H130" s="30"/>
      <c r="I130" s="34"/>
      <c r="J130" s="34"/>
      <c r="K130" s="34"/>
      <c r="L130" s="34"/>
      <c r="M130" s="34"/>
      <c r="N130" s="34"/>
      <c r="O130" s="34"/>
      <c r="P130" s="34"/>
    </row>
    <row r="131" spans="1:16" ht="12.75">
      <c r="A131" s="34"/>
      <c r="B131" s="33"/>
      <c r="C131" s="34"/>
      <c r="D131" s="33"/>
      <c r="E131" s="34"/>
      <c r="F131" s="34"/>
      <c r="G131" s="34"/>
      <c r="H131" s="30"/>
      <c r="I131" s="34"/>
      <c r="J131" s="34"/>
      <c r="K131" s="34"/>
      <c r="L131" s="34"/>
      <c r="M131" s="34"/>
      <c r="N131" s="34"/>
      <c r="O131" s="34"/>
      <c r="P131" s="34"/>
    </row>
    <row r="132" spans="1:16" ht="12.75">
      <c r="A132" s="34"/>
      <c r="B132" s="33"/>
      <c r="C132" s="34"/>
      <c r="D132" s="33"/>
      <c r="E132" s="34"/>
      <c r="F132" s="34"/>
      <c r="G132" s="34"/>
      <c r="H132" s="30"/>
      <c r="I132" s="34"/>
      <c r="J132" s="34"/>
      <c r="K132" s="34"/>
      <c r="L132" s="34"/>
      <c r="M132" s="34"/>
      <c r="N132" s="34"/>
      <c r="O132" s="34"/>
      <c r="P132" s="34"/>
    </row>
    <row r="133" spans="1:16" ht="12.75">
      <c r="A133" s="34"/>
      <c r="B133" s="33"/>
      <c r="C133" s="34"/>
      <c r="D133" s="33"/>
      <c r="E133" s="34"/>
      <c r="F133" s="34"/>
      <c r="G133" s="34"/>
      <c r="H133" s="30"/>
      <c r="I133" s="34"/>
      <c r="J133" s="34"/>
      <c r="K133" s="34"/>
      <c r="L133" s="34"/>
      <c r="M133" s="34"/>
      <c r="N133" s="34"/>
      <c r="O133" s="34"/>
      <c r="P133" s="34"/>
    </row>
    <row r="134" spans="1:16" ht="12.75">
      <c r="A134" s="34"/>
      <c r="B134" s="33"/>
      <c r="C134" s="34"/>
      <c r="D134" s="33"/>
      <c r="E134" s="34"/>
      <c r="F134" s="34"/>
      <c r="G134" s="34"/>
      <c r="H134" s="30"/>
      <c r="I134" s="34"/>
      <c r="J134" s="34"/>
      <c r="K134" s="34"/>
      <c r="L134" s="34"/>
      <c r="M134" s="34"/>
      <c r="N134" s="34"/>
      <c r="O134" s="34"/>
      <c r="P134" s="34"/>
    </row>
    <row r="135" spans="1:16" ht="12.75">
      <c r="A135" s="34"/>
      <c r="B135" s="33"/>
      <c r="C135" s="34"/>
      <c r="D135" s="33"/>
      <c r="E135" s="34"/>
      <c r="F135" s="34"/>
      <c r="G135" s="34"/>
      <c r="H135" s="30"/>
      <c r="I135" s="34"/>
      <c r="J135" s="34"/>
      <c r="K135" s="34"/>
      <c r="L135" s="34"/>
      <c r="M135" s="34"/>
      <c r="N135" s="34"/>
      <c r="O135" s="34"/>
      <c r="P135" s="34"/>
    </row>
    <row r="136" spans="1:16" ht="12.75">
      <c r="A136" s="34"/>
      <c r="B136" s="33"/>
      <c r="C136" s="34"/>
      <c r="D136" s="33"/>
      <c r="E136" s="34"/>
      <c r="F136" s="34"/>
      <c r="G136" s="34"/>
      <c r="H136" s="30"/>
      <c r="I136" s="34"/>
      <c r="J136" s="34"/>
      <c r="K136" s="34"/>
      <c r="L136" s="34"/>
      <c r="M136" s="34"/>
      <c r="N136" s="34"/>
      <c r="O136" s="34"/>
      <c r="P136" s="34"/>
    </row>
    <row r="137" spans="1:16" ht="12.75">
      <c r="A137" s="34"/>
      <c r="B137" s="33"/>
      <c r="C137" s="34"/>
      <c r="D137" s="33"/>
      <c r="E137" s="34"/>
      <c r="F137" s="34"/>
      <c r="G137" s="34"/>
      <c r="H137" s="30"/>
      <c r="I137" s="34"/>
      <c r="J137" s="34"/>
      <c r="K137" s="34"/>
      <c r="L137" s="34"/>
      <c r="M137" s="34"/>
      <c r="N137" s="34"/>
      <c r="O137" s="34"/>
      <c r="P137" s="34"/>
    </row>
    <row r="138" spans="1:16" ht="12.75">
      <c r="A138" s="34"/>
      <c r="B138" s="33"/>
      <c r="C138" s="34"/>
      <c r="D138" s="33"/>
      <c r="E138" s="34"/>
      <c r="F138" s="34"/>
      <c r="G138" s="34"/>
      <c r="H138" s="30"/>
      <c r="I138" s="34"/>
      <c r="J138" s="34"/>
      <c r="K138" s="34"/>
      <c r="L138" s="34"/>
      <c r="M138" s="34"/>
      <c r="N138" s="34"/>
      <c r="O138" s="34"/>
      <c r="P138" s="34"/>
    </row>
    <row r="139" spans="1:16" ht="12.75">
      <c r="A139" s="34"/>
      <c r="B139" s="33"/>
      <c r="C139" s="34"/>
      <c r="D139" s="33"/>
      <c r="E139" s="34"/>
      <c r="F139" s="34"/>
      <c r="G139" s="34"/>
      <c r="H139" s="30"/>
      <c r="I139" s="34"/>
      <c r="J139" s="34"/>
      <c r="K139" s="34"/>
      <c r="L139" s="34"/>
      <c r="M139" s="34"/>
      <c r="N139" s="34"/>
      <c r="O139" s="34"/>
      <c r="P139" s="34"/>
    </row>
    <row r="140" spans="1:16" ht="12.75">
      <c r="A140" s="34"/>
      <c r="B140" s="33"/>
      <c r="C140" s="34"/>
      <c r="D140" s="33"/>
      <c r="E140" s="34"/>
      <c r="F140" s="34"/>
      <c r="G140" s="34"/>
      <c r="H140" s="30"/>
      <c r="I140" s="34"/>
      <c r="J140" s="34"/>
      <c r="K140" s="34"/>
      <c r="L140" s="34"/>
      <c r="M140" s="34"/>
      <c r="N140" s="34"/>
      <c r="O140" s="34"/>
      <c r="P140" s="34"/>
    </row>
    <row r="141" spans="1:16" ht="12.75">
      <c r="A141" s="34"/>
      <c r="B141" s="33"/>
      <c r="C141" s="34"/>
      <c r="D141" s="33"/>
      <c r="E141" s="34"/>
      <c r="F141" s="34"/>
      <c r="G141" s="34"/>
      <c r="H141" s="30"/>
      <c r="I141" s="34"/>
      <c r="J141" s="34"/>
      <c r="K141" s="34"/>
      <c r="L141" s="34"/>
      <c r="M141" s="34"/>
      <c r="N141" s="34"/>
      <c r="O141" s="34"/>
      <c r="P141" s="34"/>
    </row>
    <row r="142" spans="1:16" ht="12.75">
      <c r="A142" s="34"/>
      <c r="B142" s="33"/>
      <c r="C142" s="34"/>
      <c r="D142" s="33"/>
      <c r="E142" s="34"/>
      <c r="F142" s="34"/>
      <c r="G142" s="34"/>
      <c r="H142" s="30"/>
      <c r="I142" s="34"/>
      <c r="J142" s="34"/>
      <c r="K142" s="34"/>
      <c r="L142" s="34"/>
      <c r="M142" s="34"/>
      <c r="N142" s="34"/>
      <c r="O142" s="34"/>
      <c r="P142" s="34"/>
    </row>
    <row r="143" spans="1:16" ht="12.75">
      <c r="A143" s="34"/>
      <c r="B143" s="33"/>
      <c r="C143" s="34"/>
      <c r="D143" s="33"/>
      <c r="E143" s="34"/>
      <c r="F143" s="34"/>
      <c r="G143" s="34"/>
      <c r="H143" s="30"/>
      <c r="I143" s="34"/>
      <c r="J143" s="34"/>
      <c r="K143" s="34"/>
      <c r="L143" s="34"/>
      <c r="M143" s="34"/>
      <c r="N143" s="34"/>
      <c r="O143" s="34"/>
      <c r="P143" s="34"/>
    </row>
    <row r="144" spans="1:16" ht="12.75">
      <c r="A144" s="34"/>
      <c r="B144" s="33"/>
      <c r="C144" s="34"/>
      <c r="D144" s="33"/>
      <c r="E144" s="34"/>
      <c r="F144" s="34"/>
      <c r="G144" s="34"/>
      <c r="H144" s="30"/>
      <c r="I144" s="34"/>
      <c r="J144" s="34"/>
      <c r="K144" s="34"/>
      <c r="L144" s="34"/>
      <c r="M144" s="34"/>
      <c r="N144" s="34"/>
      <c r="O144" s="34"/>
      <c r="P144" s="34"/>
    </row>
    <row r="145" spans="1:16" ht="12.75">
      <c r="A145" s="34"/>
      <c r="B145" s="33"/>
      <c r="C145" s="34"/>
      <c r="D145" s="33"/>
      <c r="E145" s="34"/>
      <c r="F145" s="34"/>
      <c r="G145" s="34"/>
      <c r="H145" s="30"/>
      <c r="I145" s="34"/>
      <c r="J145" s="34"/>
      <c r="K145" s="34"/>
      <c r="L145" s="34"/>
      <c r="M145" s="34"/>
      <c r="N145" s="34"/>
      <c r="O145" s="34"/>
      <c r="P145" s="34"/>
    </row>
    <row r="146" spans="1:16" ht="12.75">
      <c r="A146" s="34"/>
      <c r="B146" s="33"/>
      <c r="C146" s="34"/>
      <c r="D146" s="33"/>
      <c r="E146" s="34"/>
      <c r="F146" s="34"/>
      <c r="G146" s="34"/>
      <c r="H146" s="30"/>
      <c r="I146" s="34"/>
      <c r="J146" s="34"/>
      <c r="K146" s="34"/>
      <c r="L146" s="34"/>
      <c r="M146" s="34"/>
      <c r="N146" s="34"/>
      <c r="O146" s="34"/>
      <c r="P146" s="34"/>
    </row>
    <row r="147" spans="1:16" ht="12.75">
      <c r="A147" s="34"/>
      <c r="B147" s="33"/>
      <c r="C147" s="34"/>
      <c r="D147" s="33"/>
      <c r="E147" s="34"/>
      <c r="F147" s="34"/>
      <c r="G147" s="34"/>
      <c r="H147" s="30"/>
      <c r="I147" s="34"/>
      <c r="J147" s="34"/>
      <c r="K147" s="34"/>
      <c r="L147" s="34"/>
      <c r="M147" s="34"/>
      <c r="N147" s="34"/>
      <c r="O147" s="34"/>
      <c r="P147" s="34"/>
    </row>
    <row r="148" spans="1:16" ht="12.75">
      <c r="A148" s="34"/>
      <c r="B148" s="33"/>
      <c r="C148" s="34"/>
      <c r="D148" s="33"/>
      <c r="E148" s="34"/>
      <c r="F148" s="34"/>
      <c r="G148" s="34"/>
      <c r="H148" s="30"/>
      <c r="I148" s="34"/>
      <c r="J148" s="34"/>
      <c r="K148" s="34"/>
      <c r="L148" s="34"/>
      <c r="M148" s="34"/>
      <c r="N148" s="34"/>
      <c r="O148" s="34"/>
      <c r="P148" s="34"/>
    </row>
    <row r="149" spans="1:16" ht="12.75">
      <c r="A149" s="34"/>
      <c r="B149" s="33"/>
      <c r="C149" s="34"/>
      <c r="D149" s="33"/>
      <c r="E149" s="34"/>
      <c r="F149" s="34"/>
      <c r="G149" s="34"/>
      <c r="H149" s="30"/>
      <c r="I149" s="34"/>
      <c r="J149" s="34"/>
      <c r="K149" s="34"/>
      <c r="L149" s="34"/>
      <c r="M149" s="34"/>
      <c r="N149" s="34"/>
      <c r="O149" s="34"/>
      <c r="P149" s="34"/>
    </row>
    <row r="150" spans="1:16" ht="12.75">
      <c r="A150" s="34"/>
      <c r="B150" s="33"/>
      <c r="C150" s="34"/>
      <c r="D150" s="33"/>
      <c r="E150" s="34"/>
      <c r="F150" s="34"/>
      <c r="G150" s="34"/>
      <c r="H150" s="30"/>
      <c r="I150" s="34"/>
      <c r="J150" s="34"/>
      <c r="K150" s="34"/>
      <c r="L150" s="34"/>
      <c r="M150" s="34"/>
      <c r="N150" s="34"/>
      <c r="O150" s="34"/>
      <c r="P150" s="34"/>
    </row>
    <row r="151" spans="1:16" ht="12.75">
      <c r="A151" s="34"/>
      <c r="B151" s="33"/>
      <c r="C151" s="34"/>
      <c r="D151" s="33"/>
      <c r="E151" s="34"/>
      <c r="F151" s="34"/>
      <c r="G151" s="34"/>
      <c r="H151" s="30"/>
      <c r="I151" s="34"/>
      <c r="J151" s="34"/>
      <c r="K151" s="34"/>
      <c r="L151" s="34"/>
      <c r="M151" s="34"/>
      <c r="N151" s="34"/>
      <c r="O151" s="34"/>
      <c r="P151" s="34"/>
    </row>
    <row r="152" spans="1:16" ht="12.75">
      <c r="A152" s="34"/>
      <c r="B152" s="33"/>
      <c r="C152" s="34"/>
      <c r="D152" s="33"/>
      <c r="E152" s="34"/>
      <c r="F152" s="34"/>
      <c r="G152" s="34"/>
      <c r="H152" s="30"/>
      <c r="I152" s="34"/>
      <c r="J152" s="34"/>
      <c r="K152" s="34"/>
      <c r="L152" s="34"/>
      <c r="M152" s="34"/>
      <c r="N152" s="34"/>
      <c r="O152" s="34"/>
      <c r="P152" s="34"/>
    </row>
    <row r="153" spans="1:16" ht="12.75">
      <c r="A153" s="34"/>
      <c r="B153" s="33"/>
      <c r="C153" s="34"/>
      <c r="D153" s="33"/>
      <c r="E153" s="34"/>
      <c r="F153" s="34"/>
      <c r="G153" s="34"/>
      <c r="H153" s="30"/>
      <c r="I153" s="34"/>
      <c r="J153" s="34"/>
      <c r="K153" s="34"/>
      <c r="L153" s="34"/>
      <c r="M153" s="34"/>
      <c r="N153" s="34"/>
      <c r="O153" s="34"/>
      <c r="P153" s="34"/>
    </row>
    <row r="154" spans="1:16" ht="12.75">
      <c r="A154" s="34"/>
      <c r="B154" s="33"/>
      <c r="C154" s="34"/>
      <c r="D154" s="33"/>
      <c r="E154" s="34"/>
      <c r="F154" s="34"/>
      <c r="G154" s="34"/>
      <c r="H154" s="30"/>
      <c r="I154" s="34"/>
      <c r="J154" s="34"/>
      <c r="K154" s="34"/>
      <c r="L154" s="34"/>
      <c r="M154" s="34"/>
      <c r="N154" s="34"/>
      <c r="O154" s="34"/>
      <c r="P154" s="34"/>
    </row>
    <row r="155" spans="1:16" ht="12.75">
      <c r="A155" s="34"/>
      <c r="B155" s="33"/>
      <c r="C155" s="34"/>
      <c r="D155" s="33"/>
      <c r="E155" s="34"/>
      <c r="F155" s="34"/>
      <c r="G155" s="34"/>
      <c r="H155" s="30"/>
      <c r="I155" s="34"/>
      <c r="J155" s="34"/>
      <c r="K155" s="34"/>
      <c r="L155" s="34"/>
      <c r="M155" s="34"/>
      <c r="N155" s="34"/>
      <c r="O155" s="34"/>
      <c r="P155" s="34"/>
    </row>
    <row r="156" spans="1:16" ht="12.75">
      <c r="A156" s="34"/>
      <c r="B156" s="33"/>
      <c r="C156" s="34"/>
      <c r="D156" s="33"/>
      <c r="E156" s="34"/>
      <c r="F156" s="34"/>
      <c r="G156" s="34"/>
      <c r="H156" s="30"/>
      <c r="I156" s="34"/>
      <c r="J156" s="34"/>
      <c r="K156" s="34"/>
      <c r="L156" s="34"/>
      <c r="M156" s="34"/>
      <c r="N156" s="34"/>
      <c r="O156" s="34"/>
      <c r="P156" s="34"/>
    </row>
    <row r="157" spans="1:16" ht="12.75">
      <c r="A157" s="34"/>
      <c r="B157" s="33"/>
      <c r="C157" s="34"/>
      <c r="D157" s="33"/>
      <c r="E157" s="34"/>
      <c r="F157" s="34"/>
      <c r="G157" s="34"/>
      <c r="H157" s="30"/>
      <c r="I157" s="34"/>
      <c r="J157" s="34"/>
      <c r="K157" s="34"/>
      <c r="L157" s="34"/>
      <c r="M157" s="34"/>
      <c r="N157" s="34"/>
      <c r="O157" s="34"/>
      <c r="P157" s="34"/>
    </row>
    <row r="158" spans="1:16" ht="12.75">
      <c r="A158" s="34"/>
      <c r="B158" s="33"/>
      <c r="C158" s="34"/>
      <c r="D158" s="33"/>
      <c r="E158" s="34"/>
      <c r="F158" s="34"/>
      <c r="G158" s="34"/>
      <c r="H158" s="30"/>
      <c r="I158" s="34"/>
      <c r="J158" s="34"/>
      <c r="K158" s="34"/>
      <c r="L158" s="34"/>
      <c r="M158" s="34"/>
      <c r="N158" s="34"/>
      <c r="O158" s="34"/>
      <c r="P158" s="34"/>
    </row>
    <row r="159" spans="1:16" ht="12.75">
      <c r="A159" s="34"/>
      <c r="B159" s="33"/>
      <c r="C159" s="34"/>
      <c r="D159" s="33"/>
      <c r="E159" s="34"/>
      <c r="F159" s="34"/>
      <c r="G159" s="34"/>
      <c r="H159" s="30"/>
      <c r="I159" s="34"/>
      <c r="J159" s="34"/>
      <c r="K159" s="34"/>
      <c r="L159" s="34"/>
      <c r="M159" s="34"/>
      <c r="N159" s="34"/>
      <c r="O159" s="34"/>
      <c r="P159" s="34"/>
    </row>
    <row r="160" spans="1:16" ht="12.75">
      <c r="A160" s="34"/>
      <c r="B160" s="33"/>
      <c r="C160" s="34"/>
      <c r="D160" s="33"/>
      <c r="E160" s="34"/>
      <c r="F160" s="34"/>
      <c r="G160" s="34"/>
      <c r="H160" s="30"/>
      <c r="I160" s="34"/>
      <c r="J160" s="34"/>
      <c r="K160" s="34"/>
      <c r="L160" s="34"/>
      <c r="M160" s="34"/>
      <c r="N160" s="34"/>
      <c r="O160" s="34"/>
      <c r="P160" s="34"/>
    </row>
    <row r="161" spans="1:16" ht="12.75">
      <c r="A161" s="34"/>
      <c r="B161" s="33"/>
      <c r="C161" s="34"/>
      <c r="D161" s="33"/>
      <c r="E161" s="34"/>
      <c r="F161" s="34"/>
      <c r="G161" s="34"/>
      <c r="H161" s="30"/>
      <c r="I161" s="34"/>
      <c r="J161" s="34"/>
      <c r="K161" s="34"/>
      <c r="L161" s="34"/>
      <c r="M161" s="34"/>
      <c r="N161" s="34"/>
      <c r="O161" s="34"/>
      <c r="P161" s="34"/>
    </row>
    <row r="162" spans="1:16" ht="12.75">
      <c r="A162" s="34"/>
      <c r="B162" s="33"/>
      <c r="C162" s="34"/>
      <c r="D162" s="33"/>
      <c r="E162" s="34"/>
      <c r="F162" s="34"/>
      <c r="G162" s="34"/>
      <c r="H162" s="30"/>
      <c r="I162" s="34"/>
      <c r="J162" s="34"/>
      <c r="K162" s="34"/>
      <c r="L162" s="34"/>
      <c r="M162" s="34"/>
      <c r="N162" s="34"/>
      <c r="O162" s="34"/>
      <c r="P162" s="34"/>
    </row>
    <row r="163" spans="1:16" ht="12.75">
      <c r="A163" s="34"/>
      <c r="B163" s="33"/>
      <c r="C163" s="34"/>
      <c r="D163" s="33"/>
      <c r="E163" s="34"/>
      <c r="F163" s="34"/>
      <c r="G163" s="34"/>
      <c r="H163" s="30"/>
      <c r="I163" s="34"/>
      <c r="J163" s="34"/>
      <c r="K163" s="34"/>
      <c r="L163" s="34"/>
      <c r="M163" s="34"/>
      <c r="N163" s="34"/>
      <c r="O163" s="34"/>
      <c r="P163" s="34"/>
    </row>
    <row r="164" spans="1:16" ht="12.75">
      <c r="A164" s="34"/>
      <c r="B164" s="33"/>
      <c r="C164" s="34"/>
      <c r="D164" s="33"/>
      <c r="E164" s="34"/>
      <c r="F164" s="34"/>
      <c r="G164" s="34"/>
      <c r="H164" s="30"/>
      <c r="I164" s="34"/>
      <c r="J164" s="34"/>
      <c r="K164" s="34"/>
      <c r="L164" s="34"/>
      <c r="M164" s="34"/>
      <c r="N164" s="34"/>
      <c r="O164" s="34"/>
      <c r="P164" s="34"/>
    </row>
    <row r="165" spans="1:16" ht="12.75">
      <c r="A165" s="34"/>
      <c r="B165" s="33"/>
      <c r="C165" s="34"/>
      <c r="D165" s="33"/>
      <c r="E165" s="34"/>
      <c r="F165" s="34"/>
      <c r="G165" s="34"/>
      <c r="H165" s="30"/>
      <c r="I165" s="34"/>
      <c r="J165" s="34"/>
      <c r="K165" s="34"/>
      <c r="L165" s="34"/>
      <c r="M165" s="34"/>
      <c r="N165" s="34"/>
      <c r="O165" s="34"/>
      <c r="P165" s="34"/>
    </row>
    <row r="166" spans="1:16" ht="12.75">
      <c r="A166" s="34"/>
      <c r="B166" s="33"/>
      <c r="C166" s="34"/>
      <c r="D166" s="33"/>
      <c r="E166" s="34"/>
      <c r="F166" s="34"/>
      <c r="G166" s="34"/>
      <c r="H166" s="30"/>
      <c r="I166" s="34"/>
      <c r="J166" s="34"/>
      <c r="K166" s="34"/>
      <c r="L166" s="34"/>
      <c r="M166" s="34"/>
      <c r="N166" s="34"/>
      <c r="O166" s="34"/>
      <c r="P166" s="34"/>
    </row>
    <row r="167" spans="1:16" ht="12.75">
      <c r="A167" s="34"/>
      <c r="B167" s="33"/>
      <c r="C167" s="34"/>
      <c r="D167" s="33"/>
      <c r="E167" s="34"/>
      <c r="F167" s="34"/>
      <c r="G167" s="34"/>
      <c r="H167" s="30"/>
      <c r="I167" s="34"/>
      <c r="J167" s="34"/>
      <c r="K167" s="34"/>
      <c r="L167" s="34"/>
      <c r="M167" s="34"/>
      <c r="N167" s="34"/>
      <c r="O167" s="34"/>
      <c r="P167" s="34"/>
    </row>
    <row r="168" spans="1:16" ht="12.75">
      <c r="A168" s="34"/>
      <c r="B168" s="33"/>
      <c r="C168" s="34"/>
      <c r="D168" s="33"/>
      <c r="E168" s="34"/>
      <c r="F168" s="34"/>
      <c r="G168" s="34"/>
      <c r="H168" s="30"/>
      <c r="I168" s="34"/>
      <c r="J168" s="34"/>
      <c r="K168" s="34"/>
      <c r="L168" s="34"/>
      <c r="M168" s="34"/>
      <c r="N168" s="34"/>
      <c r="O168" s="34"/>
      <c r="P168" s="34"/>
    </row>
    <row r="169" spans="1:16" ht="12.75">
      <c r="A169" s="34"/>
      <c r="B169" s="33"/>
      <c r="C169" s="34"/>
      <c r="D169" s="33"/>
      <c r="E169" s="34"/>
      <c r="F169" s="34"/>
      <c r="G169" s="34"/>
      <c r="H169" s="30"/>
      <c r="I169" s="34"/>
      <c r="J169" s="34"/>
      <c r="K169" s="34"/>
      <c r="L169" s="34"/>
      <c r="M169" s="34"/>
      <c r="N169" s="34"/>
      <c r="O169" s="34"/>
      <c r="P169" s="34"/>
    </row>
    <row r="170" spans="1:16" ht="12.75">
      <c r="A170" s="34"/>
      <c r="B170" s="33"/>
      <c r="C170" s="34"/>
      <c r="D170" s="33"/>
      <c r="E170" s="34"/>
      <c r="F170" s="34"/>
      <c r="G170" s="34"/>
      <c r="H170" s="30"/>
      <c r="I170" s="34"/>
      <c r="J170" s="34"/>
      <c r="K170" s="34"/>
      <c r="L170" s="34"/>
      <c r="M170" s="34"/>
      <c r="N170" s="34"/>
      <c r="O170" s="34"/>
      <c r="P170" s="34"/>
    </row>
    <row r="171" spans="1:16" ht="12.75">
      <c r="A171" s="34"/>
      <c r="B171" s="33"/>
      <c r="C171" s="34"/>
      <c r="D171" s="33"/>
      <c r="E171" s="34"/>
      <c r="F171" s="34"/>
      <c r="G171" s="34"/>
      <c r="H171" s="30"/>
      <c r="I171" s="34"/>
      <c r="J171" s="34"/>
      <c r="K171" s="34"/>
      <c r="L171" s="34"/>
      <c r="M171" s="34"/>
      <c r="N171" s="34"/>
      <c r="O171" s="34"/>
      <c r="P171" s="34"/>
    </row>
    <row r="172" spans="1:16" ht="12.75">
      <c r="A172" s="34"/>
      <c r="B172" s="33"/>
      <c r="C172" s="34"/>
      <c r="D172" s="33"/>
      <c r="E172" s="34"/>
      <c r="F172" s="34"/>
      <c r="G172" s="34"/>
      <c r="H172" s="30"/>
      <c r="I172" s="34"/>
      <c r="J172" s="34"/>
      <c r="K172" s="34"/>
      <c r="L172" s="34"/>
      <c r="M172" s="34"/>
      <c r="N172" s="34"/>
      <c r="O172" s="34"/>
      <c r="P172" s="34"/>
    </row>
    <row r="173" spans="1:16" ht="12.75">
      <c r="A173" s="34"/>
      <c r="B173" s="33"/>
      <c r="C173" s="34"/>
      <c r="D173" s="33"/>
      <c r="E173" s="34"/>
      <c r="F173" s="34"/>
      <c r="G173" s="34"/>
      <c r="H173" s="30"/>
      <c r="I173" s="34"/>
      <c r="J173" s="34"/>
      <c r="K173" s="34"/>
      <c r="L173" s="34"/>
      <c r="M173" s="34"/>
      <c r="N173" s="34"/>
      <c r="O173" s="34"/>
      <c r="P173" s="34"/>
    </row>
    <row r="174" spans="1:16" ht="12.75">
      <c r="A174" s="34"/>
      <c r="B174" s="33"/>
      <c r="C174" s="34"/>
      <c r="D174" s="33"/>
      <c r="E174" s="34"/>
      <c r="F174" s="34"/>
      <c r="G174" s="34"/>
      <c r="H174" s="30"/>
      <c r="I174" s="34"/>
      <c r="J174" s="34"/>
      <c r="K174" s="34"/>
      <c r="L174" s="34"/>
      <c r="M174" s="34"/>
      <c r="N174" s="34"/>
      <c r="O174" s="34"/>
      <c r="P174" s="34"/>
    </row>
    <row r="175" spans="1:16" ht="12.75">
      <c r="A175" s="34"/>
      <c r="B175" s="33"/>
      <c r="C175" s="34"/>
      <c r="D175" s="33"/>
      <c r="E175" s="34"/>
      <c r="F175" s="34"/>
      <c r="G175" s="34"/>
      <c r="H175" s="30"/>
      <c r="I175" s="34"/>
      <c r="J175" s="34"/>
      <c r="K175" s="34"/>
      <c r="L175" s="34"/>
      <c r="M175" s="34"/>
      <c r="N175" s="34"/>
      <c r="O175" s="34"/>
      <c r="P175" s="34"/>
    </row>
    <row r="176" spans="1:16" ht="12.75">
      <c r="A176" s="34"/>
      <c r="B176" s="33"/>
      <c r="C176" s="34"/>
      <c r="D176" s="33"/>
      <c r="E176" s="34"/>
      <c r="F176" s="34"/>
      <c r="G176" s="34"/>
      <c r="H176" s="30"/>
      <c r="I176" s="34"/>
      <c r="J176" s="34"/>
      <c r="K176" s="34"/>
      <c r="L176" s="34"/>
      <c r="M176" s="34"/>
      <c r="N176" s="34"/>
      <c r="O176" s="34"/>
      <c r="P176" s="34"/>
    </row>
    <row r="177" spans="1:16" ht="12.75">
      <c r="A177" s="34"/>
      <c r="B177" s="33"/>
      <c r="C177" s="34"/>
      <c r="D177" s="33"/>
      <c r="E177" s="34"/>
      <c r="F177" s="34"/>
      <c r="G177" s="34"/>
      <c r="H177" s="30"/>
      <c r="I177" s="34"/>
      <c r="J177" s="34"/>
      <c r="K177" s="34"/>
      <c r="L177" s="34"/>
      <c r="M177" s="34"/>
      <c r="N177" s="34"/>
      <c r="O177" s="34"/>
      <c r="P177" s="34"/>
    </row>
    <row r="178" spans="1:16" ht="12.75">
      <c r="A178" s="34"/>
      <c r="B178" s="33"/>
      <c r="C178" s="34"/>
      <c r="D178" s="33"/>
      <c r="E178" s="34"/>
      <c r="F178" s="34"/>
      <c r="G178" s="34"/>
      <c r="H178" s="30"/>
      <c r="I178" s="34"/>
      <c r="J178" s="34"/>
      <c r="K178" s="34"/>
      <c r="L178" s="34"/>
      <c r="M178" s="34"/>
      <c r="N178" s="34"/>
      <c r="O178" s="34"/>
      <c r="P178" s="34"/>
    </row>
    <row r="179" spans="1:16" ht="12.75">
      <c r="A179" s="34"/>
      <c r="B179" s="33"/>
      <c r="C179" s="34"/>
      <c r="D179" s="33"/>
      <c r="E179" s="34"/>
      <c r="F179" s="34"/>
      <c r="G179" s="34"/>
      <c r="H179" s="30"/>
      <c r="I179" s="34"/>
      <c r="J179" s="34"/>
      <c r="K179" s="34"/>
      <c r="L179" s="34"/>
      <c r="M179" s="34"/>
      <c r="N179" s="34"/>
      <c r="O179" s="34"/>
      <c r="P179" s="34"/>
    </row>
    <row r="180" spans="1:16" ht="12.75">
      <c r="A180" s="34"/>
      <c r="B180" s="33"/>
      <c r="C180" s="34"/>
      <c r="D180" s="33"/>
      <c r="E180" s="34"/>
      <c r="F180" s="34"/>
      <c r="G180" s="34"/>
      <c r="H180" s="30"/>
      <c r="I180" s="34"/>
      <c r="J180" s="34"/>
      <c r="K180" s="34"/>
      <c r="L180" s="34"/>
      <c r="M180" s="34"/>
      <c r="N180" s="34"/>
      <c r="O180" s="34"/>
      <c r="P180" s="34"/>
    </row>
    <row r="181" spans="1:16" ht="12.75">
      <c r="A181" s="34"/>
      <c r="B181" s="33"/>
      <c r="C181" s="34"/>
      <c r="D181" s="33"/>
      <c r="E181" s="34"/>
      <c r="F181" s="34"/>
      <c r="G181" s="34"/>
      <c r="H181" s="30"/>
      <c r="I181" s="34"/>
      <c r="J181" s="34"/>
      <c r="K181" s="34"/>
      <c r="L181" s="34"/>
      <c r="M181" s="34"/>
      <c r="N181" s="34"/>
      <c r="O181" s="34"/>
      <c r="P181" s="34"/>
    </row>
    <row r="182" spans="1:16" ht="12.75">
      <c r="A182" s="34"/>
      <c r="B182" s="33"/>
      <c r="C182" s="34"/>
      <c r="D182" s="33"/>
      <c r="E182" s="34"/>
      <c r="F182" s="34"/>
      <c r="G182" s="34"/>
      <c r="H182" s="30"/>
      <c r="I182" s="34"/>
      <c r="J182" s="34"/>
      <c r="K182" s="34"/>
      <c r="L182" s="34"/>
      <c r="M182" s="34"/>
      <c r="N182" s="34"/>
      <c r="O182" s="34"/>
      <c r="P182" s="34"/>
    </row>
    <row r="183" spans="1:16" ht="12.75">
      <c r="A183" s="34"/>
      <c r="B183" s="33"/>
      <c r="C183" s="34"/>
      <c r="D183" s="33"/>
      <c r="E183" s="34"/>
      <c r="F183" s="34"/>
      <c r="G183" s="34"/>
      <c r="H183" s="30"/>
      <c r="I183" s="34"/>
      <c r="J183" s="34"/>
      <c r="K183" s="34"/>
      <c r="L183" s="34"/>
      <c r="M183" s="34"/>
      <c r="N183" s="34"/>
      <c r="O183" s="34"/>
      <c r="P183" s="34"/>
    </row>
    <row r="184" spans="1:16" ht="12.75">
      <c r="A184" s="34"/>
      <c r="B184" s="33"/>
      <c r="C184" s="34"/>
      <c r="D184" s="33"/>
      <c r="E184" s="34"/>
      <c r="F184" s="34"/>
      <c r="G184" s="34"/>
      <c r="H184" s="30"/>
      <c r="I184" s="34"/>
      <c r="J184" s="34"/>
      <c r="K184" s="34"/>
      <c r="L184" s="34"/>
      <c r="M184" s="34"/>
      <c r="N184" s="34"/>
      <c r="O184" s="34"/>
      <c r="P184" s="34"/>
    </row>
    <row r="185" spans="1:16" ht="12.75">
      <c r="A185" s="34"/>
      <c r="B185" s="33"/>
      <c r="C185" s="34"/>
      <c r="D185" s="33"/>
      <c r="E185" s="34"/>
      <c r="F185" s="34"/>
      <c r="G185" s="34"/>
      <c r="H185" s="30"/>
      <c r="I185" s="34"/>
      <c r="J185" s="34"/>
      <c r="K185" s="34"/>
      <c r="L185" s="34"/>
      <c r="M185" s="34"/>
      <c r="N185" s="34"/>
      <c r="O185" s="34"/>
      <c r="P185" s="34"/>
    </row>
    <row r="186" spans="1:16" ht="12.75">
      <c r="A186" s="34"/>
      <c r="B186" s="33"/>
      <c r="C186" s="34"/>
      <c r="D186" s="33"/>
      <c r="E186" s="34"/>
      <c r="F186" s="34"/>
      <c r="G186" s="34"/>
      <c r="H186" s="30"/>
      <c r="I186" s="34"/>
      <c r="J186" s="34"/>
      <c r="K186" s="34"/>
      <c r="L186" s="34"/>
      <c r="M186" s="34"/>
      <c r="N186" s="34"/>
      <c r="O186" s="34"/>
      <c r="P186" s="34"/>
    </row>
    <row r="187" spans="1:16" ht="12.75">
      <c r="A187" s="34"/>
      <c r="B187" s="33"/>
      <c r="C187" s="34"/>
      <c r="D187" s="33"/>
      <c r="E187" s="34"/>
      <c r="F187" s="34"/>
      <c r="G187" s="34"/>
      <c r="H187" s="30"/>
      <c r="I187" s="34"/>
      <c r="J187" s="34"/>
      <c r="K187" s="34"/>
      <c r="L187" s="34"/>
      <c r="M187" s="34"/>
      <c r="N187" s="34"/>
      <c r="O187" s="34"/>
      <c r="P187" s="34"/>
    </row>
    <row r="188" spans="1:16" ht="12.75">
      <c r="A188" s="34"/>
      <c r="B188" s="33"/>
      <c r="C188" s="34"/>
      <c r="D188" s="33"/>
      <c r="E188" s="34"/>
      <c r="F188" s="34"/>
      <c r="G188" s="34"/>
      <c r="H188" s="30"/>
      <c r="I188" s="34"/>
      <c r="J188" s="34"/>
      <c r="K188" s="34"/>
      <c r="L188" s="34"/>
      <c r="M188" s="34"/>
      <c r="N188" s="34"/>
      <c r="O188" s="34"/>
      <c r="P188" s="34"/>
    </row>
    <row r="189" spans="1:16" ht="12.75">
      <c r="A189" s="34"/>
      <c r="B189" s="33"/>
      <c r="C189" s="34"/>
      <c r="D189" s="33"/>
      <c r="E189" s="34"/>
      <c r="F189" s="34"/>
      <c r="G189" s="34"/>
      <c r="H189" s="30"/>
      <c r="I189" s="34"/>
      <c r="J189" s="34"/>
      <c r="K189" s="34"/>
      <c r="L189" s="34"/>
      <c r="M189" s="34"/>
      <c r="N189" s="34"/>
      <c r="O189" s="34"/>
      <c r="P189" s="34"/>
    </row>
    <row r="190" spans="1:16" ht="12.75">
      <c r="A190" s="34"/>
      <c r="B190" s="33"/>
      <c r="C190" s="34"/>
      <c r="D190" s="33"/>
      <c r="E190" s="34"/>
      <c r="F190" s="34"/>
      <c r="G190" s="34"/>
      <c r="H190" s="30"/>
      <c r="I190" s="34"/>
      <c r="J190" s="34"/>
      <c r="K190" s="34"/>
      <c r="L190" s="34"/>
      <c r="M190" s="34"/>
      <c r="N190" s="34"/>
      <c r="O190" s="34"/>
      <c r="P190" s="34"/>
    </row>
    <row r="191" spans="1:16" ht="12.75">
      <c r="A191" s="34"/>
      <c r="B191" s="33"/>
      <c r="C191" s="34"/>
      <c r="D191" s="33"/>
      <c r="E191" s="34"/>
      <c r="F191" s="34"/>
      <c r="G191" s="34"/>
      <c r="H191" s="30"/>
      <c r="I191" s="34"/>
      <c r="J191" s="34"/>
      <c r="K191" s="34"/>
      <c r="L191" s="34"/>
      <c r="M191" s="34"/>
      <c r="N191" s="34"/>
      <c r="O191" s="34"/>
      <c r="P191" s="34"/>
    </row>
    <row r="192" spans="1:16" ht="12.75">
      <c r="A192" s="34"/>
      <c r="B192" s="33"/>
      <c r="C192" s="34"/>
      <c r="D192" s="33"/>
      <c r="E192" s="34"/>
      <c r="F192" s="34"/>
      <c r="G192" s="34"/>
      <c r="H192" s="30"/>
      <c r="I192" s="34"/>
      <c r="J192" s="34"/>
      <c r="K192" s="34"/>
      <c r="L192" s="34"/>
      <c r="M192" s="34"/>
      <c r="N192" s="34"/>
      <c r="O192" s="34"/>
      <c r="P192" s="34"/>
    </row>
    <row r="193" spans="1:16" ht="12.75">
      <c r="A193" s="34"/>
      <c r="B193" s="33"/>
      <c r="C193" s="34"/>
      <c r="D193" s="33"/>
      <c r="E193" s="34"/>
      <c r="F193" s="34"/>
      <c r="G193" s="34"/>
      <c r="H193" s="30"/>
      <c r="I193" s="34"/>
      <c r="J193" s="34"/>
      <c r="K193" s="34"/>
      <c r="L193" s="34"/>
      <c r="M193" s="34"/>
      <c r="N193" s="34"/>
      <c r="O193" s="34"/>
      <c r="P193" s="34"/>
    </row>
    <row r="194" spans="1:16" ht="12.75">
      <c r="A194" s="34"/>
      <c r="B194" s="33"/>
      <c r="C194" s="34"/>
      <c r="D194" s="33"/>
      <c r="E194" s="34"/>
      <c r="F194" s="34"/>
      <c r="G194" s="34"/>
      <c r="H194" s="30"/>
      <c r="I194" s="34"/>
      <c r="J194" s="34"/>
      <c r="K194" s="34"/>
      <c r="L194" s="34"/>
      <c r="M194" s="34"/>
      <c r="N194" s="34"/>
      <c r="O194" s="34"/>
      <c r="P194" s="34"/>
    </row>
    <row r="195" spans="1:16" ht="12.75">
      <c r="A195" s="34"/>
      <c r="B195" s="33"/>
      <c r="C195" s="34"/>
      <c r="D195" s="33"/>
      <c r="E195" s="34"/>
      <c r="F195" s="34"/>
      <c r="G195" s="34"/>
      <c r="H195" s="30"/>
      <c r="I195" s="34"/>
      <c r="J195" s="34"/>
      <c r="K195" s="34"/>
      <c r="L195" s="34"/>
      <c r="M195" s="34"/>
      <c r="N195" s="34"/>
      <c r="O195" s="34"/>
      <c r="P195" s="34"/>
    </row>
    <row r="196" spans="1:16" ht="12.75">
      <c r="A196" s="34"/>
      <c r="B196" s="33"/>
      <c r="C196" s="34"/>
      <c r="D196" s="33"/>
      <c r="E196" s="34"/>
      <c r="F196" s="34"/>
      <c r="G196" s="34"/>
      <c r="H196" s="30"/>
      <c r="I196" s="34"/>
      <c r="J196" s="34"/>
      <c r="K196" s="34"/>
      <c r="L196" s="34"/>
      <c r="M196" s="34"/>
      <c r="N196" s="34"/>
      <c r="O196" s="34"/>
      <c r="P196" s="34"/>
    </row>
    <row r="197" spans="1:16" ht="12.75">
      <c r="A197" s="34"/>
      <c r="B197" s="33"/>
      <c r="C197" s="34"/>
      <c r="D197" s="33"/>
      <c r="E197" s="34"/>
      <c r="F197" s="34"/>
      <c r="G197" s="34"/>
      <c r="H197" s="30"/>
      <c r="I197" s="34"/>
      <c r="J197" s="34"/>
      <c r="K197" s="34"/>
      <c r="L197" s="34"/>
      <c r="M197" s="34"/>
      <c r="N197" s="34"/>
      <c r="O197" s="34"/>
      <c r="P197" s="34"/>
    </row>
    <row r="198" spans="1:16" ht="12.75">
      <c r="A198" s="34"/>
      <c r="B198" s="33"/>
      <c r="C198" s="34"/>
      <c r="D198" s="33"/>
      <c r="E198" s="34"/>
      <c r="F198" s="34"/>
      <c r="G198" s="34"/>
      <c r="H198" s="30"/>
      <c r="I198" s="34"/>
      <c r="J198" s="34"/>
      <c r="K198" s="34"/>
      <c r="L198" s="34"/>
      <c r="M198" s="34"/>
      <c r="N198" s="34"/>
      <c r="O198" s="34"/>
      <c r="P198" s="34"/>
    </row>
    <row r="199" spans="1:16" ht="12.75">
      <c r="A199" s="34"/>
      <c r="B199" s="33"/>
      <c r="C199" s="34"/>
      <c r="D199" s="33"/>
      <c r="E199" s="34"/>
      <c r="F199" s="34"/>
      <c r="G199" s="34"/>
      <c r="H199" s="30"/>
      <c r="I199" s="34"/>
      <c r="J199" s="34"/>
      <c r="K199" s="34"/>
      <c r="L199" s="34"/>
      <c r="M199" s="34"/>
      <c r="N199" s="34"/>
      <c r="O199" s="34"/>
      <c r="P199" s="34"/>
    </row>
    <row r="200" spans="1:16" ht="12.75">
      <c r="A200" s="34"/>
      <c r="B200" s="33"/>
      <c r="C200" s="34"/>
      <c r="D200" s="33"/>
      <c r="E200" s="34"/>
      <c r="F200" s="34"/>
      <c r="G200" s="34"/>
      <c r="H200" s="30"/>
      <c r="I200" s="34"/>
      <c r="J200" s="34"/>
      <c r="K200" s="34"/>
      <c r="L200" s="34"/>
      <c r="M200" s="34"/>
      <c r="N200" s="34"/>
      <c r="O200" s="34"/>
      <c r="P200" s="34"/>
    </row>
    <row r="201" spans="1:16" ht="12.75">
      <c r="A201" s="34"/>
      <c r="B201" s="33"/>
      <c r="C201" s="34"/>
      <c r="D201" s="33"/>
      <c r="E201" s="34"/>
      <c r="F201" s="34"/>
      <c r="G201" s="34"/>
      <c r="H201" s="30"/>
      <c r="I201" s="34"/>
      <c r="J201" s="34"/>
      <c r="K201" s="34"/>
      <c r="L201" s="34"/>
      <c r="M201" s="34"/>
      <c r="N201" s="34"/>
      <c r="O201" s="34"/>
      <c r="P201" s="34"/>
    </row>
    <row r="202" spans="1:16" ht="12.75">
      <c r="A202" s="34"/>
      <c r="B202" s="33"/>
      <c r="C202" s="34"/>
      <c r="D202" s="33"/>
      <c r="E202" s="34"/>
      <c r="F202" s="34"/>
      <c r="G202" s="34"/>
      <c r="H202" s="30"/>
      <c r="I202" s="34"/>
      <c r="J202" s="34"/>
      <c r="K202" s="34"/>
      <c r="L202" s="34"/>
      <c r="M202" s="34"/>
      <c r="N202" s="34"/>
      <c r="O202" s="34"/>
      <c r="P202" s="34"/>
    </row>
    <row r="203" spans="1:16" ht="12.75">
      <c r="A203" s="34"/>
      <c r="B203" s="33"/>
      <c r="C203" s="34"/>
      <c r="D203" s="33"/>
      <c r="E203" s="34"/>
      <c r="F203" s="34"/>
      <c r="G203" s="34"/>
      <c r="H203" s="30"/>
      <c r="I203" s="34"/>
      <c r="J203" s="34"/>
      <c r="K203" s="34"/>
      <c r="L203" s="34"/>
      <c r="M203" s="34"/>
      <c r="N203" s="34"/>
      <c r="O203" s="34"/>
      <c r="P203" s="34"/>
    </row>
    <row r="204" spans="1:16" ht="12.75">
      <c r="A204" s="34"/>
      <c r="B204" s="33"/>
      <c r="C204" s="34"/>
      <c r="D204" s="33"/>
      <c r="E204" s="34"/>
      <c r="F204" s="34"/>
      <c r="G204" s="34"/>
      <c r="H204" s="30"/>
      <c r="I204" s="34"/>
      <c r="J204" s="34"/>
      <c r="K204" s="34"/>
      <c r="L204" s="34"/>
      <c r="M204" s="34"/>
      <c r="N204" s="34"/>
      <c r="O204" s="34"/>
      <c r="P204" s="34"/>
    </row>
    <row r="205" spans="1:16" ht="12.75">
      <c r="A205" s="34"/>
      <c r="B205" s="33"/>
      <c r="C205" s="34"/>
      <c r="D205" s="33"/>
      <c r="E205" s="34"/>
      <c r="F205" s="34"/>
      <c r="G205" s="34"/>
      <c r="H205" s="30"/>
      <c r="I205" s="34"/>
      <c r="J205" s="34"/>
      <c r="K205" s="34"/>
      <c r="L205" s="34"/>
      <c r="M205" s="34"/>
      <c r="N205" s="34"/>
      <c r="O205" s="34"/>
      <c r="P205" s="34"/>
    </row>
    <row r="206" spans="1:16" ht="12.75">
      <c r="A206" s="34"/>
      <c r="B206" s="33"/>
      <c r="C206" s="34"/>
      <c r="D206" s="33"/>
      <c r="E206" s="34"/>
      <c r="F206" s="34"/>
      <c r="G206" s="34"/>
      <c r="H206" s="30"/>
      <c r="I206" s="34"/>
      <c r="J206" s="34"/>
      <c r="K206" s="34"/>
      <c r="L206" s="34"/>
      <c r="M206" s="34"/>
      <c r="N206" s="34"/>
      <c r="O206" s="34"/>
      <c r="P206" s="34"/>
    </row>
    <row r="207" spans="1:16" ht="12.75">
      <c r="A207" s="34"/>
      <c r="B207" s="33"/>
      <c r="C207" s="34"/>
      <c r="D207" s="33"/>
      <c r="E207" s="34"/>
      <c r="F207" s="34"/>
      <c r="G207" s="34"/>
      <c r="H207" s="30"/>
      <c r="I207" s="34"/>
      <c r="J207" s="34"/>
      <c r="K207" s="34"/>
      <c r="L207" s="34"/>
      <c r="M207" s="34"/>
      <c r="N207" s="34"/>
      <c r="O207" s="34"/>
      <c r="P207" s="34"/>
    </row>
    <row r="208" spans="1:16" ht="12.75">
      <c r="A208" s="34"/>
      <c r="B208" s="33"/>
      <c r="C208" s="34"/>
      <c r="D208" s="33"/>
      <c r="E208" s="34"/>
      <c r="F208" s="34"/>
      <c r="G208" s="34"/>
      <c r="H208" s="30"/>
      <c r="I208" s="34"/>
      <c r="J208" s="34"/>
      <c r="K208" s="34"/>
      <c r="L208" s="34"/>
      <c r="M208" s="34"/>
      <c r="N208" s="34"/>
      <c r="O208" s="34"/>
      <c r="P208" s="34"/>
    </row>
    <row r="209" spans="1:16" ht="12.75">
      <c r="A209" s="34"/>
      <c r="B209" s="33"/>
      <c r="C209" s="34"/>
      <c r="D209" s="33"/>
      <c r="E209" s="34"/>
      <c r="F209" s="34"/>
      <c r="G209" s="34"/>
      <c r="H209" s="30"/>
      <c r="I209" s="34"/>
      <c r="J209" s="34"/>
      <c r="K209" s="34"/>
      <c r="L209" s="34"/>
      <c r="M209" s="34"/>
      <c r="N209" s="34"/>
      <c r="O209" s="34"/>
      <c r="P209" s="34"/>
    </row>
    <row r="210" spans="1:16" ht="12.75">
      <c r="A210" s="34"/>
      <c r="B210" s="33"/>
      <c r="C210" s="34"/>
      <c r="D210" s="33"/>
      <c r="E210" s="34"/>
      <c r="F210" s="34"/>
      <c r="G210" s="34"/>
      <c r="H210" s="30"/>
      <c r="I210" s="34"/>
      <c r="J210" s="34"/>
      <c r="K210" s="34"/>
      <c r="L210" s="34"/>
      <c r="M210" s="34"/>
      <c r="N210" s="34"/>
      <c r="O210" s="34"/>
      <c r="P210" s="34"/>
    </row>
    <row r="211" spans="1:16" ht="12.75">
      <c r="A211" s="34"/>
      <c r="B211" s="33"/>
      <c r="C211" s="34"/>
      <c r="D211" s="33"/>
      <c r="E211" s="34"/>
      <c r="F211" s="34"/>
      <c r="G211" s="34"/>
      <c r="H211" s="30"/>
      <c r="I211" s="34"/>
      <c r="J211" s="34"/>
      <c r="K211" s="34"/>
      <c r="L211" s="34"/>
      <c r="M211" s="34"/>
      <c r="N211" s="34"/>
      <c r="O211" s="34"/>
      <c r="P211" s="34"/>
    </row>
    <row r="212" spans="1:16" ht="12.75">
      <c r="A212" s="34"/>
      <c r="B212" s="33"/>
      <c r="C212" s="34"/>
      <c r="D212" s="33"/>
      <c r="E212" s="34"/>
      <c r="F212" s="34"/>
      <c r="G212" s="34"/>
      <c r="H212" s="30"/>
      <c r="I212" s="34"/>
      <c r="J212" s="34"/>
      <c r="K212" s="34"/>
      <c r="L212" s="34"/>
      <c r="M212" s="34"/>
      <c r="N212" s="34"/>
      <c r="O212" s="34"/>
      <c r="P212" s="34"/>
    </row>
    <row r="213" spans="1:16" ht="12.75">
      <c r="A213" s="34"/>
      <c r="B213" s="33"/>
      <c r="C213" s="34"/>
      <c r="D213" s="33"/>
      <c r="E213" s="34"/>
      <c r="F213" s="34"/>
      <c r="G213" s="34"/>
      <c r="H213" s="30"/>
      <c r="I213" s="34"/>
      <c r="J213" s="34"/>
      <c r="K213" s="34"/>
      <c r="L213" s="34"/>
      <c r="M213" s="34"/>
      <c r="N213" s="34"/>
      <c r="O213" s="34"/>
      <c r="P213" s="34"/>
    </row>
    <row r="214" spans="1:16" ht="12.75">
      <c r="A214" s="34"/>
      <c r="B214" s="33"/>
      <c r="C214" s="34"/>
      <c r="D214" s="33"/>
      <c r="E214" s="34"/>
      <c r="F214" s="34"/>
      <c r="G214" s="34"/>
      <c r="H214" s="30"/>
      <c r="I214" s="34"/>
      <c r="J214" s="34"/>
      <c r="K214" s="34"/>
      <c r="L214" s="34"/>
      <c r="M214" s="34"/>
      <c r="N214" s="34"/>
      <c r="O214" s="34"/>
      <c r="P214" s="34"/>
    </row>
    <row r="215" spans="1:16" ht="12.75">
      <c r="A215" s="34"/>
      <c r="B215" s="33"/>
      <c r="C215" s="34"/>
      <c r="D215" s="33"/>
      <c r="E215" s="34"/>
      <c r="F215" s="34"/>
      <c r="G215" s="34"/>
      <c r="H215" s="30"/>
      <c r="I215" s="34"/>
      <c r="J215" s="34"/>
      <c r="K215" s="34"/>
      <c r="L215" s="34"/>
      <c r="M215" s="34"/>
      <c r="N215" s="34"/>
      <c r="O215" s="34"/>
      <c r="P215" s="34"/>
    </row>
    <row r="216" spans="1:16" ht="12.75">
      <c r="A216" s="34"/>
      <c r="B216" s="33"/>
      <c r="C216" s="34"/>
      <c r="D216" s="33"/>
      <c r="E216" s="34"/>
      <c r="F216" s="34"/>
      <c r="G216" s="34"/>
      <c r="H216" s="30"/>
      <c r="I216" s="34"/>
      <c r="J216" s="34"/>
      <c r="K216" s="34"/>
      <c r="L216" s="34"/>
      <c r="M216" s="34"/>
      <c r="N216" s="34"/>
      <c r="O216" s="34"/>
      <c r="P216" s="34"/>
    </row>
    <row r="217" spans="1:16" ht="12.75">
      <c r="A217" s="34"/>
      <c r="B217" s="33"/>
      <c r="C217" s="34"/>
      <c r="D217" s="33"/>
      <c r="E217" s="34"/>
      <c r="F217" s="34"/>
      <c r="G217" s="34"/>
      <c r="H217" s="30"/>
      <c r="I217" s="34"/>
      <c r="J217" s="34"/>
      <c r="K217" s="34"/>
      <c r="L217" s="34"/>
      <c r="M217" s="34"/>
      <c r="N217" s="34"/>
      <c r="O217" s="34"/>
      <c r="P217" s="34"/>
    </row>
    <row r="218" spans="1:16" ht="12.75">
      <c r="A218" s="34"/>
      <c r="B218" s="33"/>
      <c r="C218" s="34"/>
      <c r="D218" s="33"/>
      <c r="E218" s="34"/>
      <c r="F218" s="34"/>
      <c r="G218" s="34"/>
      <c r="H218" s="30"/>
      <c r="I218" s="34"/>
      <c r="J218" s="34"/>
      <c r="K218" s="34"/>
      <c r="L218" s="34"/>
      <c r="M218" s="34"/>
      <c r="N218" s="34"/>
      <c r="O218" s="34"/>
      <c r="P218" s="34"/>
    </row>
    <row r="219" spans="1:16" ht="12.75">
      <c r="A219" s="34"/>
      <c r="B219" s="33"/>
      <c r="C219" s="34"/>
      <c r="D219" s="33"/>
      <c r="E219" s="34"/>
      <c r="F219" s="34"/>
      <c r="G219" s="34"/>
      <c r="H219" s="30"/>
      <c r="I219" s="34"/>
      <c r="J219" s="34"/>
      <c r="K219" s="34"/>
      <c r="L219" s="34"/>
      <c r="M219" s="34"/>
      <c r="N219" s="34"/>
      <c r="O219" s="34"/>
      <c r="P219" s="34"/>
    </row>
    <row r="220" spans="1:16" ht="12.75">
      <c r="A220" s="34"/>
      <c r="B220" s="33"/>
      <c r="C220" s="34"/>
      <c r="D220" s="33"/>
      <c r="E220" s="34"/>
      <c r="F220" s="34"/>
      <c r="G220" s="34"/>
      <c r="H220" s="30"/>
      <c r="I220" s="34"/>
      <c r="J220" s="34"/>
      <c r="K220" s="34"/>
      <c r="L220" s="34"/>
      <c r="M220" s="34"/>
      <c r="N220" s="34"/>
      <c r="O220" s="34"/>
      <c r="P220" s="34"/>
    </row>
    <row r="221" spans="1:16" ht="12.75">
      <c r="A221" s="34"/>
      <c r="B221" s="33"/>
      <c r="C221" s="34"/>
      <c r="D221" s="33"/>
      <c r="E221" s="34"/>
      <c r="F221" s="34"/>
      <c r="G221" s="34"/>
      <c r="H221" s="30"/>
      <c r="I221" s="34"/>
      <c r="J221" s="34"/>
      <c r="K221" s="34"/>
      <c r="L221" s="34"/>
      <c r="M221" s="34"/>
      <c r="N221" s="34"/>
      <c r="O221" s="34"/>
      <c r="P221" s="34"/>
    </row>
    <row r="222" spans="1:16" ht="12.75">
      <c r="A222" s="34"/>
      <c r="B222" s="33"/>
      <c r="C222" s="34"/>
      <c r="D222" s="33"/>
      <c r="E222" s="34"/>
      <c r="F222" s="34"/>
      <c r="G222" s="34"/>
      <c r="H222" s="30"/>
      <c r="I222" s="34"/>
      <c r="J222" s="34"/>
      <c r="K222" s="34"/>
      <c r="L222" s="34"/>
      <c r="M222" s="34"/>
      <c r="N222" s="34"/>
      <c r="O222" s="34"/>
      <c r="P222" s="34"/>
    </row>
    <row r="223" spans="1:16" ht="12.75">
      <c r="A223" s="34"/>
      <c r="B223" s="33"/>
      <c r="C223" s="34"/>
      <c r="D223" s="33"/>
      <c r="E223" s="34"/>
      <c r="F223" s="34"/>
      <c r="G223" s="34"/>
      <c r="H223" s="30"/>
      <c r="I223" s="34"/>
      <c r="J223" s="34"/>
      <c r="K223" s="34"/>
      <c r="L223" s="34"/>
      <c r="M223" s="34"/>
      <c r="N223" s="34"/>
      <c r="O223" s="34"/>
      <c r="P223" s="34"/>
    </row>
    <row r="224" spans="1:16" ht="12.75">
      <c r="A224" s="34"/>
      <c r="B224" s="33"/>
      <c r="C224" s="34"/>
      <c r="D224" s="33"/>
      <c r="E224" s="34"/>
      <c r="F224" s="34"/>
      <c r="G224" s="34"/>
      <c r="H224" s="30"/>
      <c r="I224" s="34"/>
      <c r="J224" s="34"/>
      <c r="K224" s="34"/>
      <c r="L224" s="34"/>
      <c r="M224" s="34"/>
      <c r="N224" s="34"/>
      <c r="O224" s="34"/>
      <c r="P224" s="34"/>
    </row>
    <row r="225" spans="1:16" ht="12.75">
      <c r="A225" s="34"/>
      <c r="B225" s="33"/>
      <c r="C225" s="34"/>
      <c r="D225" s="33"/>
      <c r="E225" s="34"/>
      <c r="F225" s="34"/>
      <c r="G225" s="34"/>
      <c r="H225" s="30"/>
      <c r="I225" s="34"/>
      <c r="J225" s="34"/>
      <c r="K225" s="34"/>
      <c r="L225" s="34"/>
      <c r="M225" s="34"/>
      <c r="N225" s="34"/>
      <c r="O225" s="34"/>
      <c r="P225" s="34"/>
    </row>
    <row r="226" spans="1:16" ht="12.75">
      <c r="A226" s="34"/>
      <c r="B226" s="33"/>
      <c r="C226" s="34"/>
      <c r="D226" s="33"/>
      <c r="E226" s="34"/>
      <c r="F226" s="34"/>
      <c r="G226" s="34"/>
      <c r="H226" s="30"/>
      <c r="I226" s="34"/>
      <c r="J226" s="34"/>
      <c r="K226" s="34"/>
      <c r="L226" s="34"/>
      <c r="M226" s="34"/>
      <c r="N226" s="34"/>
      <c r="O226" s="34"/>
      <c r="P226" s="34"/>
    </row>
    <row r="227" spans="1:16" ht="12.75">
      <c r="A227" s="34"/>
      <c r="B227" s="33"/>
      <c r="C227" s="34"/>
      <c r="D227" s="33"/>
      <c r="E227" s="34"/>
      <c r="F227" s="34"/>
      <c r="G227" s="34"/>
      <c r="H227" s="30"/>
      <c r="I227" s="34"/>
      <c r="J227" s="34"/>
      <c r="K227" s="34"/>
      <c r="L227" s="34"/>
      <c r="M227" s="34"/>
      <c r="N227" s="34"/>
      <c r="O227" s="34"/>
      <c r="P227" s="34"/>
    </row>
    <row r="228" spans="1:16" ht="12.75">
      <c r="A228" s="34"/>
      <c r="B228" s="33"/>
      <c r="C228" s="34"/>
      <c r="D228" s="33"/>
      <c r="E228" s="34"/>
      <c r="F228" s="34"/>
      <c r="G228" s="34"/>
      <c r="H228" s="30"/>
      <c r="I228" s="34"/>
      <c r="J228" s="34"/>
      <c r="K228" s="34"/>
      <c r="L228" s="34"/>
      <c r="M228" s="34"/>
      <c r="N228" s="34"/>
      <c r="O228" s="34"/>
      <c r="P228" s="34"/>
    </row>
    <row r="229" spans="1:16" ht="12.75">
      <c r="A229" s="34"/>
      <c r="B229" s="33"/>
      <c r="C229" s="34"/>
      <c r="D229" s="33"/>
      <c r="E229" s="34"/>
      <c r="F229" s="34"/>
      <c r="G229" s="34"/>
      <c r="H229" s="30"/>
      <c r="I229" s="34"/>
      <c r="J229" s="34"/>
      <c r="K229" s="34"/>
      <c r="L229" s="34"/>
      <c r="M229" s="34"/>
      <c r="N229" s="34"/>
      <c r="O229" s="34"/>
      <c r="P229" s="34"/>
    </row>
    <row r="230" spans="1:16" ht="12.75">
      <c r="A230" s="34"/>
      <c r="B230" s="33"/>
      <c r="C230" s="34"/>
      <c r="D230" s="33"/>
      <c r="E230" s="34"/>
      <c r="F230" s="34"/>
      <c r="G230" s="34"/>
      <c r="H230" s="30"/>
      <c r="I230" s="34"/>
      <c r="J230" s="34"/>
      <c r="K230" s="34"/>
      <c r="L230" s="34"/>
      <c r="M230" s="34"/>
      <c r="N230" s="34"/>
      <c r="O230" s="34"/>
      <c r="P230" s="34"/>
    </row>
    <row r="231" spans="1:16" ht="12.75">
      <c r="A231" s="34"/>
      <c r="B231" s="33"/>
      <c r="C231" s="34"/>
      <c r="D231" s="33"/>
      <c r="E231" s="34"/>
      <c r="F231" s="34"/>
      <c r="G231" s="34"/>
      <c r="H231" s="30"/>
      <c r="I231" s="34"/>
      <c r="J231" s="34"/>
      <c r="K231" s="34"/>
      <c r="L231" s="34"/>
      <c r="M231" s="34"/>
      <c r="N231" s="34"/>
      <c r="O231" s="34"/>
      <c r="P231" s="34"/>
    </row>
    <row r="232" spans="1:16" ht="12.75">
      <c r="A232" s="34"/>
      <c r="B232" s="33"/>
      <c r="C232" s="34"/>
      <c r="D232" s="33"/>
      <c r="E232" s="34"/>
      <c r="F232" s="34"/>
      <c r="G232" s="34"/>
      <c r="H232" s="30"/>
      <c r="I232" s="34"/>
      <c r="J232" s="34"/>
      <c r="K232" s="34"/>
      <c r="L232" s="34"/>
      <c r="M232" s="34"/>
      <c r="N232" s="34"/>
      <c r="O232" s="34"/>
      <c r="P232" s="34"/>
    </row>
    <row r="233" spans="1:16" ht="12.75">
      <c r="A233" s="34"/>
      <c r="B233" s="33"/>
      <c r="C233" s="34"/>
      <c r="D233" s="33"/>
      <c r="E233" s="34"/>
      <c r="F233" s="34"/>
      <c r="G233" s="34"/>
      <c r="H233" s="30"/>
      <c r="I233" s="34"/>
      <c r="J233" s="34"/>
      <c r="K233" s="34"/>
      <c r="L233" s="34"/>
      <c r="M233" s="34"/>
      <c r="N233" s="34"/>
      <c r="O233" s="34"/>
      <c r="P233" s="34"/>
    </row>
    <row r="234" spans="1:16" ht="12.75">
      <c r="A234" s="34"/>
      <c r="B234" s="33"/>
      <c r="C234" s="34"/>
      <c r="D234" s="33"/>
      <c r="E234" s="34"/>
      <c r="F234" s="34"/>
      <c r="G234" s="34"/>
      <c r="H234" s="30"/>
      <c r="I234" s="34"/>
      <c r="J234" s="34"/>
      <c r="K234" s="34"/>
      <c r="L234" s="34"/>
      <c r="M234" s="34"/>
      <c r="N234" s="34"/>
      <c r="O234" s="34"/>
      <c r="P234" s="34"/>
    </row>
    <row r="235" spans="1:16" ht="12.75">
      <c r="A235" s="34"/>
      <c r="B235" s="33"/>
      <c r="C235" s="34"/>
      <c r="D235" s="33"/>
      <c r="E235" s="34"/>
      <c r="F235" s="34"/>
      <c r="G235" s="34"/>
      <c r="H235" s="30"/>
      <c r="I235" s="34"/>
      <c r="J235" s="34"/>
      <c r="K235" s="34"/>
      <c r="L235" s="34"/>
      <c r="M235" s="34"/>
      <c r="N235" s="34"/>
      <c r="O235" s="34"/>
      <c r="P235" s="34"/>
    </row>
    <row r="236" spans="1:16" ht="12.75">
      <c r="A236" s="34"/>
      <c r="B236" s="33"/>
      <c r="C236" s="34"/>
      <c r="D236" s="33"/>
      <c r="E236" s="34"/>
      <c r="F236" s="34"/>
      <c r="G236" s="34"/>
      <c r="H236" s="30"/>
      <c r="I236" s="34"/>
      <c r="J236" s="34"/>
      <c r="K236" s="34"/>
      <c r="L236" s="34"/>
      <c r="M236" s="34"/>
      <c r="N236" s="34"/>
      <c r="O236" s="34"/>
      <c r="P236" s="34"/>
    </row>
    <row r="237" spans="1:16" ht="12.75">
      <c r="A237" s="34"/>
      <c r="B237" s="33"/>
      <c r="C237" s="34"/>
      <c r="D237" s="33"/>
      <c r="E237" s="34"/>
      <c r="F237" s="34"/>
      <c r="G237" s="34"/>
      <c r="H237" s="30"/>
      <c r="I237" s="34"/>
      <c r="J237" s="34"/>
      <c r="K237" s="34"/>
      <c r="L237" s="34"/>
      <c r="M237" s="34"/>
      <c r="N237" s="34"/>
      <c r="O237" s="34"/>
      <c r="P237" s="34"/>
    </row>
    <row r="238" spans="1:16" ht="12.75">
      <c r="A238" s="34"/>
      <c r="B238" s="33"/>
      <c r="C238" s="34"/>
      <c r="D238" s="33"/>
      <c r="E238" s="34"/>
      <c r="F238" s="34"/>
      <c r="G238" s="34"/>
      <c r="H238" s="30"/>
      <c r="I238" s="34"/>
      <c r="J238" s="34"/>
      <c r="K238" s="34"/>
      <c r="L238" s="34"/>
      <c r="M238" s="34"/>
      <c r="N238" s="34"/>
      <c r="O238" s="34"/>
      <c r="P238" s="34"/>
    </row>
    <row r="239" spans="1:16" ht="12.75">
      <c r="A239" s="34"/>
      <c r="B239" s="33"/>
      <c r="C239" s="34"/>
      <c r="D239" s="33"/>
      <c r="E239" s="34"/>
      <c r="F239" s="34"/>
      <c r="G239" s="34"/>
      <c r="H239" s="30"/>
      <c r="I239" s="34"/>
      <c r="J239" s="34"/>
      <c r="K239" s="34"/>
      <c r="L239" s="34"/>
      <c r="M239" s="34"/>
      <c r="N239" s="34"/>
      <c r="O239" s="34"/>
      <c r="P239" s="34"/>
    </row>
    <row r="240" spans="1:16" ht="12.75">
      <c r="A240" s="34"/>
      <c r="B240" s="33"/>
      <c r="C240" s="34"/>
      <c r="D240" s="33"/>
      <c r="E240" s="34"/>
      <c r="F240" s="34"/>
      <c r="G240" s="34"/>
      <c r="H240" s="30"/>
      <c r="I240" s="34"/>
      <c r="J240" s="34"/>
      <c r="K240" s="34"/>
      <c r="L240" s="34"/>
      <c r="M240" s="34"/>
      <c r="N240" s="34"/>
      <c r="O240" s="34"/>
      <c r="P240" s="34"/>
    </row>
    <row r="241" spans="1:16" ht="12.75">
      <c r="A241" s="34"/>
      <c r="B241" s="33"/>
      <c r="C241" s="34"/>
      <c r="D241" s="33"/>
      <c r="E241" s="34"/>
      <c r="F241" s="34"/>
      <c r="G241" s="34"/>
      <c r="H241" s="30"/>
      <c r="I241" s="34"/>
      <c r="J241" s="34"/>
      <c r="K241" s="34"/>
      <c r="L241" s="34"/>
      <c r="M241" s="34"/>
      <c r="N241" s="34"/>
      <c r="O241" s="34"/>
      <c r="P241" s="34"/>
    </row>
    <row r="242" spans="1:16" ht="12.75">
      <c r="A242" s="34"/>
      <c r="B242" s="33"/>
      <c r="C242" s="34"/>
      <c r="D242" s="33"/>
      <c r="E242" s="34"/>
      <c r="F242" s="34"/>
      <c r="G242" s="34"/>
      <c r="H242" s="30"/>
      <c r="I242" s="34"/>
      <c r="J242" s="34"/>
      <c r="K242" s="34"/>
      <c r="L242" s="34"/>
      <c r="M242" s="34"/>
      <c r="N242" s="34"/>
      <c r="O242" s="34"/>
      <c r="P242" s="34"/>
    </row>
    <row r="243" spans="1:16" ht="12.75">
      <c r="A243" s="34"/>
      <c r="B243" s="33"/>
      <c r="C243" s="34"/>
      <c r="D243" s="33"/>
      <c r="E243" s="34"/>
      <c r="F243" s="34"/>
      <c r="G243" s="34"/>
      <c r="H243" s="30"/>
      <c r="I243" s="34"/>
      <c r="J243" s="34"/>
      <c r="K243" s="34"/>
      <c r="L243" s="34"/>
      <c r="M243" s="34"/>
      <c r="N243" s="34"/>
      <c r="O243" s="34"/>
      <c r="P243" s="34"/>
    </row>
    <row r="244" spans="1:16" ht="12.75">
      <c r="A244" s="34"/>
      <c r="B244" s="33"/>
      <c r="C244" s="34"/>
      <c r="D244" s="33"/>
      <c r="E244" s="34"/>
      <c r="F244" s="34"/>
      <c r="G244" s="34"/>
      <c r="H244" s="30"/>
      <c r="I244" s="34"/>
      <c r="J244" s="34"/>
      <c r="K244" s="34"/>
      <c r="L244" s="34"/>
      <c r="M244" s="34"/>
      <c r="N244" s="34"/>
      <c r="O244" s="34"/>
      <c r="P244" s="34"/>
    </row>
    <row r="245" spans="1:16" ht="12.75">
      <c r="A245" s="34"/>
      <c r="B245" s="33"/>
      <c r="C245" s="34"/>
      <c r="D245" s="33"/>
      <c r="E245" s="34"/>
      <c r="F245" s="34"/>
      <c r="G245" s="34"/>
      <c r="H245" s="30"/>
      <c r="I245" s="34"/>
      <c r="J245" s="34"/>
      <c r="K245" s="34"/>
      <c r="L245" s="34"/>
      <c r="M245" s="34"/>
      <c r="N245" s="34"/>
      <c r="O245" s="34"/>
      <c r="P245" s="34"/>
    </row>
    <row r="246" spans="1:16" ht="12.75">
      <c r="A246" s="34"/>
      <c r="B246" s="33"/>
      <c r="C246" s="34"/>
      <c r="D246" s="33"/>
      <c r="E246" s="34"/>
      <c r="F246" s="34"/>
      <c r="G246" s="34"/>
      <c r="H246" s="30"/>
      <c r="I246" s="34"/>
      <c r="J246" s="34"/>
      <c r="K246" s="34"/>
      <c r="L246" s="34"/>
      <c r="M246" s="34"/>
      <c r="N246" s="34"/>
      <c r="O246" s="34"/>
      <c r="P246" s="34"/>
    </row>
    <row r="247" spans="1:16" ht="12.75">
      <c r="A247" s="34"/>
      <c r="B247" s="33"/>
      <c r="C247" s="34"/>
      <c r="D247" s="33"/>
      <c r="E247" s="34"/>
      <c r="F247" s="34"/>
      <c r="G247" s="34"/>
      <c r="H247" s="30"/>
      <c r="I247" s="34"/>
      <c r="J247" s="34"/>
      <c r="K247" s="34"/>
      <c r="L247" s="34"/>
      <c r="M247" s="34"/>
      <c r="N247" s="34"/>
      <c r="O247" s="34"/>
      <c r="P247" s="34"/>
    </row>
    <row r="248" spans="1:16" ht="12.75">
      <c r="A248" s="34"/>
      <c r="B248" s="33"/>
      <c r="C248" s="34"/>
      <c r="D248" s="33"/>
      <c r="E248" s="34"/>
      <c r="F248" s="34"/>
      <c r="G248" s="34"/>
      <c r="H248" s="30"/>
      <c r="I248" s="34"/>
      <c r="J248" s="34"/>
      <c r="K248" s="34"/>
      <c r="L248" s="34"/>
      <c r="M248" s="34"/>
      <c r="N248" s="34"/>
      <c r="O248" s="34"/>
      <c r="P248" s="34"/>
    </row>
    <row r="249" spans="1:16" ht="12.75">
      <c r="A249" s="34"/>
      <c r="B249" s="33"/>
      <c r="C249" s="34"/>
      <c r="D249" s="33"/>
      <c r="E249" s="34"/>
      <c r="F249" s="34"/>
      <c r="G249" s="34"/>
      <c r="H249" s="30"/>
      <c r="I249" s="34"/>
      <c r="J249" s="34"/>
      <c r="K249" s="34"/>
      <c r="L249" s="34"/>
      <c r="M249" s="34"/>
      <c r="N249" s="34"/>
      <c r="O249" s="34"/>
      <c r="P249" s="34"/>
    </row>
    <row r="250" spans="1:16" ht="12.75">
      <c r="A250" s="34"/>
      <c r="B250" s="33"/>
      <c r="C250" s="34"/>
      <c r="D250" s="33"/>
      <c r="E250" s="34"/>
      <c r="F250" s="34"/>
      <c r="G250" s="34"/>
      <c r="H250" s="30"/>
      <c r="I250" s="34"/>
      <c r="J250" s="34"/>
      <c r="K250" s="34"/>
      <c r="L250" s="34"/>
      <c r="M250" s="34"/>
      <c r="N250" s="34"/>
      <c r="O250" s="34"/>
      <c r="P250" s="34"/>
    </row>
    <row r="251" spans="1:16" ht="12.75">
      <c r="A251" s="34"/>
      <c r="B251" s="33"/>
      <c r="C251" s="34"/>
      <c r="D251" s="33"/>
      <c r="E251" s="34"/>
      <c r="F251" s="34"/>
      <c r="G251" s="34"/>
      <c r="H251" s="30"/>
      <c r="I251" s="34"/>
      <c r="J251" s="34"/>
      <c r="K251" s="34"/>
      <c r="L251" s="34"/>
      <c r="M251" s="34"/>
      <c r="N251" s="34"/>
      <c r="O251" s="34"/>
      <c r="P251" s="34"/>
    </row>
    <row r="252" spans="1:16" ht="12.75">
      <c r="A252" s="34"/>
      <c r="B252" s="33"/>
      <c r="C252" s="34"/>
      <c r="D252" s="33"/>
      <c r="E252" s="34"/>
      <c r="F252" s="34"/>
      <c r="G252" s="34"/>
      <c r="H252" s="30"/>
      <c r="I252" s="34"/>
      <c r="J252" s="34"/>
      <c r="K252" s="34"/>
      <c r="L252" s="34"/>
      <c r="M252" s="34"/>
      <c r="N252" s="34"/>
      <c r="O252" s="34"/>
      <c r="P252" s="34"/>
    </row>
    <row r="253" spans="1:16" ht="12.75">
      <c r="A253" s="34"/>
      <c r="B253" s="33"/>
      <c r="C253" s="34"/>
      <c r="D253" s="33"/>
      <c r="E253" s="34"/>
      <c r="F253" s="34"/>
      <c r="G253" s="34"/>
      <c r="H253" s="30"/>
      <c r="I253" s="34"/>
      <c r="J253" s="34"/>
      <c r="K253" s="34"/>
      <c r="L253" s="34"/>
      <c r="M253" s="34"/>
      <c r="N253" s="34"/>
      <c r="O253" s="34"/>
      <c r="P253" s="34"/>
    </row>
    <row r="254" spans="1:16" ht="12.75">
      <c r="A254" s="34"/>
      <c r="B254" s="33"/>
      <c r="C254" s="34"/>
      <c r="D254" s="33"/>
      <c r="E254" s="34"/>
      <c r="F254" s="34"/>
      <c r="G254" s="34"/>
      <c r="H254" s="30"/>
      <c r="I254" s="34"/>
      <c r="J254" s="34"/>
      <c r="K254" s="34"/>
      <c r="L254" s="34"/>
      <c r="M254" s="34"/>
      <c r="N254" s="34"/>
      <c r="O254" s="34"/>
      <c r="P254" s="34"/>
    </row>
    <row r="255" spans="1:16" ht="12.75">
      <c r="A255" s="34"/>
      <c r="B255" s="33"/>
      <c r="C255" s="34"/>
      <c r="D255" s="33"/>
      <c r="E255" s="34"/>
      <c r="F255" s="34"/>
      <c r="G255" s="34"/>
      <c r="H255" s="30"/>
      <c r="I255" s="34"/>
      <c r="J255" s="34"/>
      <c r="K255" s="34"/>
      <c r="L255" s="34"/>
      <c r="M255" s="34"/>
      <c r="N255" s="34"/>
      <c r="O255" s="34"/>
      <c r="P255" s="34"/>
    </row>
    <row r="256" spans="1:16" ht="12.75">
      <c r="A256" s="34"/>
      <c r="B256" s="33"/>
      <c r="C256" s="34"/>
      <c r="D256" s="33"/>
      <c r="E256" s="34"/>
      <c r="F256" s="34"/>
      <c r="G256" s="34"/>
      <c r="H256" s="30"/>
      <c r="I256" s="34"/>
      <c r="J256" s="34"/>
      <c r="K256" s="34"/>
      <c r="L256" s="34"/>
      <c r="M256" s="34"/>
      <c r="N256" s="34"/>
      <c r="O256" s="34"/>
      <c r="P256" s="34"/>
    </row>
    <row r="257" spans="1:16" ht="12.75">
      <c r="A257" s="34"/>
      <c r="B257" s="33"/>
      <c r="C257" s="34"/>
      <c r="D257" s="33"/>
      <c r="E257" s="34"/>
      <c r="F257" s="34"/>
      <c r="G257" s="34"/>
      <c r="H257" s="30"/>
      <c r="I257" s="34"/>
      <c r="J257" s="34"/>
      <c r="K257" s="34"/>
      <c r="L257" s="34"/>
      <c r="M257" s="34"/>
      <c r="N257" s="34"/>
      <c r="O257" s="34"/>
      <c r="P257" s="34"/>
    </row>
    <row r="258" spans="1:16" ht="12.75">
      <c r="A258" s="34"/>
      <c r="B258" s="33"/>
      <c r="C258" s="34"/>
      <c r="D258" s="33"/>
      <c r="E258" s="34"/>
      <c r="F258" s="34"/>
      <c r="G258" s="34"/>
      <c r="H258" s="30"/>
      <c r="I258" s="34"/>
      <c r="J258" s="34"/>
      <c r="K258" s="34"/>
      <c r="L258" s="34"/>
      <c r="M258" s="34"/>
      <c r="N258" s="34"/>
      <c r="O258" s="34"/>
      <c r="P258" s="34"/>
    </row>
    <row r="259" spans="1:16" ht="12.75">
      <c r="A259" s="34"/>
      <c r="B259" s="33"/>
      <c r="C259" s="34"/>
      <c r="D259" s="33"/>
      <c r="E259" s="34"/>
      <c r="F259" s="34"/>
      <c r="G259" s="34"/>
      <c r="H259" s="30"/>
      <c r="I259" s="34"/>
      <c r="J259" s="34"/>
      <c r="K259" s="34"/>
      <c r="L259" s="34"/>
      <c r="M259" s="34"/>
      <c r="N259" s="34"/>
      <c r="O259" s="34"/>
      <c r="P259" s="34"/>
    </row>
    <row r="260" spans="1:16" ht="12.75">
      <c r="A260" s="34"/>
      <c r="B260" s="33"/>
      <c r="C260" s="34"/>
      <c r="D260" s="33"/>
      <c r="E260" s="34"/>
      <c r="F260" s="34"/>
      <c r="G260" s="34"/>
      <c r="H260" s="30"/>
      <c r="I260" s="34"/>
      <c r="J260" s="34"/>
      <c r="K260" s="34"/>
      <c r="L260" s="34"/>
      <c r="M260" s="34"/>
      <c r="N260" s="34"/>
      <c r="O260" s="34"/>
      <c r="P260" s="34"/>
    </row>
    <row r="261" spans="1:16" ht="12.75">
      <c r="A261" s="34"/>
      <c r="B261" s="33"/>
      <c r="C261" s="34"/>
      <c r="D261" s="33"/>
      <c r="E261" s="34"/>
      <c r="F261" s="34"/>
      <c r="G261" s="34"/>
      <c r="H261" s="30"/>
      <c r="I261" s="34"/>
      <c r="J261" s="34"/>
      <c r="K261" s="34"/>
      <c r="L261" s="34"/>
      <c r="M261" s="34"/>
      <c r="N261" s="34"/>
      <c r="O261" s="34"/>
      <c r="P261" s="34"/>
    </row>
    <row r="262" spans="1:16" ht="12.75">
      <c r="A262" s="34"/>
      <c r="B262" s="33"/>
      <c r="C262" s="34"/>
      <c r="D262" s="33"/>
      <c r="E262" s="34"/>
      <c r="F262" s="34"/>
      <c r="G262" s="34"/>
      <c r="H262" s="30"/>
      <c r="I262" s="34"/>
      <c r="J262" s="34"/>
      <c r="K262" s="34"/>
      <c r="L262" s="34"/>
      <c r="M262" s="34"/>
      <c r="N262" s="34"/>
      <c r="O262" s="34"/>
      <c r="P262" s="34"/>
    </row>
    <row r="263" spans="1:16" ht="12.75">
      <c r="A263" s="34"/>
      <c r="B263" s="33"/>
      <c r="C263" s="34"/>
      <c r="D263" s="33"/>
      <c r="E263" s="34"/>
      <c r="F263" s="34"/>
      <c r="G263" s="34"/>
      <c r="H263" s="30"/>
      <c r="I263" s="34"/>
      <c r="J263" s="34"/>
      <c r="K263" s="34"/>
      <c r="L263" s="34"/>
      <c r="M263" s="34"/>
      <c r="N263" s="34"/>
      <c r="O263" s="34"/>
      <c r="P263" s="34"/>
    </row>
    <row r="264" spans="1:16" ht="12.75">
      <c r="A264" s="34"/>
      <c r="B264" s="33"/>
      <c r="C264" s="34"/>
      <c r="D264" s="33"/>
      <c r="E264" s="34"/>
      <c r="F264" s="34"/>
      <c r="G264" s="34"/>
      <c r="H264" s="30"/>
      <c r="I264" s="34"/>
      <c r="J264" s="34"/>
      <c r="K264" s="34"/>
      <c r="L264" s="34"/>
      <c r="M264" s="34"/>
      <c r="N264" s="34"/>
      <c r="O264" s="34"/>
      <c r="P264" s="34"/>
    </row>
    <row r="265" spans="1:16" ht="12.75">
      <c r="A265" s="34"/>
      <c r="B265" s="33"/>
      <c r="C265" s="34"/>
      <c r="D265" s="33"/>
      <c r="E265" s="34"/>
      <c r="F265" s="34"/>
      <c r="G265" s="34"/>
      <c r="H265" s="30"/>
      <c r="I265" s="34"/>
      <c r="J265" s="34"/>
      <c r="K265" s="34"/>
      <c r="L265" s="34"/>
      <c r="M265" s="34"/>
      <c r="N265" s="34"/>
      <c r="O265" s="34"/>
      <c r="P265" s="34"/>
    </row>
    <row r="266" spans="1:16" ht="12.75">
      <c r="A266" s="34"/>
      <c r="B266" s="33"/>
      <c r="C266" s="34"/>
      <c r="D266" s="33"/>
      <c r="E266" s="34"/>
      <c r="F266" s="34"/>
      <c r="G266" s="34"/>
      <c r="H266" s="30"/>
      <c r="I266" s="34"/>
      <c r="J266" s="34"/>
      <c r="K266" s="34"/>
      <c r="L266" s="34"/>
      <c r="M266" s="34"/>
      <c r="N266" s="34"/>
      <c r="O266" s="34"/>
      <c r="P266" s="34"/>
    </row>
    <row r="267" spans="1:16" ht="12.75">
      <c r="A267" s="34"/>
      <c r="B267" s="33"/>
      <c r="C267" s="34"/>
      <c r="D267" s="33"/>
      <c r="E267" s="34"/>
      <c r="F267" s="34"/>
      <c r="G267" s="34"/>
      <c r="H267" s="30"/>
      <c r="I267" s="34"/>
      <c r="J267" s="34"/>
      <c r="K267" s="34"/>
      <c r="L267" s="34"/>
      <c r="M267" s="34"/>
      <c r="N267" s="34"/>
      <c r="O267" s="34"/>
      <c r="P267" s="34"/>
    </row>
    <row r="268" spans="1:16" ht="12.75">
      <c r="A268" s="34"/>
      <c r="B268" s="33"/>
      <c r="C268" s="34"/>
      <c r="D268" s="33"/>
      <c r="E268" s="34"/>
      <c r="F268" s="34"/>
      <c r="G268" s="34"/>
      <c r="H268" s="30"/>
      <c r="I268" s="34"/>
      <c r="J268" s="34"/>
      <c r="K268" s="34"/>
      <c r="L268" s="34"/>
      <c r="M268" s="34"/>
      <c r="N268" s="34"/>
      <c r="O268" s="34"/>
      <c r="P268" s="34"/>
    </row>
    <row r="269" spans="1:16" ht="12.75">
      <c r="A269" s="34"/>
      <c r="B269" s="33"/>
      <c r="C269" s="34"/>
      <c r="D269" s="33"/>
      <c r="E269" s="34"/>
      <c r="F269" s="34"/>
      <c r="G269" s="34"/>
      <c r="H269" s="30"/>
      <c r="I269" s="34"/>
      <c r="J269" s="34"/>
      <c r="K269" s="34"/>
      <c r="L269" s="34"/>
      <c r="M269" s="34"/>
      <c r="N269" s="34"/>
      <c r="O269" s="34"/>
      <c r="P269" s="34"/>
    </row>
    <row r="270" spans="1:16" ht="12.75">
      <c r="A270" s="34"/>
      <c r="B270" s="33"/>
      <c r="C270" s="34"/>
      <c r="D270" s="33"/>
      <c r="E270" s="34"/>
      <c r="F270" s="34"/>
      <c r="G270" s="34"/>
      <c r="H270" s="30"/>
      <c r="I270" s="34"/>
      <c r="J270" s="34"/>
      <c r="K270" s="34"/>
      <c r="L270" s="34"/>
      <c r="M270" s="34"/>
      <c r="N270" s="34"/>
      <c r="O270" s="34"/>
      <c r="P270" s="34"/>
    </row>
    <row r="271" spans="1:16" ht="12.75">
      <c r="A271" s="34"/>
      <c r="B271" s="33"/>
      <c r="C271" s="34"/>
      <c r="D271" s="33"/>
      <c r="E271" s="34"/>
      <c r="F271" s="34"/>
      <c r="G271" s="34"/>
      <c r="H271" s="30"/>
      <c r="I271" s="34"/>
      <c r="J271" s="34"/>
      <c r="K271" s="34"/>
      <c r="L271" s="34"/>
      <c r="M271" s="34"/>
      <c r="N271" s="34"/>
      <c r="O271" s="34"/>
      <c r="P271" s="34"/>
    </row>
    <row r="272" spans="1:16" ht="12.75">
      <c r="A272" s="34"/>
      <c r="B272" s="33"/>
      <c r="C272" s="34"/>
      <c r="D272" s="33"/>
      <c r="E272" s="34"/>
      <c r="F272" s="34"/>
      <c r="G272" s="34"/>
      <c r="H272" s="30"/>
      <c r="I272" s="34"/>
      <c r="J272" s="34"/>
      <c r="K272" s="34"/>
      <c r="L272" s="34"/>
      <c r="M272" s="34"/>
      <c r="N272" s="34"/>
      <c r="O272" s="34"/>
      <c r="P272" s="34"/>
    </row>
    <row r="273" spans="1:16" ht="12.75">
      <c r="A273" s="34"/>
      <c r="B273" s="33"/>
      <c r="C273" s="34"/>
      <c r="D273" s="33"/>
      <c r="E273" s="34"/>
      <c r="F273" s="34"/>
      <c r="G273" s="34"/>
      <c r="H273" s="30"/>
      <c r="I273" s="34"/>
      <c r="J273" s="34"/>
      <c r="K273" s="34"/>
      <c r="L273" s="34"/>
      <c r="M273" s="34"/>
      <c r="N273" s="34"/>
      <c r="O273" s="34"/>
      <c r="P273" s="34"/>
    </row>
    <row r="274" spans="1:16" ht="12.75">
      <c r="A274" s="34"/>
      <c r="B274" s="33"/>
      <c r="C274" s="34"/>
      <c r="D274" s="33"/>
      <c r="E274" s="34"/>
      <c r="F274" s="34"/>
      <c r="G274" s="34"/>
      <c r="H274" s="30"/>
      <c r="I274" s="34"/>
      <c r="J274" s="34"/>
      <c r="K274" s="34"/>
      <c r="L274" s="34"/>
      <c r="M274" s="34"/>
      <c r="N274" s="34"/>
      <c r="O274" s="34"/>
      <c r="P274" s="34"/>
    </row>
    <row r="275" spans="1:16" ht="12.75">
      <c r="A275" s="34"/>
      <c r="B275" s="33"/>
      <c r="C275" s="34"/>
      <c r="D275" s="33"/>
      <c r="E275" s="34"/>
      <c r="F275" s="34"/>
      <c r="G275" s="34"/>
      <c r="H275" s="30"/>
      <c r="I275" s="34"/>
      <c r="J275" s="34"/>
      <c r="K275" s="34"/>
      <c r="L275" s="34"/>
      <c r="M275" s="34"/>
      <c r="N275" s="34"/>
      <c r="O275" s="34"/>
      <c r="P275" s="34"/>
    </row>
    <row r="276" spans="1:16" ht="12.75">
      <c r="A276" s="34"/>
      <c r="B276" s="33"/>
      <c r="C276" s="34"/>
      <c r="D276" s="33"/>
      <c r="E276" s="34"/>
      <c r="F276" s="34"/>
      <c r="G276" s="34"/>
      <c r="H276" s="30"/>
      <c r="I276" s="34"/>
      <c r="J276" s="34"/>
      <c r="K276" s="34"/>
      <c r="L276" s="34"/>
      <c r="M276" s="34"/>
      <c r="N276" s="34"/>
      <c r="O276" s="34"/>
      <c r="P276" s="34"/>
    </row>
    <row r="277" spans="1:16" ht="12.75">
      <c r="A277" s="34"/>
      <c r="B277" s="33"/>
      <c r="C277" s="34"/>
      <c r="D277" s="33"/>
      <c r="E277" s="34"/>
      <c r="F277" s="34"/>
      <c r="G277" s="34"/>
      <c r="H277" s="30"/>
      <c r="I277" s="34"/>
      <c r="J277" s="34"/>
      <c r="K277" s="34"/>
      <c r="L277" s="34"/>
      <c r="M277" s="34"/>
      <c r="N277" s="34"/>
      <c r="O277" s="34"/>
      <c r="P277" s="34"/>
    </row>
    <row r="278" spans="1:16" ht="12.75">
      <c r="A278" s="34"/>
      <c r="B278" s="33"/>
      <c r="C278" s="34"/>
      <c r="D278" s="33"/>
      <c r="E278" s="34"/>
      <c r="F278" s="34"/>
      <c r="G278" s="34"/>
      <c r="H278" s="30"/>
      <c r="I278" s="34"/>
      <c r="J278" s="34"/>
      <c r="K278" s="34"/>
      <c r="L278" s="34"/>
      <c r="M278" s="34"/>
      <c r="N278" s="34"/>
      <c r="O278" s="34"/>
      <c r="P278" s="34"/>
    </row>
    <row r="279" spans="1:16" ht="12.75">
      <c r="A279" s="34"/>
      <c r="B279" s="33"/>
      <c r="C279" s="34"/>
      <c r="D279" s="33"/>
      <c r="E279" s="34"/>
      <c r="F279" s="34"/>
      <c r="G279" s="34"/>
      <c r="H279" s="30"/>
      <c r="I279" s="34"/>
      <c r="J279" s="34"/>
      <c r="K279" s="34"/>
      <c r="L279" s="34"/>
      <c r="M279" s="34"/>
      <c r="N279" s="34"/>
      <c r="O279" s="34"/>
      <c r="P279" s="34"/>
    </row>
    <row r="280" spans="1:16" ht="12.75">
      <c r="A280" s="34"/>
      <c r="B280" s="33"/>
      <c r="C280" s="34"/>
      <c r="D280" s="33"/>
      <c r="E280" s="34"/>
      <c r="F280" s="34"/>
      <c r="G280" s="34"/>
      <c r="H280" s="30"/>
      <c r="I280" s="34"/>
      <c r="J280" s="34"/>
      <c r="K280" s="34"/>
      <c r="L280" s="34"/>
      <c r="M280" s="34"/>
      <c r="N280" s="34"/>
      <c r="O280" s="34"/>
      <c r="P280" s="34"/>
    </row>
    <row r="281" spans="1:16" ht="12.75">
      <c r="A281" s="34"/>
      <c r="B281" s="33"/>
      <c r="C281" s="34"/>
      <c r="D281" s="33"/>
      <c r="E281" s="34"/>
      <c r="F281" s="34"/>
      <c r="G281" s="34"/>
      <c r="H281" s="30"/>
      <c r="I281" s="34"/>
      <c r="J281" s="34"/>
      <c r="K281" s="34"/>
      <c r="L281" s="34"/>
      <c r="M281" s="34"/>
      <c r="N281" s="34"/>
      <c r="O281" s="34"/>
      <c r="P281" s="34"/>
    </row>
    <row r="282" spans="1:16" ht="12.75">
      <c r="A282" s="34"/>
      <c r="B282" s="33"/>
      <c r="C282" s="34"/>
      <c r="D282" s="33"/>
      <c r="E282" s="34"/>
      <c r="F282" s="34"/>
      <c r="G282" s="34"/>
      <c r="H282" s="30"/>
      <c r="I282" s="34"/>
      <c r="J282" s="34"/>
      <c r="K282" s="34"/>
      <c r="L282" s="34"/>
      <c r="M282" s="34"/>
      <c r="N282" s="34"/>
      <c r="O282" s="34"/>
      <c r="P282" s="34"/>
    </row>
    <row r="283" spans="1:16" ht="12.75">
      <c r="A283" s="34"/>
      <c r="B283" s="33"/>
      <c r="C283" s="34"/>
      <c r="D283" s="33"/>
      <c r="E283" s="34"/>
      <c r="F283" s="34"/>
      <c r="G283" s="34"/>
      <c r="H283" s="30"/>
      <c r="I283" s="34"/>
      <c r="J283" s="34"/>
      <c r="K283" s="34"/>
      <c r="L283" s="34"/>
      <c r="M283" s="34"/>
      <c r="N283" s="34"/>
      <c r="O283" s="34"/>
      <c r="P283" s="34"/>
    </row>
    <row r="284" spans="1:16" ht="12.75">
      <c r="A284" s="34"/>
      <c r="B284" s="33"/>
      <c r="C284" s="34"/>
      <c r="D284" s="33"/>
      <c r="E284" s="34"/>
      <c r="F284" s="34"/>
      <c r="G284" s="34"/>
      <c r="H284" s="30"/>
      <c r="I284" s="34"/>
      <c r="J284" s="34"/>
      <c r="K284" s="34"/>
      <c r="L284" s="34"/>
      <c r="M284" s="34"/>
      <c r="N284" s="34"/>
      <c r="O284" s="34"/>
      <c r="P284" s="34"/>
    </row>
    <row r="285" spans="1:16" ht="12.75">
      <c r="A285" s="34"/>
      <c r="B285" s="33"/>
      <c r="C285" s="34"/>
      <c r="D285" s="33"/>
      <c r="E285" s="34"/>
      <c r="F285" s="34"/>
      <c r="G285" s="34"/>
      <c r="H285" s="30"/>
      <c r="I285" s="34"/>
      <c r="J285" s="34"/>
      <c r="K285" s="34"/>
      <c r="L285" s="34"/>
      <c r="M285" s="34"/>
      <c r="N285" s="34"/>
      <c r="O285" s="34"/>
      <c r="P285" s="34"/>
    </row>
    <row r="286" spans="1:16" ht="12.75">
      <c r="A286" s="34"/>
      <c r="B286" s="33"/>
      <c r="C286" s="34"/>
      <c r="D286" s="33"/>
      <c r="E286" s="34"/>
      <c r="F286" s="34"/>
      <c r="G286" s="34"/>
      <c r="H286" s="30"/>
      <c r="I286" s="34"/>
      <c r="J286" s="34"/>
      <c r="K286" s="34"/>
      <c r="L286" s="34"/>
      <c r="M286" s="34"/>
      <c r="N286" s="34"/>
      <c r="O286" s="34"/>
      <c r="P286" s="34"/>
    </row>
    <row r="287" spans="1:16" ht="12.75">
      <c r="A287" s="34"/>
      <c r="B287" s="33"/>
      <c r="C287" s="34"/>
      <c r="D287" s="33"/>
      <c r="E287" s="34"/>
      <c r="F287" s="34"/>
      <c r="G287" s="34"/>
      <c r="H287" s="30"/>
      <c r="I287" s="34"/>
      <c r="J287" s="34"/>
      <c r="K287" s="34"/>
      <c r="L287" s="34"/>
      <c r="M287" s="34"/>
      <c r="N287" s="34"/>
      <c r="O287" s="34"/>
      <c r="P287" s="34"/>
    </row>
    <row r="288" spans="1:16" ht="12.75">
      <c r="A288" s="34"/>
      <c r="B288" s="33"/>
      <c r="C288" s="34"/>
      <c r="D288" s="33"/>
      <c r="E288" s="34"/>
      <c r="F288" s="34"/>
      <c r="G288" s="34"/>
      <c r="H288" s="30"/>
      <c r="I288" s="34"/>
      <c r="J288" s="34"/>
      <c r="K288" s="34"/>
      <c r="L288" s="34"/>
      <c r="M288" s="34"/>
      <c r="N288" s="34"/>
      <c r="O288" s="34"/>
      <c r="P288" s="34"/>
    </row>
    <row r="289" spans="1:16" ht="12.75">
      <c r="A289" s="34"/>
      <c r="B289" s="33"/>
      <c r="C289" s="34"/>
      <c r="D289" s="33"/>
      <c r="E289" s="34"/>
      <c r="F289" s="34"/>
      <c r="G289" s="34"/>
      <c r="H289" s="30"/>
      <c r="I289" s="34"/>
      <c r="J289" s="34"/>
      <c r="K289" s="34"/>
      <c r="L289" s="34"/>
      <c r="M289" s="34"/>
      <c r="N289" s="34"/>
      <c r="O289" s="34"/>
      <c r="P289" s="34"/>
    </row>
    <row r="290" spans="1:16" ht="12.75">
      <c r="A290" s="34"/>
      <c r="B290" s="33"/>
      <c r="C290" s="34"/>
      <c r="D290" s="33"/>
      <c r="E290" s="34"/>
      <c r="F290" s="34"/>
      <c r="G290" s="34"/>
      <c r="H290" s="30"/>
      <c r="I290" s="34"/>
      <c r="J290" s="34"/>
      <c r="K290" s="34"/>
      <c r="L290" s="34"/>
      <c r="M290" s="34"/>
      <c r="N290" s="34"/>
      <c r="O290" s="34"/>
      <c r="P290" s="34"/>
    </row>
    <row r="291" spans="1:16" ht="12.75">
      <c r="A291" s="34"/>
      <c r="B291" s="33"/>
      <c r="C291" s="34"/>
      <c r="D291" s="33"/>
      <c r="E291" s="34"/>
      <c r="F291" s="34"/>
      <c r="G291" s="34"/>
      <c r="H291" s="30"/>
      <c r="I291" s="34"/>
      <c r="J291" s="34"/>
      <c r="K291" s="34"/>
      <c r="L291" s="34"/>
      <c r="M291" s="34"/>
      <c r="N291" s="34"/>
      <c r="O291" s="34"/>
      <c r="P291" s="34"/>
    </row>
    <row r="292" spans="1:16" ht="12.75">
      <c r="A292" s="34"/>
      <c r="B292" s="33"/>
      <c r="C292" s="34"/>
      <c r="D292" s="33"/>
      <c r="E292" s="34"/>
      <c r="F292" s="34"/>
      <c r="G292" s="34"/>
      <c r="H292" s="30"/>
      <c r="I292" s="34"/>
      <c r="J292" s="34"/>
      <c r="K292" s="34"/>
      <c r="L292" s="34"/>
      <c r="M292" s="34"/>
      <c r="N292" s="34"/>
      <c r="O292" s="34"/>
      <c r="P292" s="34"/>
    </row>
    <row r="293" spans="1:16" ht="12.75">
      <c r="A293" s="34"/>
      <c r="B293" s="33"/>
      <c r="C293" s="34"/>
      <c r="D293" s="33"/>
      <c r="E293" s="34"/>
      <c r="F293" s="34"/>
      <c r="G293" s="34"/>
      <c r="H293" s="30"/>
      <c r="I293" s="34"/>
      <c r="J293" s="34"/>
      <c r="K293" s="34"/>
      <c r="L293" s="34"/>
      <c r="M293" s="34"/>
      <c r="N293" s="34"/>
      <c r="O293" s="34"/>
      <c r="P293" s="34"/>
    </row>
    <row r="294" spans="1:16" ht="12.75">
      <c r="A294" s="34"/>
      <c r="B294" s="33"/>
      <c r="C294" s="34"/>
      <c r="D294" s="33"/>
      <c r="E294" s="34"/>
      <c r="F294" s="34"/>
      <c r="G294" s="34"/>
      <c r="H294" s="30"/>
      <c r="I294" s="34"/>
      <c r="J294" s="34"/>
      <c r="K294" s="34"/>
      <c r="L294" s="34"/>
      <c r="M294" s="34"/>
      <c r="N294" s="34"/>
      <c r="O294" s="34"/>
      <c r="P294" s="34"/>
    </row>
    <row r="295" spans="1:16" ht="12.75">
      <c r="A295" s="34"/>
      <c r="B295" s="33"/>
      <c r="C295" s="34"/>
      <c r="D295" s="33"/>
      <c r="E295" s="34"/>
      <c r="F295" s="34"/>
      <c r="G295" s="34"/>
      <c r="H295" s="30"/>
      <c r="I295" s="34"/>
      <c r="J295" s="34"/>
      <c r="K295" s="34"/>
      <c r="L295" s="34"/>
      <c r="M295" s="34"/>
      <c r="N295" s="34"/>
      <c r="O295" s="34"/>
      <c r="P295" s="34"/>
    </row>
    <row r="296" spans="1:16" ht="12.75">
      <c r="A296" s="34"/>
      <c r="B296" s="33"/>
      <c r="C296" s="34"/>
      <c r="D296" s="33"/>
      <c r="E296" s="34"/>
      <c r="F296" s="34"/>
      <c r="G296" s="34"/>
      <c r="H296" s="30"/>
      <c r="I296" s="34"/>
      <c r="J296" s="34"/>
      <c r="K296" s="34"/>
      <c r="L296" s="34"/>
      <c r="M296" s="34"/>
      <c r="N296" s="34"/>
      <c r="O296" s="34"/>
      <c r="P296" s="34"/>
    </row>
    <row r="297" spans="1:16" ht="12.75">
      <c r="A297" s="34"/>
      <c r="B297" s="33"/>
      <c r="C297" s="34"/>
      <c r="D297" s="33"/>
      <c r="E297" s="34"/>
      <c r="F297" s="34"/>
      <c r="G297" s="34"/>
      <c r="H297" s="30"/>
      <c r="I297" s="34"/>
      <c r="J297" s="34"/>
      <c r="K297" s="34"/>
      <c r="L297" s="34"/>
      <c r="M297" s="34"/>
      <c r="N297" s="34"/>
      <c r="O297" s="34"/>
      <c r="P297" s="34"/>
    </row>
    <row r="298" spans="1:16" ht="12.75">
      <c r="A298" s="34"/>
      <c r="B298" s="33"/>
      <c r="C298" s="34"/>
      <c r="D298" s="33"/>
      <c r="E298" s="34"/>
      <c r="F298" s="34"/>
      <c r="G298" s="34"/>
      <c r="H298" s="30"/>
      <c r="I298" s="34"/>
      <c r="J298" s="34"/>
      <c r="K298" s="34"/>
      <c r="L298" s="34"/>
      <c r="M298" s="34"/>
      <c r="N298" s="34"/>
      <c r="O298" s="34"/>
      <c r="P298" s="34"/>
    </row>
    <row r="299" spans="1:16" ht="12.75">
      <c r="A299" s="34"/>
      <c r="B299" s="33"/>
      <c r="C299" s="34"/>
      <c r="D299" s="33"/>
      <c r="E299" s="34"/>
      <c r="F299" s="34"/>
      <c r="G299" s="34"/>
      <c r="H299" s="30"/>
      <c r="I299" s="34"/>
      <c r="J299" s="34"/>
      <c r="K299" s="34"/>
      <c r="L299" s="34"/>
      <c r="M299" s="34"/>
      <c r="N299" s="34"/>
      <c r="O299" s="34"/>
      <c r="P299" s="34"/>
    </row>
    <row r="300" spans="1:16" ht="12.75">
      <c r="A300" s="34"/>
      <c r="B300" s="33"/>
      <c r="C300" s="34"/>
      <c r="D300" s="33"/>
      <c r="E300" s="34"/>
      <c r="F300" s="34"/>
      <c r="G300" s="34"/>
      <c r="H300" s="30"/>
      <c r="I300" s="34"/>
      <c r="J300" s="34"/>
      <c r="K300" s="34"/>
      <c r="L300" s="34"/>
      <c r="M300" s="34"/>
      <c r="N300" s="34"/>
      <c r="O300" s="34"/>
      <c r="P300" s="34"/>
    </row>
    <row r="301" spans="1:16" ht="12.75">
      <c r="A301" s="34"/>
      <c r="B301" s="33"/>
      <c r="C301" s="34"/>
      <c r="D301" s="33"/>
      <c r="E301" s="34"/>
      <c r="F301" s="34"/>
      <c r="G301" s="34"/>
      <c r="H301" s="30"/>
      <c r="I301" s="34"/>
      <c r="J301" s="34"/>
      <c r="K301" s="34"/>
      <c r="L301" s="34"/>
      <c r="M301" s="34"/>
      <c r="N301" s="34"/>
      <c r="O301" s="34"/>
      <c r="P301" s="34"/>
    </row>
    <row r="302" spans="1:16" ht="12.75">
      <c r="A302" s="34"/>
      <c r="B302" s="33"/>
      <c r="C302" s="34"/>
      <c r="D302" s="33"/>
      <c r="E302" s="34"/>
      <c r="F302" s="34"/>
      <c r="G302" s="34"/>
      <c r="H302" s="30"/>
      <c r="I302" s="34"/>
      <c r="J302" s="34"/>
      <c r="K302" s="34"/>
      <c r="L302" s="34"/>
      <c r="M302" s="34"/>
      <c r="N302" s="34"/>
      <c r="O302" s="34"/>
      <c r="P302" s="34"/>
    </row>
    <row r="303" spans="1:16" ht="12.75">
      <c r="A303" s="34"/>
      <c r="B303" s="33"/>
      <c r="C303" s="34"/>
      <c r="D303" s="33"/>
      <c r="E303" s="34"/>
      <c r="F303" s="34"/>
      <c r="G303" s="34"/>
      <c r="H303" s="30"/>
      <c r="I303" s="34"/>
      <c r="J303" s="34"/>
      <c r="K303" s="34"/>
      <c r="L303" s="34"/>
      <c r="M303" s="34"/>
      <c r="N303" s="34"/>
      <c r="O303" s="34"/>
      <c r="P303" s="34"/>
    </row>
    <row r="304" spans="1:16" ht="12.75">
      <c r="A304" s="34"/>
      <c r="B304" s="33"/>
      <c r="C304" s="34"/>
      <c r="D304" s="33"/>
      <c r="E304" s="34"/>
      <c r="F304" s="34"/>
      <c r="G304" s="34"/>
      <c r="H304" s="30"/>
      <c r="I304" s="34"/>
      <c r="J304" s="34"/>
      <c r="K304" s="34"/>
      <c r="L304" s="34"/>
      <c r="M304" s="34"/>
      <c r="N304" s="34"/>
      <c r="O304" s="34"/>
      <c r="P304" s="34"/>
    </row>
    <row r="305" spans="1:16" ht="12.75">
      <c r="A305" s="34"/>
      <c r="B305" s="33"/>
      <c r="C305" s="34"/>
      <c r="D305" s="33"/>
      <c r="E305" s="34"/>
      <c r="F305" s="34"/>
      <c r="G305" s="34"/>
      <c r="H305" s="30"/>
      <c r="I305" s="34"/>
      <c r="J305" s="34"/>
      <c r="K305" s="34"/>
      <c r="L305" s="34"/>
      <c r="M305" s="34"/>
      <c r="N305" s="34"/>
      <c r="O305" s="34"/>
      <c r="P305" s="34"/>
    </row>
    <row r="306" spans="1:16" ht="12.75">
      <c r="A306" s="34"/>
      <c r="B306" s="33"/>
      <c r="C306" s="34"/>
      <c r="D306" s="33"/>
      <c r="E306" s="34"/>
      <c r="F306" s="34"/>
      <c r="G306" s="34"/>
      <c r="H306" s="30"/>
      <c r="I306" s="34"/>
      <c r="J306" s="34"/>
      <c r="K306" s="34"/>
      <c r="L306" s="34"/>
      <c r="M306" s="34"/>
      <c r="N306" s="34"/>
      <c r="O306" s="34"/>
      <c r="P306" s="34"/>
    </row>
    <row r="307" spans="1:16" ht="12.75">
      <c r="A307" s="34"/>
      <c r="B307" s="33"/>
      <c r="C307" s="34"/>
      <c r="D307" s="33"/>
      <c r="E307" s="34"/>
      <c r="F307" s="34"/>
      <c r="G307" s="34"/>
      <c r="H307" s="30"/>
      <c r="I307" s="34"/>
      <c r="J307" s="34"/>
      <c r="K307" s="34"/>
      <c r="L307" s="34"/>
      <c r="M307" s="34"/>
      <c r="N307" s="34"/>
      <c r="O307" s="34"/>
      <c r="P307" s="34"/>
    </row>
    <row r="308" spans="1:16" ht="12.75">
      <c r="A308" s="34"/>
      <c r="B308" s="33"/>
      <c r="C308" s="34"/>
      <c r="D308" s="33"/>
      <c r="E308" s="34"/>
      <c r="F308" s="34"/>
      <c r="G308" s="34"/>
      <c r="H308" s="30"/>
      <c r="I308" s="34"/>
      <c r="J308" s="34"/>
      <c r="K308" s="34"/>
      <c r="L308" s="34"/>
      <c r="M308" s="34"/>
      <c r="N308" s="34"/>
      <c r="O308" s="34"/>
      <c r="P308" s="34"/>
    </row>
    <row r="309" spans="1:16" ht="12.75">
      <c r="A309" s="34"/>
      <c r="B309" s="33"/>
      <c r="C309" s="34"/>
      <c r="D309" s="33"/>
      <c r="E309" s="34"/>
      <c r="F309" s="34"/>
      <c r="G309" s="34"/>
      <c r="H309" s="30"/>
      <c r="I309" s="34"/>
      <c r="J309" s="34"/>
      <c r="K309" s="34"/>
      <c r="L309" s="34"/>
      <c r="M309" s="34"/>
      <c r="N309" s="34"/>
      <c r="O309" s="34"/>
      <c r="P309" s="34"/>
    </row>
    <row r="310" spans="1:16" ht="12.75">
      <c r="A310" s="34"/>
      <c r="B310" s="33"/>
      <c r="C310" s="34"/>
      <c r="D310" s="33"/>
      <c r="E310" s="34"/>
      <c r="F310" s="34"/>
      <c r="G310" s="34"/>
      <c r="H310" s="30"/>
      <c r="I310" s="34"/>
      <c r="J310" s="34"/>
      <c r="K310" s="34"/>
      <c r="L310" s="34"/>
      <c r="M310" s="34"/>
      <c r="N310" s="34"/>
      <c r="O310" s="34"/>
      <c r="P310" s="34"/>
    </row>
    <row r="311" spans="1:16" ht="12.75">
      <c r="A311" s="34"/>
      <c r="B311" s="33"/>
      <c r="C311" s="34"/>
      <c r="D311" s="33"/>
      <c r="E311" s="34"/>
      <c r="F311" s="34"/>
      <c r="G311" s="34"/>
      <c r="H311" s="30"/>
      <c r="I311" s="34"/>
      <c r="J311" s="34"/>
      <c r="K311" s="34"/>
      <c r="L311" s="34"/>
      <c r="M311" s="34"/>
      <c r="N311" s="34"/>
      <c r="O311" s="34"/>
      <c r="P311" s="34"/>
    </row>
    <row r="312" spans="1:16" ht="12.75">
      <c r="A312" s="34"/>
      <c r="B312" s="33"/>
      <c r="C312" s="34"/>
      <c r="D312" s="33"/>
      <c r="E312" s="34"/>
      <c r="F312" s="34"/>
      <c r="G312" s="34"/>
      <c r="H312" s="30"/>
      <c r="I312" s="34"/>
      <c r="J312" s="34"/>
      <c r="K312" s="34"/>
      <c r="L312" s="34"/>
      <c r="M312" s="34"/>
      <c r="N312" s="34"/>
      <c r="O312" s="34"/>
      <c r="P312" s="34"/>
    </row>
    <row r="313" spans="1:16" ht="12.75">
      <c r="A313" s="34"/>
      <c r="B313" s="33"/>
      <c r="C313" s="34"/>
      <c r="D313" s="33"/>
      <c r="E313" s="34"/>
      <c r="F313" s="34"/>
      <c r="G313" s="34"/>
      <c r="H313" s="30"/>
      <c r="I313" s="34"/>
      <c r="J313" s="34"/>
      <c r="K313" s="34"/>
      <c r="L313" s="34"/>
      <c r="M313" s="34"/>
      <c r="N313" s="34"/>
      <c r="O313" s="34"/>
      <c r="P313" s="34"/>
    </row>
    <row r="314" spans="1:16" ht="12.75">
      <c r="A314" s="34"/>
      <c r="B314" s="33"/>
      <c r="C314" s="34"/>
      <c r="D314" s="33"/>
      <c r="E314" s="34"/>
      <c r="F314" s="34"/>
      <c r="G314" s="34"/>
      <c r="H314" s="30"/>
      <c r="I314" s="34"/>
      <c r="J314" s="34"/>
      <c r="K314" s="34"/>
      <c r="L314" s="34"/>
      <c r="M314" s="34"/>
      <c r="N314" s="34"/>
      <c r="O314" s="34"/>
      <c r="P314" s="34"/>
    </row>
    <row r="315" spans="1:16" ht="12.75">
      <c r="A315" s="34"/>
      <c r="B315" s="33"/>
      <c r="C315" s="34"/>
      <c r="D315" s="33"/>
      <c r="E315" s="34"/>
      <c r="F315" s="34"/>
      <c r="G315" s="34"/>
      <c r="H315" s="30"/>
      <c r="I315" s="34"/>
      <c r="J315" s="34"/>
      <c r="K315" s="34"/>
      <c r="L315" s="34"/>
      <c r="M315" s="34"/>
      <c r="N315" s="34"/>
      <c r="O315" s="34"/>
      <c r="P315" s="34"/>
    </row>
    <row r="316" spans="1:16" ht="12.75">
      <c r="A316" s="34"/>
      <c r="B316" s="33"/>
      <c r="C316" s="34"/>
      <c r="D316" s="33"/>
      <c r="E316" s="34"/>
      <c r="F316" s="34"/>
      <c r="G316" s="34"/>
      <c r="H316" s="30"/>
      <c r="I316" s="34"/>
      <c r="J316" s="34"/>
      <c r="K316" s="34"/>
      <c r="L316" s="34"/>
      <c r="M316" s="34"/>
      <c r="N316" s="34"/>
      <c r="O316" s="34"/>
      <c r="P316" s="34"/>
    </row>
    <row r="317" spans="1:16" ht="12.75">
      <c r="A317" s="34"/>
      <c r="B317" s="33"/>
      <c r="C317" s="34"/>
      <c r="D317" s="33"/>
      <c r="E317" s="34"/>
      <c r="F317" s="34"/>
      <c r="G317" s="34"/>
      <c r="H317" s="30"/>
      <c r="I317" s="34"/>
      <c r="J317" s="34"/>
      <c r="K317" s="34"/>
      <c r="L317" s="34"/>
      <c r="M317" s="34"/>
      <c r="N317" s="34"/>
      <c r="O317" s="34"/>
      <c r="P317" s="34"/>
    </row>
    <row r="318" spans="1:16" ht="12.75">
      <c r="A318" s="34"/>
      <c r="B318" s="33"/>
      <c r="C318" s="34"/>
      <c r="D318" s="33"/>
      <c r="E318" s="34"/>
      <c r="F318" s="34"/>
      <c r="G318" s="34"/>
      <c r="H318" s="30"/>
      <c r="I318" s="34"/>
      <c r="J318" s="34"/>
      <c r="K318" s="34"/>
      <c r="L318" s="34"/>
      <c r="M318" s="34"/>
      <c r="N318" s="34"/>
      <c r="O318" s="34"/>
      <c r="P318" s="34"/>
    </row>
    <row r="319" spans="1:16" ht="12.75">
      <c r="A319" s="34"/>
      <c r="B319" s="33"/>
      <c r="C319" s="34"/>
      <c r="D319" s="33"/>
      <c r="E319" s="34"/>
      <c r="F319" s="34"/>
      <c r="G319" s="34"/>
      <c r="H319" s="30"/>
      <c r="I319" s="34"/>
      <c r="J319" s="34"/>
      <c r="K319" s="34"/>
      <c r="L319" s="34"/>
      <c r="M319" s="34"/>
      <c r="N319" s="34"/>
      <c r="O319" s="34"/>
      <c r="P319" s="34"/>
    </row>
    <row r="320" spans="1:16" ht="12.75">
      <c r="A320" s="34"/>
      <c r="B320" s="33"/>
      <c r="C320" s="34"/>
      <c r="D320" s="33"/>
      <c r="E320" s="34"/>
      <c r="F320" s="34"/>
      <c r="G320" s="34"/>
      <c r="H320" s="30"/>
      <c r="I320" s="34"/>
      <c r="J320" s="34"/>
      <c r="K320" s="34"/>
      <c r="L320" s="34"/>
      <c r="M320" s="34"/>
      <c r="N320" s="34"/>
      <c r="O320" s="34"/>
      <c r="P320" s="34"/>
    </row>
    <row r="321" spans="1:16" ht="12.75">
      <c r="A321" s="34"/>
      <c r="B321" s="33"/>
      <c r="C321" s="34"/>
      <c r="D321" s="33"/>
      <c r="E321" s="34"/>
      <c r="F321" s="34"/>
      <c r="G321" s="34"/>
      <c r="H321" s="30"/>
      <c r="I321" s="34"/>
      <c r="J321" s="34"/>
      <c r="K321" s="34"/>
      <c r="L321" s="34"/>
      <c r="M321" s="34"/>
      <c r="N321" s="34"/>
      <c r="O321" s="34"/>
      <c r="P321" s="34"/>
    </row>
    <row r="322" spans="1:16" ht="12.75">
      <c r="A322" s="34"/>
      <c r="B322" s="33"/>
      <c r="C322" s="34"/>
      <c r="D322" s="33"/>
      <c r="E322" s="34"/>
      <c r="F322" s="34"/>
      <c r="G322" s="34"/>
      <c r="H322" s="30"/>
      <c r="I322" s="34"/>
      <c r="J322" s="34"/>
      <c r="K322" s="34"/>
      <c r="L322" s="34"/>
      <c r="M322" s="34"/>
      <c r="N322" s="34"/>
      <c r="O322" s="34"/>
      <c r="P322" s="34"/>
    </row>
    <row r="323" spans="1:16" ht="12.75">
      <c r="A323" s="34"/>
      <c r="B323" s="33"/>
      <c r="C323" s="34"/>
      <c r="D323" s="33"/>
      <c r="E323" s="34"/>
      <c r="F323" s="34"/>
      <c r="G323" s="34"/>
      <c r="H323" s="30"/>
      <c r="I323" s="34"/>
      <c r="J323" s="34"/>
      <c r="K323" s="34"/>
      <c r="L323" s="34"/>
      <c r="M323" s="34"/>
      <c r="N323" s="34"/>
      <c r="O323" s="34"/>
      <c r="P323" s="34"/>
    </row>
    <row r="324" spans="1:16" ht="12.75">
      <c r="A324" s="34"/>
      <c r="B324" s="33"/>
      <c r="C324" s="34"/>
      <c r="D324" s="33"/>
      <c r="E324" s="34"/>
      <c r="F324" s="34"/>
      <c r="G324" s="34"/>
      <c r="H324" s="30"/>
      <c r="I324" s="34"/>
      <c r="J324" s="34"/>
      <c r="K324" s="34"/>
      <c r="L324" s="34"/>
      <c r="M324" s="34"/>
      <c r="N324" s="34"/>
      <c r="O324" s="34"/>
      <c r="P324" s="34"/>
    </row>
    <row r="325" spans="1:16" ht="12.75">
      <c r="A325" s="34"/>
      <c r="B325" s="33"/>
      <c r="C325" s="34"/>
      <c r="D325" s="33"/>
      <c r="E325" s="34"/>
      <c r="F325" s="34"/>
      <c r="G325" s="34"/>
      <c r="H325" s="30"/>
      <c r="I325" s="34"/>
      <c r="J325" s="34"/>
      <c r="K325" s="34"/>
      <c r="L325" s="34"/>
      <c r="M325" s="34"/>
      <c r="N325" s="34"/>
      <c r="O325" s="34"/>
      <c r="P325" s="34"/>
    </row>
    <row r="326" spans="1:16" ht="12.75">
      <c r="A326" s="34"/>
      <c r="B326" s="33"/>
      <c r="C326" s="34"/>
      <c r="D326" s="33"/>
      <c r="E326" s="34"/>
      <c r="F326" s="34"/>
      <c r="G326" s="34"/>
      <c r="H326" s="30"/>
      <c r="I326" s="34"/>
      <c r="J326" s="34"/>
      <c r="K326" s="34"/>
      <c r="L326" s="34"/>
      <c r="M326" s="34"/>
      <c r="N326" s="34"/>
      <c r="O326" s="34"/>
      <c r="P326" s="34"/>
    </row>
    <row r="327" spans="1:16" ht="12.75">
      <c r="A327" s="34"/>
      <c r="B327" s="33"/>
      <c r="C327" s="34"/>
      <c r="D327" s="33"/>
      <c r="E327" s="34"/>
      <c r="F327" s="34"/>
      <c r="G327" s="34"/>
      <c r="H327" s="30"/>
      <c r="I327" s="34"/>
      <c r="J327" s="34"/>
      <c r="K327" s="34"/>
      <c r="L327" s="34"/>
      <c r="M327" s="34"/>
      <c r="N327" s="34"/>
      <c r="O327" s="34"/>
      <c r="P327" s="34"/>
    </row>
    <row r="328" spans="1:16" ht="12.75">
      <c r="A328" s="34"/>
      <c r="B328" s="33"/>
      <c r="C328" s="34"/>
      <c r="D328" s="33"/>
      <c r="E328" s="34"/>
      <c r="F328" s="34"/>
      <c r="G328" s="34"/>
      <c r="H328" s="30"/>
      <c r="I328" s="34"/>
      <c r="J328" s="34"/>
      <c r="K328" s="34"/>
      <c r="L328" s="34"/>
      <c r="M328" s="34"/>
      <c r="N328" s="34"/>
      <c r="O328" s="34"/>
      <c r="P328" s="34"/>
    </row>
    <row r="329" spans="1:16" ht="12.75">
      <c r="A329" s="34"/>
      <c r="B329" s="33"/>
      <c r="C329" s="34"/>
      <c r="D329" s="33"/>
      <c r="E329" s="34"/>
      <c r="F329" s="34"/>
      <c r="G329" s="34"/>
      <c r="H329" s="30"/>
      <c r="I329" s="34"/>
      <c r="J329" s="34"/>
      <c r="K329" s="34"/>
      <c r="L329" s="34"/>
      <c r="M329" s="34"/>
      <c r="N329" s="34"/>
      <c r="O329" s="34"/>
      <c r="P329" s="34"/>
    </row>
    <row r="330" spans="1:16" ht="12.75">
      <c r="A330" s="34"/>
      <c r="B330" s="33"/>
      <c r="C330" s="34"/>
      <c r="D330" s="33"/>
      <c r="E330" s="34"/>
      <c r="F330" s="34"/>
      <c r="G330" s="34"/>
      <c r="H330" s="30"/>
      <c r="I330" s="34"/>
      <c r="J330" s="34"/>
      <c r="K330" s="34"/>
      <c r="L330" s="34"/>
      <c r="M330" s="34"/>
      <c r="N330" s="34"/>
      <c r="O330" s="34"/>
      <c r="P330" s="34"/>
    </row>
    <row r="331" spans="1:16" ht="12.75">
      <c r="A331" s="34"/>
      <c r="B331" s="33"/>
      <c r="C331" s="34"/>
      <c r="D331" s="33"/>
      <c r="E331" s="34"/>
      <c r="F331" s="34"/>
      <c r="G331" s="34"/>
      <c r="H331" s="30"/>
      <c r="I331" s="34"/>
      <c r="J331" s="34"/>
      <c r="K331" s="34"/>
      <c r="L331" s="34"/>
      <c r="M331" s="34"/>
      <c r="N331" s="34"/>
      <c r="O331" s="34"/>
      <c r="P331" s="34"/>
    </row>
    <row r="332" spans="1:16" ht="12.75">
      <c r="A332" s="34"/>
      <c r="B332" s="33"/>
      <c r="C332" s="34"/>
      <c r="D332" s="33"/>
      <c r="E332" s="34"/>
      <c r="F332" s="34"/>
      <c r="G332" s="34"/>
      <c r="H332" s="30"/>
      <c r="I332" s="34"/>
      <c r="J332" s="34"/>
      <c r="K332" s="34"/>
      <c r="L332" s="34"/>
      <c r="M332" s="34"/>
      <c r="N332" s="34"/>
      <c r="O332" s="34"/>
      <c r="P332" s="34"/>
    </row>
    <row r="333" spans="1:16" ht="12.75">
      <c r="A333" s="34"/>
      <c r="B333" s="33"/>
      <c r="C333" s="34"/>
      <c r="D333" s="33"/>
      <c r="E333" s="34"/>
      <c r="F333" s="34"/>
      <c r="G333" s="34"/>
      <c r="H333" s="30"/>
      <c r="I333" s="34"/>
      <c r="J333" s="34"/>
      <c r="K333" s="34"/>
      <c r="L333" s="34"/>
      <c r="M333" s="34"/>
      <c r="N333" s="34"/>
      <c r="O333" s="34"/>
      <c r="P333" s="34"/>
    </row>
    <row r="334" spans="1:16" ht="12.75">
      <c r="A334" s="34"/>
      <c r="B334" s="33"/>
      <c r="C334" s="34"/>
      <c r="D334" s="33"/>
      <c r="E334" s="34"/>
      <c r="F334" s="34"/>
      <c r="G334" s="34"/>
      <c r="H334" s="30"/>
      <c r="I334" s="34"/>
      <c r="J334" s="34"/>
      <c r="K334" s="34"/>
      <c r="L334" s="34"/>
      <c r="M334" s="34"/>
      <c r="N334" s="34"/>
      <c r="O334" s="34"/>
      <c r="P334" s="34"/>
    </row>
    <row r="335" spans="1:16" ht="12.75">
      <c r="A335" s="34"/>
      <c r="B335" s="33"/>
      <c r="C335" s="34"/>
      <c r="D335" s="33"/>
      <c r="E335" s="34"/>
      <c r="F335" s="34"/>
      <c r="G335" s="34"/>
      <c r="H335" s="30"/>
      <c r="I335" s="34"/>
      <c r="J335" s="34"/>
      <c r="K335" s="34"/>
      <c r="L335" s="34"/>
      <c r="M335" s="34"/>
      <c r="N335" s="34"/>
      <c r="O335" s="34"/>
      <c r="P335" s="34"/>
    </row>
    <row r="336" spans="1:16" ht="12.75">
      <c r="A336" s="34"/>
      <c r="B336" s="33"/>
      <c r="C336" s="34"/>
      <c r="D336" s="33"/>
      <c r="E336" s="34"/>
      <c r="F336" s="34"/>
      <c r="G336" s="34"/>
      <c r="H336" s="30"/>
      <c r="I336" s="34"/>
      <c r="J336" s="34"/>
      <c r="K336" s="34"/>
      <c r="L336" s="34"/>
      <c r="M336" s="34"/>
      <c r="N336" s="34"/>
      <c r="O336" s="34"/>
      <c r="P336" s="34"/>
    </row>
    <row r="337" spans="1:16" ht="12.75">
      <c r="A337" s="34"/>
      <c r="B337" s="33"/>
      <c r="C337" s="34"/>
      <c r="D337" s="33"/>
      <c r="E337" s="34"/>
      <c r="F337" s="34"/>
      <c r="G337" s="34"/>
      <c r="H337" s="30"/>
      <c r="I337" s="34"/>
      <c r="J337" s="34"/>
      <c r="K337" s="34"/>
      <c r="L337" s="34"/>
      <c r="M337" s="34"/>
      <c r="N337" s="34"/>
      <c r="O337" s="34"/>
      <c r="P337" s="34"/>
    </row>
    <row r="338" spans="1:16" ht="12.75">
      <c r="A338" s="34"/>
      <c r="B338" s="33"/>
      <c r="C338" s="34"/>
      <c r="D338" s="33"/>
      <c r="E338" s="34"/>
      <c r="F338" s="34"/>
      <c r="G338" s="34"/>
      <c r="H338" s="30"/>
      <c r="I338" s="34"/>
      <c r="J338" s="34"/>
      <c r="K338" s="34"/>
      <c r="L338" s="34"/>
      <c r="M338" s="34"/>
      <c r="N338" s="34"/>
      <c r="O338" s="34"/>
      <c r="P338" s="34"/>
    </row>
    <row r="339" spans="1:16" ht="12.75">
      <c r="A339" s="34"/>
      <c r="B339" s="33"/>
      <c r="C339" s="34"/>
      <c r="D339" s="33"/>
      <c r="E339" s="34"/>
      <c r="F339" s="34"/>
      <c r="G339" s="34"/>
      <c r="H339" s="30"/>
      <c r="I339" s="34"/>
      <c r="J339" s="34"/>
      <c r="K339" s="34"/>
      <c r="L339" s="34"/>
      <c r="M339" s="34"/>
      <c r="N339" s="34"/>
      <c r="O339" s="34"/>
      <c r="P339" s="34"/>
    </row>
    <row r="340" spans="1:16" ht="12.75">
      <c r="A340" s="34"/>
      <c r="B340" s="33"/>
      <c r="C340" s="34"/>
      <c r="D340" s="33"/>
      <c r="E340" s="34"/>
      <c r="F340" s="34"/>
      <c r="G340" s="34"/>
      <c r="H340" s="30"/>
      <c r="I340" s="34"/>
      <c r="J340" s="34"/>
      <c r="K340" s="34"/>
      <c r="L340" s="34"/>
      <c r="M340" s="34"/>
      <c r="N340" s="34"/>
      <c r="O340" s="34"/>
      <c r="P340" s="34"/>
    </row>
    <row r="341" spans="1:16" ht="12.75">
      <c r="A341" s="34"/>
      <c r="B341" s="33"/>
      <c r="C341" s="34"/>
      <c r="D341" s="33"/>
      <c r="E341" s="34"/>
      <c r="F341" s="34"/>
      <c r="G341" s="34"/>
      <c r="H341" s="30"/>
      <c r="I341" s="34"/>
      <c r="J341" s="34"/>
      <c r="K341" s="34"/>
      <c r="L341" s="34"/>
      <c r="M341" s="34"/>
      <c r="N341" s="34"/>
      <c r="O341" s="34"/>
      <c r="P341" s="34"/>
    </row>
    <row r="342" spans="1:16" ht="12.75">
      <c r="A342" s="34"/>
      <c r="B342" s="33"/>
      <c r="C342" s="34"/>
      <c r="D342" s="33"/>
      <c r="E342" s="34"/>
      <c r="F342" s="34"/>
      <c r="G342" s="34"/>
      <c r="H342" s="30"/>
      <c r="I342" s="34"/>
      <c r="J342" s="34"/>
      <c r="K342" s="34"/>
      <c r="L342" s="34"/>
      <c r="M342" s="34"/>
      <c r="N342" s="34"/>
      <c r="O342" s="34"/>
      <c r="P342" s="34"/>
    </row>
    <row r="343" spans="1:16" ht="12.75">
      <c r="A343" s="34"/>
      <c r="B343" s="33"/>
      <c r="C343" s="34"/>
      <c r="D343" s="33"/>
      <c r="E343" s="34"/>
      <c r="F343" s="34"/>
      <c r="G343" s="34"/>
      <c r="H343" s="30"/>
      <c r="I343" s="34"/>
      <c r="J343" s="34"/>
      <c r="K343" s="34"/>
      <c r="L343" s="34"/>
      <c r="M343" s="34"/>
      <c r="N343" s="34"/>
      <c r="O343" s="34"/>
      <c r="P343" s="34"/>
    </row>
    <row r="344" spans="1:16" ht="12.75">
      <c r="A344" s="34"/>
      <c r="B344" s="33"/>
      <c r="C344" s="34"/>
      <c r="D344" s="33"/>
      <c r="E344" s="34"/>
      <c r="F344" s="34"/>
      <c r="G344" s="34"/>
      <c r="H344" s="30"/>
      <c r="I344" s="34"/>
      <c r="J344" s="34"/>
      <c r="K344" s="34"/>
      <c r="L344" s="34"/>
      <c r="M344" s="34"/>
      <c r="N344" s="34"/>
      <c r="O344" s="34"/>
      <c r="P344" s="34"/>
    </row>
    <row r="345" spans="1:16" ht="12.75">
      <c r="A345" s="34"/>
      <c r="B345" s="33"/>
      <c r="C345" s="34"/>
      <c r="D345" s="33"/>
      <c r="E345" s="34"/>
      <c r="F345" s="34"/>
      <c r="G345" s="34"/>
      <c r="H345" s="30"/>
      <c r="I345" s="34"/>
      <c r="J345" s="34"/>
      <c r="K345" s="34"/>
      <c r="L345" s="34"/>
      <c r="M345" s="34"/>
      <c r="N345" s="34"/>
      <c r="O345" s="34"/>
      <c r="P345" s="34"/>
    </row>
    <row r="346" spans="1:16" ht="12.75">
      <c r="A346" s="34"/>
      <c r="B346" s="33"/>
      <c r="C346" s="34"/>
      <c r="D346" s="33"/>
      <c r="E346" s="34"/>
      <c r="F346" s="34"/>
      <c r="G346" s="34"/>
      <c r="H346" s="30"/>
      <c r="I346" s="34"/>
      <c r="J346" s="34"/>
      <c r="K346" s="34"/>
      <c r="L346" s="34"/>
      <c r="M346" s="34"/>
      <c r="N346" s="34"/>
      <c r="O346" s="34"/>
      <c r="P346" s="34"/>
    </row>
    <row r="347" spans="1:16" ht="12.75">
      <c r="A347" s="34"/>
      <c r="B347" s="33"/>
      <c r="C347" s="34"/>
      <c r="D347" s="33"/>
      <c r="E347" s="34"/>
      <c r="F347" s="34"/>
      <c r="G347" s="34"/>
      <c r="H347" s="30"/>
      <c r="I347" s="34"/>
      <c r="J347" s="34"/>
      <c r="K347" s="34"/>
      <c r="L347" s="34"/>
      <c r="M347" s="34"/>
      <c r="N347" s="34"/>
      <c r="O347" s="34"/>
      <c r="P347" s="34"/>
    </row>
    <row r="348" spans="1:16" ht="12.75">
      <c r="A348" s="34"/>
      <c r="B348" s="33"/>
      <c r="C348" s="34"/>
      <c r="D348" s="33"/>
      <c r="E348" s="34"/>
      <c r="F348" s="34"/>
      <c r="G348" s="34"/>
      <c r="H348" s="30"/>
      <c r="I348" s="34"/>
      <c r="J348" s="34"/>
      <c r="K348" s="34"/>
      <c r="L348" s="34"/>
      <c r="M348" s="34"/>
      <c r="N348" s="34"/>
      <c r="O348" s="34"/>
      <c r="P348" s="34"/>
    </row>
    <row r="349" spans="1:16" ht="12.75">
      <c r="A349" s="34"/>
      <c r="B349" s="33"/>
      <c r="C349" s="34"/>
      <c r="D349" s="33"/>
      <c r="E349" s="34"/>
      <c r="F349" s="34"/>
      <c r="G349" s="34"/>
      <c r="H349" s="30"/>
      <c r="I349" s="34"/>
      <c r="J349" s="34"/>
      <c r="K349" s="34"/>
      <c r="L349" s="34"/>
      <c r="M349" s="34"/>
      <c r="N349" s="34"/>
      <c r="O349" s="34"/>
      <c r="P349" s="34"/>
    </row>
    <row r="350" spans="1:16" ht="12.75">
      <c r="A350" s="34"/>
      <c r="B350" s="33"/>
      <c r="C350" s="34"/>
      <c r="D350" s="33"/>
      <c r="E350" s="34"/>
      <c r="F350" s="34"/>
      <c r="G350" s="34"/>
      <c r="H350" s="30"/>
      <c r="I350" s="34"/>
      <c r="J350" s="34"/>
      <c r="K350" s="34"/>
      <c r="L350" s="34"/>
      <c r="M350" s="34"/>
      <c r="N350" s="34"/>
      <c r="O350" s="34"/>
      <c r="P350" s="34"/>
    </row>
    <row r="351" spans="1:16" ht="12.75">
      <c r="A351" s="34"/>
      <c r="B351" s="33"/>
      <c r="C351" s="34"/>
      <c r="D351" s="33"/>
      <c r="E351" s="34"/>
      <c r="F351" s="34"/>
      <c r="G351" s="34"/>
      <c r="H351" s="30"/>
      <c r="I351" s="34"/>
      <c r="J351" s="34"/>
      <c r="K351" s="34"/>
      <c r="L351" s="34"/>
      <c r="M351" s="34"/>
      <c r="N351" s="34"/>
      <c r="O351" s="34"/>
      <c r="P351" s="34"/>
    </row>
    <row r="352" spans="1:16" ht="12.75">
      <c r="A352" s="34"/>
      <c r="B352" s="33"/>
      <c r="C352" s="34"/>
      <c r="D352" s="33"/>
      <c r="E352" s="34"/>
      <c r="F352" s="34"/>
      <c r="G352" s="34"/>
      <c r="H352" s="30"/>
      <c r="I352" s="34"/>
      <c r="J352" s="34"/>
      <c r="K352" s="34"/>
      <c r="L352" s="34"/>
      <c r="M352" s="34"/>
      <c r="N352" s="34"/>
      <c r="O352" s="34"/>
      <c r="P352" s="34"/>
    </row>
    <row r="353" spans="1:16" ht="12.75">
      <c r="A353" s="34"/>
      <c r="B353" s="33"/>
      <c r="C353" s="34"/>
      <c r="D353" s="33"/>
      <c r="E353" s="34"/>
      <c r="F353" s="34"/>
      <c r="G353" s="34"/>
      <c r="H353" s="30"/>
      <c r="I353" s="34"/>
      <c r="J353" s="34"/>
      <c r="K353" s="34"/>
      <c r="L353" s="34"/>
      <c r="M353" s="34"/>
      <c r="N353" s="34"/>
      <c r="O353" s="34"/>
      <c r="P353" s="34"/>
    </row>
    <row r="354" spans="1:16" ht="12.75">
      <c r="A354" s="34"/>
      <c r="B354" s="33"/>
      <c r="C354" s="34"/>
      <c r="D354" s="33"/>
      <c r="E354" s="34"/>
      <c r="F354" s="34"/>
      <c r="G354" s="34"/>
      <c r="H354" s="30"/>
      <c r="I354" s="34"/>
      <c r="J354" s="34"/>
      <c r="K354" s="34"/>
      <c r="L354" s="34"/>
      <c r="M354" s="34"/>
      <c r="N354" s="34"/>
      <c r="O354" s="34"/>
      <c r="P354" s="34"/>
    </row>
    <row r="355" spans="1:16" ht="12.75">
      <c r="A355" s="34"/>
      <c r="B355" s="33"/>
      <c r="C355" s="34"/>
      <c r="D355" s="33"/>
      <c r="E355" s="34"/>
      <c r="F355" s="34"/>
      <c r="G355" s="34"/>
      <c r="H355" s="30"/>
      <c r="I355" s="34"/>
      <c r="J355" s="34"/>
      <c r="K355" s="34"/>
      <c r="L355" s="34"/>
      <c r="M355" s="34"/>
      <c r="N355" s="34"/>
      <c r="O355" s="34"/>
      <c r="P355" s="34"/>
    </row>
    <row r="356" spans="1:16" ht="12.75">
      <c r="A356" s="34"/>
      <c r="B356" s="33"/>
      <c r="C356" s="34"/>
      <c r="D356" s="33"/>
      <c r="E356" s="34"/>
      <c r="F356" s="34"/>
      <c r="G356" s="34"/>
      <c r="H356" s="30"/>
      <c r="I356" s="34"/>
      <c r="J356" s="34"/>
      <c r="K356" s="34"/>
      <c r="L356" s="34"/>
      <c r="M356" s="34"/>
      <c r="N356" s="34"/>
      <c r="O356" s="34"/>
      <c r="P356" s="34"/>
    </row>
    <row r="357" spans="1:16" ht="12.75">
      <c r="A357" s="34"/>
      <c r="B357" s="33"/>
      <c r="C357" s="34"/>
      <c r="D357" s="33"/>
      <c r="E357" s="34"/>
      <c r="F357" s="34"/>
      <c r="G357" s="34"/>
      <c r="H357" s="30"/>
      <c r="I357" s="34"/>
      <c r="J357" s="34"/>
      <c r="K357" s="34"/>
      <c r="L357" s="34"/>
      <c r="M357" s="34"/>
      <c r="N357" s="34"/>
      <c r="O357" s="34"/>
      <c r="P357" s="34"/>
    </row>
    <row r="358" spans="1:16" ht="12.75">
      <c r="A358" s="34"/>
      <c r="B358" s="33"/>
      <c r="C358" s="34"/>
      <c r="D358" s="33"/>
      <c r="E358" s="34"/>
      <c r="F358" s="34"/>
      <c r="G358" s="34"/>
      <c r="H358" s="30"/>
      <c r="I358" s="34"/>
      <c r="J358" s="34"/>
      <c r="K358" s="34"/>
      <c r="L358" s="34"/>
      <c r="M358" s="34"/>
      <c r="N358" s="34"/>
      <c r="O358" s="34"/>
      <c r="P358" s="34"/>
    </row>
    <row r="359" spans="1:16" ht="12.75">
      <c r="A359" s="34"/>
      <c r="B359" s="33"/>
      <c r="C359" s="34"/>
      <c r="D359" s="33"/>
      <c r="E359" s="34"/>
      <c r="F359" s="34"/>
      <c r="G359" s="34"/>
      <c r="H359" s="30"/>
      <c r="I359" s="34"/>
      <c r="J359" s="34"/>
      <c r="K359" s="34"/>
      <c r="L359" s="34"/>
      <c r="M359" s="34"/>
      <c r="N359" s="34"/>
      <c r="O359" s="34"/>
      <c r="P359" s="34"/>
    </row>
    <row r="360" spans="1:16" ht="12.75">
      <c r="A360" s="34"/>
      <c r="B360" s="33"/>
      <c r="C360" s="34"/>
      <c r="D360" s="33"/>
      <c r="E360" s="34"/>
      <c r="F360" s="34"/>
      <c r="G360" s="34"/>
      <c r="H360" s="30"/>
      <c r="I360" s="34"/>
      <c r="J360" s="34"/>
      <c r="K360" s="34"/>
      <c r="L360" s="34"/>
      <c r="M360" s="34"/>
      <c r="N360" s="34"/>
      <c r="O360" s="34"/>
      <c r="P360" s="34"/>
    </row>
    <row r="361" spans="1:16" ht="12.75">
      <c r="A361" s="34"/>
      <c r="B361" s="33"/>
      <c r="C361" s="34"/>
      <c r="D361" s="33"/>
      <c r="E361" s="34"/>
      <c r="F361" s="34"/>
      <c r="G361" s="34"/>
      <c r="H361" s="30"/>
      <c r="I361" s="34"/>
      <c r="J361" s="34"/>
      <c r="K361" s="34"/>
      <c r="L361" s="34"/>
      <c r="M361" s="34"/>
      <c r="N361" s="34"/>
      <c r="O361" s="34"/>
      <c r="P361" s="34"/>
    </row>
    <row r="362" spans="1:16" ht="12.75">
      <c r="A362" s="34"/>
      <c r="B362" s="33"/>
      <c r="C362" s="34"/>
      <c r="D362" s="33"/>
      <c r="E362" s="34"/>
      <c r="F362" s="34"/>
      <c r="G362" s="34"/>
      <c r="H362" s="30"/>
      <c r="I362" s="34"/>
      <c r="J362" s="34"/>
      <c r="K362" s="34"/>
      <c r="L362" s="34"/>
      <c r="M362" s="34"/>
      <c r="N362" s="34"/>
      <c r="O362" s="34"/>
      <c r="P362" s="34"/>
    </row>
    <row r="363" spans="1:16" ht="12.75">
      <c r="A363" s="34"/>
      <c r="B363" s="33"/>
      <c r="C363" s="34"/>
      <c r="D363" s="33"/>
      <c r="E363" s="34"/>
      <c r="F363" s="34"/>
      <c r="G363" s="34"/>
      <c r="H363" s="30"/>
      <c r="I363" s="34"/>
      <c r="J363" s="34"/>
      <c r="K363" s="34"/>
      <c r="L363" s="34"/>
      <c r="M363" s="34"/>
      <c r="N363" s="34"/>
      <c r="O363" s="34"/>
      <c r="P363" s="34"/>
    </row>
    <row r="364" spans="1:16" ht="12.75">
      <c r="A364" s="34"/>
      <c r="B364" s="33"/>
      <c r="C364" s="34"/>
      <c r="D364" s="33"/>
      <c r="E364" s="34"/>
      <c r="F364" s="34"/>
      <c r="G364" s="34"/>
      <c r="H364" s="30"/>
      <c r="I364" s="34"/>
      <c r="J364" s="34"/>
      <c r="K364" s="34"/>
      <c r="L364" s="34"/>
      <c r="M364" s="34"/>
      <c r="N364" s="34"/>
      <c r="O364" s="34"/>
      <c r="P364" s="34"/>
    </row>
    <row r="365" spans="1:16" ht="12.75">
      <c r="A365" s="34"/>
      <c r="B365" s="33"/>
      <c r="C365" s="34"/>
      <c r="D365" s="33"/>
      <c r="E365" s="34"/>
      <c r="F365" s="34"/>
      <c r="G365" s="34"/>
      <c r="H365" s="30"/>
      <c r="I365" s="34"/>
      <c r="J365" s="34"/>
      <c r="K365" s="34"/>
      <c r="L365" s="34"/>
      <c r="M365" s="34"/>
      <c r="N365" s="34"/>
      <c r="O365" s="34"/>
      <c r="P365" s="34"/>
    </row>
    <row r="366" spans="1:16" ht="12.75">
      <c r="A366" s="34"/>
      <c r="B366" s="33"/>
      <c r="C366" s="34"/>
      <c r="D366" s="33"/>
      <c r="E366" s="34"/>
      <c r="F366" s="34"/>
      <c r="G366" s="34"/>
      <c r="H366" s="30"/>
      <c r="I366" s="34"/>
      <c r="J366" s="34"/>
      <c r="K366" s="34"/>
      <c r="L366" s="34"/>
      <c r="M366" s="34"/>
      <c r="N366" s="34"/>
      <c r="O366" s="34"/>
      <c r="P366" s="34"/>
    </row>
    <row r="367" spans="1:16" ht="12.75">
      <c r="A367" s="34"/>
      <c r="B367" s="33"/>
      <c r="C367" s="34"/>
      <c r="D367" s="33"/>
      <c r="E367" s="34"/>
      <c r="F367" s="34"/>
      <c r="G367" s="34"/>
      <c r="H367" s="30"/>
      <c r="I367" s="34"/>
      <c r="J367" s="34"/>
      <c r="K367" s="34"/>
      <c r="L367" s="34"/>
      <c r="M367" s="34"/>
      <c r="N367" s="34"/>
      <c r="O367" s="34"/>
      <c r="P367" s="34"/>
    </row>
    <row r="368" spans="1:16" ht="12.75">
      <c r="A368" s="34"/>
      <c r="B368" s="33"/>
      <c r="C368" s="34"/>
      <c r="D368" s="33"/>
      <c r="E368" s="34"/>
      <c r="F368" s="34"/>
      <c r="G368" s="34"/>
      <c r="H368" s="30"/>
      <c r="I368" s="34"/>
      <c r="J368" s="34"/>
      <c r="K368" s="34"/>
      <c r="L368" s="34"/>
      <c r="M368" s="34"/>
      <c r="N368" s="34"/>
      <c r="O368" s="34"/>
      <c r="P368" s="34"/>
    </row>
    <row r="369" spans="1:16" ht="12.75">
      <c r="A369" s="34"/>
      <c r="B369" s="33"/>
      <c r="C369" s="34"/>
      <c r="D369" s="33"/>
      <c r="E369" s="34"/>
      <c r="F369" s="34"/>
      <c r="G369" s="34"/>
      <c r="H369" s="30"/>
      <c r="I369" s="34"/>
      <c r="J369" s="34"/>
      <c r="K369" s="34"/>
      <c r="L369" s="34"/>
      <c r="M369" s="34"/>
      <c r="N369" s="34"/>
      <c r="O369" s="34"/>
      <c r="P369" s="34"/>
    </row>
    <row r="370" spans="1:16" ht="12.75">
      <c r="A370" s="34"/>
      <c r="B370" s="33"/>
      <c r="C370" s="34"/>
      <c r="D370" s="33"/>
      <c r="E370" s="34"/>
      <c r="F370" s="34"/>
      <c r="G370" s="34"/>
      <c r="H370" s="30"/>
      <c r="I370" s="34"/>
      <c r="J370" s="34"/>
      <c r="K370" s="34"/>
      <c r="L370" s="34"/>
      <c r="M370" s="34"/>
      <c r="N370" s="34"/>
      <c r="O370" s="34"/>
      <c r="P370" s="34"/>
    </row>
    <row r="371" spans="1:16" ht="12.75">
      <c r="A371" s="34"/>
      <c r="B371" s="33"/>
      <c r="C371" s="34"/>
      <c r="D371" s="33"/>
      <c r="E371" s="34"/>
      <c r="F371" s="34"/>
      <c r="G371" s="34"/>
      <c r="H371" s="30"/>
      <c r="I371" s="34"/>
      <c r="J371" s="34"/>
      <c r="K371" s="34"/>
      <c r="L371" s="34"/>
      <c r="M371" s="34"/>
      <c r="N371" s="34"/>
      <c r="O371" s="34"/>
      <c r="P371" s="34"/>
    </row>
    <row r="372" spans="1:16" ht="12.75">
      <c r="A372" s="34"/>
      <c r="B372" s="33"/>
      <c r="C372" s="34"/>
      <c r="D372" s="33"/>
      <c r="E372" s="34"/>
      <c r="F372" s="34"/>
      <c r="G372" s="34"/>
      <c r="H372" s="30"/>
      <c r="I372" s="34"/>
      <c r="J372" s="34"/>
      <c r="K372" s="34"/>
      <c r="L372" s="34"/>
      <c r="M372" s="34"/>
      <c r="N372" s="34"/>
      <c r="O372" s="34"/>
      <c r="P372" s="34"/>
    </row>
    <row r="373" spans="1:16" ht="12.75">
      <c r="A373" s="34"/>
      <c r="B373" s="33"/>
      <c r="C373" s="34"/>
      <c r="D373" s="33"/>
      <c r="E373" s="34"/>
      <c r="F373" s="34"/>
      <c r="G373" s="34"/>
      <c r="H373" s="30"/>
      <c r="I373" s="34"/>
      <c r="J373" s="34"/>
      <c r="K373" s="34"/>
      <c r="L373" s="34"/>
      <c r="M373" s="34"/>
      <c r="N373" s="34"/>
      <c r="O373" s="34"/>
      <c r="P373" s="34"/>
    </row>
    <row r="374" spans="1:16" ht="12.75">
      <c r="A374" s="34"/>
      <c r="B374" s="33"/>
      <c r="C374" s="34"/>
      <c r="D374" s="33"/>
      <c r="E374" s="34"/>
      <c r="F374" s="34"/>
      <c r="G374" s="34"/>
      <c r="H374" s="30"/>
      <c r="I374" s="34"/>
      <c r="J374" s="34"/>
      <c r="K374" s="34"/>
      <c r="L374" s="34"/>
      <c r="M374" s="34"/>
      <c r="N374" s="34"/>
      <c r="O374" s="34"/>
      <c r="P374" s="34"/>
    </row>
    <row r="375" spans="1:16" ht="12.75">
      <c r="A375" s="34"/>
      <c r="B375" s="33"/>
      <c r="C375" s="34"/>
      <c r="D375" s="33"/>
      <c r="E375" s="34"/>
      <c r="F375" s="34"/>
      <c r="G375" s="34"/>
      <c r="H375" s="30"/>
      <c r="I375" s="34"/>
      <c r="J375" s="34"/>
      <c r="K375" s="34"/>
      <c r="L375" s="34"/>
      <c r="M375" s="34"/>
      <c r="N375" s="34"/>
      <c r="O375" s="34"/>
      <c r="P375" s="34"/>
    </row>
    <row r="376" spans="1:16" ht="12.75">
      <c r="A376" s="34"/>
      <c r="B376" s="33"/>
      <c r="C376" s="34"/>
      <c r="D376" s="33"/>
      <c r="E376" s="34"/>
      <c r="F376" s="34"/>
      <c r="G376" s="34"/>
      <c r="H376" s="30"/>
      <c r="I376" s="34"/>
      <c r="J376" s="34"/>
      <c r="K376" s="34"/>
      <c r="L376" s="34"/>
      <c r="M376" s="34"/>
      <c r="N376" s="34"/>
      <c r="O376" s="34"/>
      <c r="P376" s="34"/>
    </row>
    <row r="377" spans="1:16" ht="12.75">
      <c r="A377" s="34"/>
      <c r="B377" s="33"/>
      <c r="C377" s="34"/>
      <c r="D377" s="33"/>
      <c r="E377" s="34"/>
      <c r="F377" s="34"/>
      <c r="G377" s="34"/>
      <c r="H377" s="30"/>
      <c r="I377" s="34"/>
      <c r="J377" s="34"/>
      <c r="K377" s="34"/>
      <c r="L377" s="34"/>
      <c r="M377" s="34"/>
      <c r="N377" s="34"/>
      <c r="O377" s="34"/>
      <c r="P377" s="34"/>
    </row>
    <row r="378" spans="1:16" ht="12.75">
      <c r="A378" s="34"/>
      <c r="B378" s="33"/>
      <c r="C378" s="34"/>
      <c r="D378" s="33"/>
      <c r="E378" s="34"/>
      <c r="F378" s="34"/>
      <c r="G378" s="34"/>
      <c r="H378" s="30"/>
      <c r="I378" s="34"/>
      <c r="J378" s="34"/>
      <c r="K378" s="34"/>
      <c r="L378" s="34"/>
      <c r="M378" s="34"/>
      <c r="N378" s="34"/>
      <c r="O378" s="34"/>
      <c r="P378" s="34"/>
    </row>
    <row r="379" spans="1:16" ht="12.75">
      <c r="A379" s="34"/>
      <c r="B379" s="33"/>
      <c r="C379" s="34"/>
      <c r="D379" s="33"/>
      <c r="E379" s="34"/>
      <c r="F379" s="34"/>
      <c r="G379" s="34"/>
      <c r="H379" s="30"/>
      <c r="I379" s="34"/>
      <c r="J379" s="34"/>
      <c r="K379" s="34"/>
      <c r="L379" s="34"/>
      <c r="M379" s="34"/>
      <c r="N379" s="34"/>
      <c r="O379" s="34"/>
      <c r="P379" s="34"/>
    </row>
    <row r="380" spans="1:16" ht="12.75">
      <c r="A380" s="34"/>
      <c r="B380" s="33"/>
      <c r="C380" s="34"/>
      <c r="D380" s="33"/>
      <c r="E380" s="34"/>
      <c r="F380" s="34"/>
      <c r="G380" s="34"/>
      <c r="H380" s="30"/>
      <c r="I380" s="34"/>
      <c r="J380" s="34"/>
      <c r="K380" s="34"/>
      <c r="L380" s="34"/>
      <c r="M380" s="34"/>
      <c r="N380" s="34"/>
      <c r="O380" s="34"/>
      <c r="P380" s="34"/>
    </row>
    <row r="381" spans="1:16" ht="12.75">
      <c r="A381" s="34"/>
      <c r="B381" s="33"/>
      <c r="C381" s="34"/>
      <c r="D381" s="33"/>
      <c r="E381" s="34"/>
      <c r="F381" s="34"/>
      <c r="G381" s="34"/>
      <c r="H381" s="30"/>
      <c r="I381" s="34"/>
      <c r="J381" s="34"/>
      <c r="K381" s="34"/>
      <c r="L381" s="34"/>
      <c r="M381" s="34"/>
      <c r="N381" s="34"/>
      <c r="O381" s="34"/>
      <c r="P381" s="34"/>
    </row>
    <row r="382" spans="1:16" ht="12.75">
      <c r="A382" s="34"/>
      <c r="B382" s="33"/>
      <c r="C382" s="34"/>
      <c r="D382" s="33"/>
      <c r="E382" s="34"/>
      <c r="F382" s="34"/>
      <c r="G382" s="34"/>
      <c r="H382" s="30"/>
      <c r="I382" s="34"/>
      <c r="J382" s="34"/>
      <c r="K382" s="34"/>
      <c r="L382" s="34"/>
      <c r="M382" s="34"/>
      <c r="N382" s="34"/>
      <c r="O382" s="34"/>
      <c r="P382" s="34"/>
    </row>
    <row r="383" spans="1:16" ht="12.75">
      <c r="A383" s="34"/>
      <c r="B383" s="33"/>
      <c r="C383" s="34"/>
      <c r="D383" s="33"/>
      <c r="E383" s="34"/>
      <c r="F383" s="34"/>
      <c r="G383" s="34"/>
      <c r="H383" s="30"/>
      <c r="I383" s="34"/>
      <c r="J383" s="34"/>
      <c r="K383" s="34"/>
      <c r="L383" s="34"/>
      <c r="M383" s="34"/>
      <c r="N383" s="34"/>
      <c r="O383" s="34"/>
      <c r="P383" s="34"/>
    </row>
    <row r="384" spans="1:16" ht="12.75">
      <c r="A384" s="34"/>
      <c r="B384" s="33"/>
      <c r="C384" s="34"/>
      <c r="D384" s="33"/>
      <c r="E384" s="34"/>
      <c r="F384" s="34"/>
      <c r="G384" s="34"/>
      <c r="H384" s="30"/>
      <c r="I384" s="34"/>
      <c r="J384" s="34"/>
      <c r="K384" s="34"/>
      <c r="L384" s="34"/>
      <c r="M384" s="34"/>
      <c r="N384" s="34"/>
      <c r="O384" s="34"/>
      <c r="P384" s="34"/>
    </row>
    <row r="385" spans="1:16" ht="12.75">
      <c r="A385" s="34"/>
      <c r="B385" s="33"/>
      <c r="C385" s="34"/>
      <c r="D385" s="33"/>
      <c r="E385" s="34"/>
      <c r="F385" s="34"/>
      <c r="G385" s="34"/>
      <c r="H385" s="30"/>
      <c r="I385" s="34"/>
      <c r="J385" s="34"/>
      <c r="K385" s="34"/>
      <c r="L385" s="34"/>
      <c r="M385" s="34"/>
      <c r="N385" s="34"/>
      <c r="O385" s="34"/>
      <c r="P385" s="34"/>
    </row>
    <row r="386" spans="1:16" ht="12.75">
      <c r="A386" s="34"/>
      <c r="B386" s="33"/>
      <c r="C386" s="34"/>
      <c r="D386" s="33"/>
      <c r="E386" s="34"/>
      <c r="F386" s="34"/>
      <c r="G386" s="34"/>
      <c r="H386" s="30"/>
      <c r="I386" s="34"/>
      <c r="J386" s="34"/>
      <c r="K386" s="34"/>
      <c r="L386" s="34"/>
      <c r="M386" s="34"/>
      <c r="N386" s="34"/>
      <c r="O386" s="34"/>
      <c r="P386" s="34"/>
    </row>
    <row r="387" spans="1:16" ht="12.75">
      <c r="A387" s="34"/>
      <c r="B387" s="33"/>
      <c r="C387" s="34"/>
      <c r="D387" s="33"/>
      <c r="E387" s="34"/>
      <c r="F387" s="34"/>
      <c r="G387" s="34"/>
      <c r="H387" s="30"/>
      <c r="I387" s="34"/>
      <c r="J387" s="34"/>
      <c r="K387" s="34"/>
      <c r="L387" s="34"/>
      <c r="M387" s="34"/>
      <c r="N387" s="34"/>
      <c r="O387" s="34"/>
      <c r="P387" s="34"/>
    </row>
    <row r="388" spans="1:16" ht="12.75">
      <c r="A388" s="34"/>
      <c r="B388" s="33"/>
      <c r="C388" s="34"/>
      <c r="D388" s="33"/>
      <c r="E388" s="34"/>
      <c r="F388" s="34"/>
      <c r="G388" s="34"/>
      <c r="H388" s="30"/>
      <c r="I388" s="34"/>
      <c r="J388" s="34"/>
      <c r="K388" s="34"/>
      <c r="L388" s="34"/>
      <c r="M388" s="34"/>
      <c r="N388" s="34"/>
      <c r="O388" s="34"/>
      <c r="P388" s="34"/>
    </row>
    <row r="389" spans="1:16" ht="12.75">
      <c r="A389" s="34"/>
      <c r="B389" s="33"/>
      <c r="C389" s="34"/>
      <c r="D389" s="33"/>
      <c r="E389" s="34"/>
      <c r="F389" s="34"/>
      <c r="G389" s="34"/>
      <c r="H389" s="30"/>
      <c r="I389" s="34"/>
      <c r="J389" s="34"/>
      <c r="K389" s="34"/>
      <c r="L389" s="34"/>
      <c r="M389" s="34"/>
      <c r="N389" s="34"/>
      <c r="O389" s="34"/>
      <c r="P389" s="34"/>
    </row>
    <row r="390" spans="1:16" ht="12.75">
      <c r="A390" s="34"/>
      <c r="B390" s="33"/>
      <c r="C390" s="34"/>
      <c r="D390" s="33"/>
      <c r="E390" s="34"/>
      <c r="F390" s="34"/>
      <c r="G390" s="34"/>
      <c r="H390" s="30"/>
      <c r="I390" s="34"/>
      <c r="J390" s="34"/>
      <c r="K390" s="34"/>
      <c r="L390" s="34"/>
      <c r="M390" s="34"/>
      <c r="N390" s="34"/>
      <c r="O390" s="34"/>
      <c r="P390" s="34"/>
    </row>
    <row r="391" spans="1:16" ht="12.75">
      <c r="A391" s="34"/>
      <c r="B391" s="33"/>
      <c r="C391" s="34"/>
      <c r="D391" s="33"/>
      <c r="E391" s="34"/>
      <c r="F391" s="34"/>
      <c r="G391" s="34"/>
      <c r="H391" s="30"/>
      <c r="I391" s="34"/>
      <c r="J391" s="34"/>
      <c r="K391" s="34"/>
      <c r="L391" s="34"/>
      <c r="M391" s="34"/>
      <c r="N391" s="34"/>
      <c r="O391" s="34"/>
      <c r="P391" s="34"/>
    </row>
    <row r="392" spans="1:16" ht="12.75">
      <c r="A392" s="34"/>
      <c r="B392" s="33"/>
      <c r="C392" s="34"/>
      <c r="D392" s="33"/>
      <c r="E392" s="34"/>
      <c r="F392" s="34"/>
      <c r="G392" s="34"/>
      <c r="H392" s="30"/>
      <c r="I392" s="34"/>
      <c r="J392" s="34"/>
      <c r="K392" s="34"/>
      <c r="L392" s="34"/>
      <c r="M392" s="34"/>
      <c r="N392" s="34"/>
      <c r="O392" s="34"/>
      <c r="P392" s="34"/>
    </row>
    <row r="393" spans="1:16" ht="12.75">
      <c r="A393" s="34"/>
      <c r="B393" s="33"/>
      <c r="C393" s="34"/>
      <c r="D393" s="33"/>
      <c r="E393" s="34"/>
      <c r="F393" s="34"/>
      <c r="G393" s="34"/>
      <c r="H393" s="30"/>
      <c r="I393" s="34"/>
      <c r="J393" s="34"/>
      <c r="K393" s="34"/>
      <c r="L393" s="34"/>
      <c r="M393" s="34"/>
      <c r="N393" s="34"/>
      <c r="O393" s="34"/>
      <c r="P393" s="34"/>
    </row>
    <row r="394" spans="1:16" ht="12.75">
      <c r="A394" s="34"/>
      <c r="B394" s="33"/>
      <c r="C394" s="34"/>
      <c r="D394" s="33"/>
      <c r="E394" s="34"/>
      <c r="F394" s="34"/>
      <c r="G394" s="34"/>
      <c r="H394" s="30"/>
      <c r="I394" s="34"/>
      <c r="J394" s="34"/>
      <c r="K394" s="34"/>
      <c r="L394" s="34"/>
      <c r="M394" s="34"/>
      <c r="N394" s="34"/>
      <c r="O394" s="34"/>
      <c r="P394" s="34"/>
    </row>
    <row r="395" spans="1:16" ht="12.75">
      <c r="A395" s="34"/>
      <c r="B395" s="33"/>
      <c r="C395" s="34"/>
      <c r="D395" s="33"/>
      <c r="E395" s="34"/>
      <c r="F395" s="34"/>
      <c r="G395" s="34"/>
      <c r="H395" s="30"/>
      <c r="I395" s="34"/>
      <c r="J395" s="34"/>
      <c r="K395" s="34"/>
      <c r="L395" s="34"/>
      <c r="M395" s="34"/>
      <c r="N395" s="34"/>
      <c r="O395" s="34"/>
      <c r="P395" s="34"/>
    </row>
    <row r="396" spans="1:16" ht="12.75">
      <c r="A396" s="34"/>
      <c r="B396" s="33"/>
      <c r="C396" s="34"/>
      <c r="D396" s="33"/>
      <c r="E396" s="34"/>
      <c r="F396" s="34"/>
      <c r="G396" s="34"/>
      <c r="H396" s="30"/>
      <c r="I396" s="34"/>
      <c r="J396" s="34"/>
      <c r="K396" s="34"/>
      <c r="L396" s="34"/>
      <c r="M396" s="34"/>
      <c r="N396" s="34"/>
      <c r="O396" s="34"/>
      <c r="P396" s="34"/>
    </row>
    <row r="397" spans="1:16" ht="12.75">
      <c r="A397" s="34"/>
      <c r="B397" s="33"/>
      <c r="C397" s="34"/>
      <c r="D397" s="33"/>
      <c r="E397" s="34"/>
      <c r="F397" s="34"/>
      <c r="G397" s="34"/>
      <c r="H397" s="30"/>
      <c r="I397" s="34"/>
      <c r="J397" s="34"/>
      <c r="K397" s="34"/>
      <c r="L397" s="34"/>
      <c r="M397" s="34"/>
      <c r="N397" s="34"/>
      <c r="O397" s="34"/>
      <c r="P397" s="34"/>
    </row>
    <row r="398" spans="1:16" ht="12.75">
      <c r="A398" s="34"/>
      <c r="B398" s="33"/>
      <c r="C398" s="34"/>
      <c r="D398" s="33"/>
      <c r="E398" s="34"/>
      <c r="F398" s="34"/>
      <c r="G398" s="34"/>
      <c r="H398" s="30"/>
      <c r="I398" s="34"/>
      <c r="J398" s="34"/>
      <c r="K398" s="34"/>
      <c r="L398" s="34"/>
      <c r="M398" s="34"/>
      <c r="N398" s="34"/>
      <c r="O398" s="34"/>
      <c r="P398" s="34"/>
    </row>
    <row r="399" spans="1:16" ht="12.75">
      <c r="A399" s="34"/>
      <c r="B399" s="33"/>
      <c r="C399" s="34"/>
      <c r="D399" s="33"/>
      <c r="E399" s="34"/>
      <c r="F399" s="34"/>
      <c r="G399" s="34"/>
      <c r="H399" s="30"/>
      <c r="I399" s="34"/>
      <c r="J399" s="34"/>
      <c r="K399" s="34"/>
      <c r="L399" s="34"/>
      <c r="M399" s="34"/>
      <c r="N399" s="34"/>
      <c r="O399" s="34"/>
      <c r="P399" s="34"/>
    </row>
    <row r="400" spans="1:16" ht="12.75">
      <c r="A400" s="34"/>
      <c r="B400" s="33"/>
      <c r="C400" s="34"/>
      <c r="D400" s="33"/>
      <c r="E400" s="34"/>
      <c r="F400" s="34"/>
      <c r="G400" s="34"/>
      <c r="H400" s="30"/>
      <c r="I400" s="34"/>
      <c r="J400" s="34"/>
      <c r="K400" s="34"/>
      <c r="L400" s="34"/>
      <c r="M400" s="34"/>
      <c r="N400" s="34"/>
      <c r="O400" s="34"/>
      <c r="P400" s="34"/>
    </row>
    <row r="401" spans="1:16" ht="12.75">
      <c r="A401" s="34"/>
      <c r="B401" s="33"/>
      <c r="C401" s="34"/>
      <c r="D401" s="33"/>
      <c r="E401" s="34"/>
      <c r="F401" s="34"/>
      <c r="G401" s="34"/>
      <c r="H401" s="30"/>
      <c r="I401" s="34"/>
      <c r="J401" s="34"/>
      <c r="K401" s="34"/>
      <c r="L401" s="34"/>
      <c r="M401" s="34"/>
      <c r="N401" s="34"/>
      <c r="O401" s="34"/>
      <c r="P401" s="34"/>
    </row>
    <row r="402" spans="1:16" ht="12.75">
      <c r="A402" s="34"/>
      <c r="B402" s="33"/>
      <c r="C402" s="34"/>
      <c r="D402" s="33"/>
      <c r="E402" s="34"/>
      <c r="F402" s="34"/>
      <c r="G402" s="34"/>
      <c r="H402" s="30"/>
      <c r="I402" s="34"/>
      <c r="J402" s="34"/>
      <c r="K402" s="34"/>
      <c r="L402" s="34"/>
      <c r="M402" s="34"/>
      <c r="N402" s="34"/>
      <c r="O402" s="34"/>
      <c r="P402" s="34"/>
    </row>
    <row r="403" spans="1:16" ht="12.75">
      <c r="A403" s="34"/>
      <c r="B403" s="33"/>
      <c r="C403" s="34"/>
      <c r="D403" s="33"/>
      <c r="E403" s="34"/>
      <c r="F403" s="34"/>
      <c r="G403" s="34"/>
      <c r="H403" s="30"/>
      <c r="I403" s="34"/>
      <c r="J403" s="34"/>
      <c r="K403" s="34"/>
      <c r="L403" s="34"/>
      <c r="M403" s="34"/>
      <c r="N403" s="34"/>
      <c r="O403" s="34"/>
      <c r="P403" s="34"/>
    </row>
    <row r="404" spans="1:16" ht="12.75">
      <c r="A404" s="34"/>
      <c r="B404" s="33"/>
      <c r="C404" s="34"/>
      <c r="D404" s="33"/>
      <c r="E404" s="34"/>
      <c r="F404" s="34"/>
      <c r="G404" s="34"/>
      <c r="H404" s="30"/>
      <c r="I404" s="34"/>
      <c r="J404" s="34"/>
      <c r="K404" s="34"/>
      <c r="L404" s="34"/>
      <c r="M404" s="34"/>
      <c r="N404" s="34"/>
      <c r="O404" s="34"/>
      <c r="P404" s="34"/>
    </row>
    <row r="405" spans="1:16" ht="12.75">
      <c r="A405" s="34"/>
      <c r="B405" s="33"/>
      <c r="C405" s="34"/>
      <c r="D405" s="33"/>
      <c r="E405" s="34"/>
      <c r="F405" s="34"/>
      <c r="G405" s="34"/>
      <c r="H405" s="30"/>
      <c r="I405" s="34"/>
      <c r="J405" s="34"/>
      <c r="K405" s="34"/>
      <c r="L405" s="34"/>
      <c r="M405" s="34"/>
      <c r="N405" s="34"/>
      <c r="O405" s="34"/>
      <c r="P405" s="34"/>
    </row>
    <row r="406" spans="1:16" ht="12.75">
      <c r="A406" s="34"/>
      <c r="B406" s="33"/>
      <c r="C406" s="34"/>
      <c r="D406" s="33"/>
      <c r="E406" s="34"/>
      <c r="F406" s="34"/>
      <c r="G406" s="34"/>
      <c r="H406" s="30"/>
      <c r="I406" s="34"/>
      <c r="J406" s="34"/>
      <c r="K406" s="34"/>
      <c r="L406" s="34"/>
      <c r="M406" s="34"/>
      <c r="N406" s="34"/>
      <c r="O406" s="34"/>
      <c r="P406" s="34"/>
    </row>
    <row r="407" spans="1:16" ht="12.75">
      <c r="A407" s="34"/>
      <c r="B407" s="33"/>
      <c r="C407" s="34"/>
      <c r="D407" s="33"/>
      <c r="E407" s="34"/>
      <c r="F407" s="34"/>
      <c r="G407" s="34"/>
      <c r="H407" s="30"/>
      <c r="I407" s="34"/>
      <c r="J407" s="34"/>
      <c r="K407" s="34"/>
      <c r="L407" s="34"/>
      <c r="M407" s="34"/>
      <c r="N407" s="34"/>
      <c r="O407" s="34"/>
      <c r="P407" s="34"/>
    </row>
    <row r="408" spans="1:16" ht="12.75">
      <c r="A408" s="34"/>
      <c r="B408" s="33"/>
      <c r="C408" s="34"/>
      <c r="D408" s="33"/>
      <c r="E408" s="34"/>
      <c r="F408" s="34"/>
      <c r="G408" s="34"/>
      <c r="H408" s="30"/>
      <c r="I408" s="34"/>
      <c r="J408" s="34"/>
      <c r="K408" s="34"/>
      <c r="L408" s="34"/>
      <c r="M408" s="34"/>
      <c r="N408" s="34"/>
      <c r="O408" s="34"/>
      <c r="P408" s="34"/>
    </row>
    <row r="409" spans="1:16" ht="12.75">
      <c r="A409" s="34"/>
      <c r="B409" s="33"/>
      <c r="C409" s="34"/>
      <c r="D409" s="33"/>
      <c r="E409" s="34"/>
      <c r="F409" s="34"/>
      <c r="G409" s="34"/>
      <c r="H409" s="30"/>
      <c r="I409" s="34"/>
      <c r="J409" s="34"/>
      <c r="K409" s="34"/>
      <c r="L409" s="34"/>
      <c r="M409" s="34"/>
      <c r="N409" s="34"/>
      <c r="O409" s="34"/>
      <c r="P409" s="34"/>
    </row>
    <row r="410" spans="1:16" ht="12.75">
      <c r="A410" s="34"/>
      <c r="B410" s="33"/>
      <c r="C410" s="34"/>
      <c r="D410" s="33"/>
      <c r="E410" s="34"/>
      <c r="F410" s="34"/>
      <c r="G410" s="34"/>
      <c r="H410" s="30"/>
      <c r="I410" s="34"/>
      <c r="J410" s="34"/>
      <c r="K410" s="34"/>
      <c r="L410" s="34"/>
      <c r="M410" s="34"/>
      <c r="N410" s="34"/>
      <c r="O410" s="34"/>
      <c r="P410" s="34"/>
    </row>
    <row r="411" spans="1:16" ht="12.75">
      <c r="A411" s="34"/>
      <c r="B411" s="33"/>
      <c r="C411" s="34"/>
      <c r="D411" s="33"/>
      <c r="E411" s="34"/>
      <c r="F411" s="34"/>
      <c r="G411" s="34"/>
      <c r="H411" s="30"/>
      <c r="I411" s="34"/>
      <c r="J411" s="34"/>
      <c r="K411" s="34"/>
      <c r="L411" s="34"/>
      <c r="M411" s="34"/>
      <c r="N411" s="34"/>
      <c r="O411" s="34"/>
      <c r="P411" s="34"/>
    </row>
    <row r="412" spans="1:16" ht="12.75">
      <c r="A412" s="34"/>
      <c r="B412" s="33"/>
      <c r="C412" s="34"/>
      <c r="D412" s="33"/>
      <c r="E412" s="34"/>
      <c r="F412" s="34"/>
      <c r="G412" s="34"/>
      <c r="H412" s="30"/>
      <c r="I412" s="34"/>
      <c r="J412" s="34"/>
      <c r="K412" s="34"/>
      <c r="L412" s="34"/>
      <c r="M412" s="34"/>
      <c r="N412" s="34"/>
      <c r="O412" s="34"/>
      <c r="P412" s="34"/>
    </row>
    <row r="413" spans="1:16" ht="12.75">
      <c r="A413" s="34"/>
      <c r="B413" s="33"/>
      <c r="C413" s="34"/>
      <c r="D413" s="33"/>
      <c r="E413" s="34"/>
      <c r="F413" s="34"/>
      <c r="G413" s="34"/>
      <c r="H413" s="30"/>
      <c r="I413" s="34"/>
      <c r="J413" s="34"/>
      <c r="K413" s="34"/>
      <c r="L413" s="34"/>
      <c r="M413" s="34"/>
      <c r="N413" s="34"/>
      <c r="O413" s="34"/>
      <c r="P413" s="34"/>
    </row>
    <row r="414" spans="1:16" ht="12.75">
      <c r="A414" s="34"/>
      <c r="B414" s="33"/>
      <c r="C414" s="34"/>
      <c r="D414" s="33"/>
      <c r="E414" s="34"/>
      <c r="F414" s="34"/>
      <c r="G414" s="34"/>
      <c r="H414" s="30"/>
      <c r="I414" s="34"/>
      <c r="J414" s="34"/>
      <c r="K414" s="34"/>
      <c r="L414" s="34"/>
      <c r="M414" s="34"/>
      <c r="N414" s="34"/>
      <c r="O414" s="34"/>
      <c r="P414" s="34"/>
    </row>
    <row r="415" spans="1:16" ht="12.75">
      <c r="A415" s="34"/>
      <c r="B415" s="33"/>
      <c r="C415" s="34"/>
      <c r="D415" s="33"/>
      <c r="E415" s="34"/>
      <c r="F415" s="34"/>
      <c r="G415" s="34"/>
      <c r="H415" s="30"/>
      <c r="I415" s="34"/>
      <c r="J415" s="34"/>
      <c r="K415" s="34"/>
      <c r="L415" s="34"/>
      <c r="M415" s="34"/>
      <c r="N415" s="34"/>
      <c r="O415" s="34"/>
      <c r="P415" s="34"/>
    </row>
    <row r="416" spans="1:16" ht="12.75">
      <c r="A416" s="34"/>
      <c r="B416" s="33"/>
      <c r="C416" s="34"/>
      <c r="D416" s="33"/>
      <c r="E416" s="34"/>
      <c r="F416" s="34"/>
      <c r="G416" s="34"/>
      <c r="H416" s="30"/>
      <c r="I416" s="34"/>
      <c r="J416" s="34"/>
      <c r="K416" s="34"/>
      <c r="L416" s="34"/>
      <c r="M416" s="34"/>
      <c r="N416" s="34"/>
      <c r="O416" s="34"/>
      <c r="P416" s="34"/>
    </row>
    <row r="417" spans="1:16" ht="12.75">
      <c r="A417" s="34"/>
      <c r="B417" s="33"/>
      <c r="C417" s="34"/>
      <c r="D417" s="33"/>
      <c r="E417" s="34"/>
      <c r="F417" s="34"/>
      <c r="G417" s="34"/>
      <c r="H417" s="30"/>
      <c r="I417" s="34"/>
      <c r="J417" s="34"/>
      <c r="K417" s="34"/>
      <c r="L417" s="34"/>
      <c r="M417" s="34"/>
      <c r="N417" s="34"/>
      <c r="O417" s="34"/>
      <c r="P417" s="34"/>
    </row>
    <row r="418" spans="1:16" ht="12.75">
      <c r="A418" s="34"/>
      <c r="B418" s="33"/>
      <c r="C418" s="34"/>
      <c r="D418" s="33"/>
      <c r="E418" s="34"/>
      <c r="F418" s="34"/>
      <c r="G418" s="34"/>
      <c r="H418" s="30"/>
      <c r="I418" s="34"/>
      <c r="J418" s="34"/>
      <c r="K418" s="34"/>
      <c r="L418" s="34"/>
      <c r="M418" s="34"/>
      <c r="N418" s="34"/>
      <c r="O418" s="34"/>
      <c r="P418" s="34"/>
    </row>
    <row r="419" spans="1:16" ht="12.75">
      <c r="A419" s="34"/>
      <c r="B419" s="33"/>
      <c r="C419" s="34"/>
      <c r="D419" s="33"/>
      <c r="E419" s="34"/>
      <c r="F419" s="34"/>
      <c r="G419" s="34"/>
      <c r="H419" s="30"/>
      <c r="I419" s="34"/>
      <c r="J419" s="34"/>
      <c r="K419" s="34"/>
      <c r="L419" s="34"/>
      <c r="M419" s="34"/>
      <c r="N419" s="34"/>
      <c r="O419" s="34"/>
      <c r="P419" s="34"/>
    </row>
    <row r="420" spans="1:16" ht="12.75">
      <c r="A420" s="34"/>
      <c r="B420" s="33"/>
      <c r="C420" s="34"/>
      <c r="D420" s="33"/>
      <c r="E420" s="34"/>
      <c r="F420" s="34"/>
      <c r="G420" s="34"/>
      <c r="H420" s="30"/>
      <c r="I420" s="34"/>
      <c r="J420" s="34"/>
      <c r="K420" s="34"/>
      <c r="L420" s="34"/>
      <c r="M420" s="34"/>
      <c r="N420" s="34"/>
      <c r="O420" s="34"/>
      <c r="P420" s="34"/>
    </row>
    <row r="421" spans="1:16" ht="12.75">
      <c r="A421" s="34"/>
      <c r="B421" s="33"/>
      <c r="C421" s="34"/>
      <c r="D421" s="33"/>
      <c r="E421" s="34"/>
      <c r="F421" s="34"/>
      <c r="G421" s="34"/>
      <c r="H421" s="30"/>
      <c r="I421" s="34"/>
      <c r="J421" s="34"/>
      <c r="K421" s="34"/>
      <c r="L421" s="34"/>
      <c r="M421" s="34"/>
      <c r="N421" s="34"/>
      <c r="O421" s="34"/>
      <c r="P421" s="34"/>
    </row>
    <row r="422" spans="1:16" ht="12.75">
      <c r="A422" s="34"/>
      <c r="B422" s="33"/>
      <c r="C422" s="34"/>
      <c r="D422" s="33"/>
      <c r="E422" s="34"/>
      <c r="F422" s="34"/>
      <c r="G422" s="34"/>
      <c r="H422" s="30"/>
      <c r="I422" s="34"/>
      <c r="J422" s="34"/>
      <c r="K422" s="34"/>
      <c r="L422" s="34"/>
      <c r="M422" s="34"/>
      <c r="N422" s="34"/>
      <c r="O422" s="34"/>
      <c r="P422" s="34"/>
    </row>
    <row r="423" spans="1:16" ht="12.75">
      <c r="A423" s="34"/>
      <c r="B423" s="33"/>
      <c r="C423" s="34"/>
      <c r="D423" s="33"/>
      <c r="E423" s="34"/>
      <c r="F423" s="34"/>
      <c r="G423" s="34"/>
      <c r="H423" s="30"/>
      <c r="I423" s="34"/>
      <c r="J423" s="34"/>
      <c r="K423" s="34"/>
      <c r="L423" s="34"/>
      <c r="M423" s="34"/>
      <c r="N423" s="34"/>
      <c r="O423" s="34"/>
      <c r="P423" s="34"/>
    </row>
    <row r="424" spans="1:16" ht="12.75">
      <c r="A424" s="34"/>
      <c r="B424" s="33"/>
      <c r="C424" s="34"/>
      <c r="D424" s="33"/>
      <c r="E424" s="34"/>
      <c r="F424" s="34"/>
      <c r="G424" s="34"/>
      <c r="H424" s="30"/>
      <c r="I424" s="34"/>
      <c r="J424" s="34"/>
      <c r="K424" s="34"/>
      <c r="L424" s="34"/>
      <c r="M424" s="34"/>
      <c r="N424" s="34"/>
      <c r="O424" s="34"/>
      <c r="P424" s="34"/>
    </row>
    <row r="425" spans="1:16" ht="12.75">
      <c r="A425" s="34"/>
      <c r="B425" s="33"/>
      <c r="C425" s="34"/>
      <c r="D425" s="33"/>
      <c r="E425" s="34"/>
      <c r="F425" s="34"/>
      <c r="G425" s="34"/>
      <c r="H425" s="30"/>
      <c r="I425" s="34"/>
      <c r="J425" s="34"/>
      <c r="K425" s="34"/>
      <c r="L425" s="34"/>
      <c r="M425" s="34"/>
      <c r="N425" s="34"/>
      <c r="O425" s="34"/>
      <c r="P425" s="34"/>
    </row>
    <row r="426" spans="1:16" ht="12.75">
      <c r="A426" s="34"/>
      <c r="B426" s="33"/>
      <c r="C426" s="34"/>
      <c r="D426" s="33"/>
      <c r="E426" s="34"/>
      <c r="F426" s="34"/>
      <c r="G426" s="34"/>
      <c r="H426" s="30"/>
      <c r="I426" s="34"/>
      <c r="J426" s="34"/>
      <c r="K426" s="34"/>
      <c r="L426" s="34"/>
      <c r="M426" s="34"/>
      <c r="N426" s="34"/>
      <c r="O426" s="34"/>
      <c r="P426" s="34"/>
    </row>
    <row r="427" spans="1:16" ht="12.75">
      <c r="A427" s="34"/>
      <c r="B427" s="33"/>
      <c r="C427" s="34"/>
      <c r="D427" s="33"/>
      <c r="E427" s="34"/>
      <c r="F427" s="34"/>
      <c r="G427" s="34"/>
      <c r="H427" s="30"/>
      <c r="I427" s="34"/>
      <c r="J427" s="34"/>
      <c r="K427" s="34"/>
      <c r="L427" s="34"/>
      <c r="M427" s="34"/>
      <c r="N427" s="34"/>
      <c r="O427" s="34"/>
      <c r="P427" s="34"/>
    </row>
    <row r="428" spans="1:16" ht="12.75">
      <c r="A428" s="34"/>
      <c r="B428" s="33"/>
      <c r="C428" s="34"/>
      <c r="D428" s="33"/>
      <c r="E428" s="34"/>
      <c r="F428" s="34"/>
      <c r="G428" s="34"/>
      <c r="H428" s="30"/>
      <c r="I428" s="34"/>
      <c r="J428" s="34"/>
      <c r="K428" s="34"/>
      <c r="L428" s="34"/>
      <c r="M428" s="34"/>
      <c r="N428" s="34"/>
      <c r="O428" s="34"/>
      <c r="P428" s="34"/>
    </row>
    <row r="429" spans="1:16" ht="12.75">
      <c r="A429" s="34"/>
      <c r="B429" s="33"/>
      <c r="C429" s="34"/>
      <c r="D429" s="33"/>
      <c r="E429" s="34"/>
      <c r="F429" s="34"/>
      <c r="G429" s="34"/>
      <c r="H429" s="30"/>
      <c r="I429" s="34"/>
      <c r="J429" s="34"/>
      <c r="K429" s="34"/>
      <c r="L429" s="34"/>
      <c r="M429" s="34"/>
      <c r="N429" s="34"/>
      <c r="O429" s="34"/>
      <c r="P429" s="34"/>
    </row>
    <row r="430" spans="1:16" ht="12.75">
      <c r="A430" s="34"/>
      <c r="B430" s="33"/>
      <c r="C430" s="34"/>
      <c r="D430" s="33"/>
      <c r="E430" s="34"/>
      <c r="F430" s="34"/>
      <c r="G430" s="34"/>
      <c r="H430" s="30"/>
      <c r="I430" s="34"/>
      <c r="J430" s="34"/>
      <c r="K430" s="34"/>
      <c r="L430" s="34"/>
      <c r="M430" s="34"/>
      <c r="N430" s="34"/>
      <c r="O430" s="34"/>
      <c r="P430" s="34"/>
    </row>
    <row r="431" spans="1:16" ht="12.75">
      <c r="A431" s="34"/>
      <c r="B431" s="33"/>
      <c r="C431" s="34"/>
      <c r="D431" s="33"/>
      <c r="E431" s="34"/>
      <c r="F431" s="34"/>
      <c r="G431" s="34"/>
      <c r="H431" s="30"/>
      <c r="I431" s="34"/>
      <c r="J431" s="34"/>
      <c r="K431" s="34"/>
      <c r="L431" s="34"/>
      <c r="M431" s="34"/>
      <c r="N431" s="34"/>
      <c r="O431" s="34"/>
      <c r="P431" s="34"/>
    </row>
    <row r="432" spans="1:16" ht="12.75">
      <c r="A432" s="34"/>
      <c r="B432" s="33"/>
      <c r="C432" s="34"/>
      <c r="D432" s="33"/>
      <c r="E432" s="34"/>
      <c r="F432" s="34"/>
      <c r="G432" s="34"/>
      <c r="H432" s="30"/>
      <c r="I432" s="34"/>
      <c r="J432" s="34"/>
      <c r="K432" s="34"/>
      <c r="L432" s="34"/>
      <c r="M432" s="34"/>
      <c r="N432" s="34"/>
      <c r="O432" s="34"/>
      <c r="P432" s="34"/>
    </row>
    <row r="433" spans="1:16" ht="12.75">
      <c r="A433" s="34"/>
      <c r="B433" s="33"/>
      <c r="C433" s="34"/>
      <c r="D433" s="33"/>
      <c r="E433" s="34"/>
      <c r="F433" s="34"/>
      <c r="G433" s="34"/>
      <c r="H433" s="30"/>
      <c r="I433" s="34"/>
      <c r="J433" s="34"/>
      <c r="K433" s="34"/>
      <c r="L433" s="34"/>
      <c r="M433" s="34"/>
      <c r="N433" s="34"/>
      <c r="O433" s="34"/>
      <c r="P433" s="34"/>
    </row>
    <row r="434" spans="1:16" ht="12.75">
      <c r="A434" s="34"/>
      <c r="B434" s="33"/>
      <c r="C434" s="34"/>
      <c r="D434" s="33"/>
      <c r="E434" s="34"/>
      <c r="F434" s="34"/>
      <c r="G434" s="34"/>
      <c r="H434" s="30"/>
      <c r="I434" s="34"/>
      <c r="J434" s="34"/>
      <c r="K434" s="34"/>
      <c r="L434" s="34"/>
      <c r="M434" s="34"/>
      <c r="N434" s="34"/>
      <c r="O434" s="34"/>
      <c r="P434" s="34"/>
    </row>
    <row r="435" spans="1:16" ht="12.75">
      <c r="A435" s="34"/>
      <c r="B435" s="33"/>
      <c r="C435" s="34"/>
      <c r="D435" s="33"/>
      <c r="E435" s="34"/>
      <c r="F435" s="34"/>
      <c r="G435" s="34"/>
      <c r="H435" s="30"/>
      <c r="I435" s="34"/>
      <c r="J435" s="34"/>
      <c r="K435" s="34"/>
      <c r="L435" s="34"/>
      <c r="M435" s="34"/>
      <c r="N435" s="34"/>
      <c r="O435" s="34"/>
      <c r="P435" s="34"/>
    </row>
    <row r="436" spans="1:16" ht="12.75">
      <c r="A436" s="34"/>
      <c r="B436" s="33"/>
      <c r="C436" s="34"/>
      <c r="D436" s="33"/>
      <c r="E436" s="34"/>
      <c r="F436" s="34"/>
      <c r="G436" s="34"/>
      <c r="H436" s="30"/>
      <c r="I436" s="34"/>
      <c r="J436" s="34"/>
      <c r="K436" s="34"/>
      <c r="L436" s="34"/>
      <c r="M436" s="34"/>
      <c r="N436" s="34"/>
      <c r="O436" s="34"/>
      <c r="P436" s="34"/>
    </row>
    <row r="437" spans="1:16" ht="12.75">
      <c r="A437" s="34"/>
      <c r="B437" s="33"/>
      <c r="C437" s="34"/>
      <c r="D437" s="33"/>
      <c r="E437" s="34"/>
      <c r="F437" s="34"/>
      <c r="G437" s="34"/>
      <c r="H437" s="30"/>
      <c r="I437" s="34"/>
      <c r="J437" s="34"/>
      <c r="K437" s="34"/>
      <c r="L437" s="34"/>
      <c r="M437" s="34"/>
      <c r="N437" s="34"/>
      <c r="O437" s="34"/>
      <c r="P437" s="34"/>
    </row>
    <row r="438" spans="1:16" ht="12.75">
      <c r="A438" s="34"/>
      <c r="B438" s="33"/>
      <c r="C438" s="34"/>
      <c r="D438" s="33"/>
      <c r="E438" s="34"/>
      <c r="F438" s="34"/>
      <c r="G438" s="34"/>
      <c r="H438" s="30"/>
      <c r="I438" s="34"/>
      <c r="J438" s="34"/>
      <c r="K438" s="34"/>
      <c r="L438" s="34"/>
      <c r="M438" s="34"/>
      <c r="N438" s="34"/>
      <c r="O438" s="34"/>
      <c r="P438" s="34"/>
    </row>
    <row r="439" spans="1:16" ht="12.75">
      <c r="A439" s="34"/>
      <c r="B439" s="33"/>
      <c r="C439" s="34"/>
      <c r="D439" s="33"/>
      <c r="E439" s="34"/>
      <c r="F439" s="34"/>
      <c r="G439" s="34"/>
      <c r="H439" s="30"/>
      <c r="I439" s="34"/>
      <c r="J439" s="34"/>
      <c r="K439" s="34"/>
      <c r="L439" s="34"/>
      <c r="M439" s="34"/>
      <c r="N439" s="34"/>
      <c r="O439" s="34"/>
      <c r="P439" s="34"/>
    </row>
    <row r="440" spans="1:16" ht="12.75">
      <c r="A440" s="34"/>
      <c r="B440" s="33"/>
      <c r="C440" s="34"/>
      <c r="D440" s="33"/>
      <c r="E440" s="34"/>
      <c r="F440" s="34"/>
      <c r="G440" s="34"/>
      <c r="H440" s="30"/>
      <c r="I440" s="34"/>
      <c r="J440" s="34"/>
      <c r="K440" s="34"/>
      <c r="L440" s="34"/>
      <c r="M440" s="34"/>
      <c r="N440" s="34"/>
      <c r="O440" s="34"/>
      <c r="P440" s="34"/>
    </row>
    <row r="441" spans="1:16" ht="12.75">
      <c r="A441" s="34"/>
      <c r="B441" s="33"/>
      <c r="C441" s="34"/>
      <c r="D441" s="33"/>
      <c r="E441" s="34"/>
      <c r="F441" s="34"/>
      <c r="G441" s="34"/>
      <c r="H441" s="30"/>
      <c r="I441" s="34"/>
      <c r="J441" s="34"/>
      <c r="K441" s="34"/>
      <c r="L441" s="34"/>
      <c r="M441" s="34"/>
      <c r="N441" s="34"/>
      <c r="O441" s="34"/>
      <c r="P441" s="34"/>
    </row>
    <row r="442" spans="1:16" ht="12.75">
      <c r="A442" s="34"/>
      <c r="B442" s="33"/>
      <c r="C442" s="34"/>
      <c r="D442" s="33"/>
      <c r="E442" s="34"/>
      <c r="F442" s="34"/>
      <c r="G442" s="34"/>
      <c r="H442" s="30"/>
      <c r="I442" s="34"/>
      <c r="J442" s="34"/>
      <c r="K442" s="34"/>
      <c r="L442" s="34"/>
      <c r="M442" s="34"/>
      <c r="N442" s="34"/>
      <c r="O442" s="34"/>
      <c r="P442" s="34"/>
    </row>
    <row r="443" spans="1:16" ht="12.75">
      <c r="A443" s="34"/>
      <c r="B443" s="33"/>
      <c r="C443" s="34"/>
      <c r="D443" s="33"/>
      <c r="E443" s="34"/>
      <c r="F443" s="34"/>
      <c r="G443" s="34"/>
      <c r="H443" s="30"/>
      <c r="I443" s="34"/>
      <c r="J443" s="34"/>
      <c r="K443" s="34"/>
      <c r="L443" s="34"/>
      <c r="M443" s="34"/>
      <c r="N443" s="34"/>
      <c r="O443" s="34"/>
      <c r="P443" s="34"/>
    </row>
    <row r="444" spans="1:16" ht="12.75">
      <c r="A444" s="34"/>
      <c r="B444" s="33"/>
      <c r="C444" s="34"/>
      <c r="D444" s="33"/>
      <c r="E444" s="34"/>
      <c r="F444" s="34"/>
      <c r="G444" s="34"/>
      <c r="H444" s="30"/>
      <c r="I444" s="34"/>
      <c r="J444" s="34"/>
      <c r="K444" s="34"/>
      <c r="L444" s="34"/>
      <c r="M444" s="34"/>
      <c r="N444" s="34"/>
      <c r="O444" s="34"/>
      <c r="P444" s="34"/>
    </row>
    <row r="445" spans="1:16" ht="12.75">
      <c r="A445" s="34"/>
      <c r="B445" s="33"/>
      <c r="C445" s="34"/>
      <c r="D445" s="33"/>
      <c r="E445" s="34"/>
      <c r="F445" s="34"/>
      <c r="G445" s="34"/>
      <c r="H445" s="30"/>
      <c r="I445" s="34"/>
      <c r="J445" s="34"/>
      <c r="K445" s="34"/>
      <c r="L445" s="34"/>
      <c r="M445" s="34"/>
      <c r="N445" s="34"/>
      <c r="O445" s="34"/>
      <c r="P445" s="34"/>
    </row>
    <row r="446" spans="1:16" ht="12.75">
      <c r="A446" s="34"/>
      <c r="B446" s="33"/>
      <c r="C446" s="34"/>
      <c r="D446" s="33"/>
      <c r="E446" s="34"/>
      <c r="F446" s="34"/>
      <c r="G446" s="34"/>
      <c r="H446" s="30"/>
      <c r="I446" s="34"/>
      <c r="J446" s="34"/>
      <c r="K446" s="34"/>
      <c r="L446" s="34"/>
      <c r="M446" s="34"/>
      <c r="N446" s="34"/>
      <c r="O446" s="34"/>
      <c r="P446" s="34"/>
    </row>
    <row r="447" spans="1:16" ht="12.75">
      <c r="A447" s="34"/>
      <c r="B447" s="33"/>
      <c r="C447" s="34"/>
      <c r="D447" s="33"/>
      <c r="E447" s="34"/>
      <c r="F447" s="34"/>
      <c r="G447" s="34"/>
      <c r="H447" s="30"/>
      <c r="I447" s="34"/>
      <c r="J447" s="34"/>
      <c r="K447" s="34"/>
      <c r="L447" s="34"/>
      <c r="M447" s="34"/>
      <c r="N447" s="34"/>
      <c r="O447" s="34"/>
      <c r="P447" s="34"/>
    </row>
    <row r="448" spans="1:16" ht="12.75">
      <c r="A448" s="34"/>
      <c r="B448" s="33"/>
      <c r="C448" s="34"/>
      <c r="D448" s="33"/>
      <c r="E448" s="34"/>
      <c r="F448" s="34"/>
      <c r="G448" s="34"/>
      <c r="H448" s="30"/>
      <c r="I448" s="34"/>
      <c r="J448" s="34"/>
      <c r="K448" s="34"/>
      <c r="L448" s="34"/>
      <c r="M448" s="34"/>
      <c r="N448" s="34"/>
      <c r="O448" s="34"/>
      <c r="P448" s="34"/>
    </row>
    <row r="449" spans="1:16" ht="12.75">
      <c r="A449" s="34"/>
      <c r="B449" s="33"/>
      <c r="C449" s="34"/>
      <c r="D449" s="33"/>
      <c r="E449" s="34"/>
      <c r="F449" s="34"/>
      <c r="G449" s="34"/>
      <c r="H449" s="30"/>
      <c r="I449" s="34"/>
      <c r="J449" s="34"/>
      <c r="K449" s="34"/>
      <c r="L449" s="34"/>
      <c r="M449" s="34"/>
      <c r="N449" s="34"/>
      <c r="O449" s="34"/>
      <c r="P449" s="34"/>
    </row>
    <row r="450" spans="1:16" ht="12.75">
      <c r="A450" s="34"/>
      <c r="B450" s="33"/>
      <c r="C450" s="34"/>
      <c r="D450" s="33"/>
      <c r="E450" s="34"/>
      <c r="F450" s="34"/>
      <c r="G450" s="34"/>
      <c r="H450" s="30"/>
      <c r="I450" s="34"/>
      <c r="J450" s="34"/>
      <c r="K450" s="34"/>
      <c r="L450" s="34"/>
      <c r="M450" s="34"/>
      <c r="N450" s="34"/>
      <c r="O450" s="34"/>
      <c r="P450" s="34"/>
    </row>
    <row r="451" spans="1:16" ht="12.75">
      <c r="A451" s="34"/>
      <c r="B451" s="33"/>
      <c r="C451" s="34"/>
      <c r="D451" s="33"/>
      <c r="E451" s="34"/>
      <c r="F451" s="34"/>
      <c r="G451" s="34"/>
      <c r="H451" s="30"/>
      <c r="I451" s="34"/>
      <c r="J451" s="34"/>
      <c r="K451" s="34"/>
      <c r="L451" s="34"/>
      <c r="M451" s="34"/>
      <c r="N451" s="34"/>
      <c r="O451" s="34"/>
      <c r="P451" s="34"/>
    </row>
    <row r="452" spans="1:16" ht="12.75">
      <c r="A452" s="34"/>
      <c r="B452" s="33"/>
      <c r="C452" s="34"/>
      <c r="D452" s="33"/>
      <c r="E452" s="34"/>
      <c r="F452" s="34"/>
      <c r="G452" s="34"/>
      <c r="H452" s="30"/>
      <c r="I452" s="34"/>
      <c r="J452" s="34"/>
      <c r="K452" s="34"/>
      <c r="L452" s="34"/>
      <c r="M452" s="34"/>
      <c r="N452" s="34"/>
      <c r="O452" s="34"/>
      <c r="P452" s="34"/>
    </row>
    <row r="453" spans="1:16" ht="12.75">
      <c r="A453" s="34"/>
      <c r="B453" s="33"/>
      <c r="C453" s="34"/>
      <c r="D453" s="33"/>
      <c r="E453" s="34"/>
      <c r="F453" s="34"/>
      <c r="G453" s="34"/>
      <c r="H453" s="30"/>
      <c r="I453" s="34"/>
      <c r="J453" s="34"/>
      <c r="K453" s="34"/>
      <c r="L453" s="34"/>
      <c r="M453" s="34"/>
      <c r="N453" s="34"/>
      <c r="O453" s="34"/>
      <c r="P453" s="34"/>
    </row>
    <row r="454" spans="1:16" ht="12.75">
      <c r="A454" s="34"/>
      <c r="B454" s="33"/>
      <c r="C454" s="34"/>
      <c r="D454" s="33"/>
      <c r="E454" s="34"/>
      <c r="F454" s="34"/>
      <c r="G454" s="34"/>
      <c r="H454" s="30"/>
      <c r="I454" s="34"/>
      <c r="J454" s="34"/>
      <c r="K454" s="34"/>
      <c r="L454" s="34"/>
      <c r="M454" s="34"/>
      <c r="N454" s="34"/>
      <c r="O454" s="34"/>
      <c r="P454" s="34"/>
    </row>
    <row r="455" spans="1:16" ht="12.75">
      <c r="A455" s="34"/>
      <c r="B455" s="33"/>
      <c r="C455" s="34"/>
      <c r="D455" s="33"/>
      <c r="E455" s="34"/>
      <c r="F455" s="34"/>
      <c r="G455" s="34"/>
      <c r="H455" s="30"/>
      <c r="I455" s="34"/>
      <c r="J455" s="34"/>
      <c r="K455" s="34"/>
      <c r="L455" s="34"/>
      <c r="M455" s="34"/>
      <c r="N455" s="34"/>
      <c r="O455" s="34"/>
      <c r="P455" s="34"/>
    </row>
    <row r="456" spans="1:16" ht="12.75">
      <c r="A456" s="34"/>
      <c r="B456" s="33"/>
      <c r="C456" s="34"/>
      <c r="D456" s="33"/>
      <c r="E456" s="34"/>
      <c r="F456" s="34"/>
      <c r="G456" s="34"/>
      <c r="H456" s="30"/>
      <c r="I456" s="34"/>
      <c r="J456" s="34"/>
      <c r="K456" s="34"/>
      <c r="L456" s="34"/>
      <c r="M456" s="34"/>
      <c r="N456" s="34"/>
      <c r="O456" s="34"/>
      <c r="P456" s="34"/>
    </row>
    <row r="457" spans="1:16" ht="12.75">
      <c r="A457" s="34"/>
      <c r="B457" s="33"/>
      <c r="C457" s="34"/>
      <c r="D457" s="33"/>
      <c r="E457" s="34"/>
      <c r="F457" s="34"/>
      <c r="G457" s="34"/>
      <c r="H457" s="30"/>
      <c r="I457" s="34"/>
      <c r="J457" s="34"/>
      <c r="K457" s="34"/>
      <c r="L457" s="34"/>
      <c r="M457" s="34"/>
      <c r="N457" s="34"/>
      <c r="O457" s="34"/>
      <c r="P457" s="34"/>
    </row>
    <row r="458" spans="1:16" ht="12.75">
      <c r="A458" s="34"/>
      <c r="B458" s="33"/>
      <c r="C458" s="34"/>
      <c r="D458" s="33"/>
      <c r="E458" s="34"/>
      <c r="F458" s="34"/>
      <c r="G458" s="34"/>
      <c r="H458" s="30"/>
      <c r="I458" s="34"/>
      <c r="J458" s="34"/>
      <c r="K458" s="34"/>
      <c r="L458" s="34"/>
      <c r="M458" s="34"/>
      <c r="N458" s="34"/>
      <c r="O458" s="34"/>
      <c r="P458" s="34"/>
    </row>
    <row r="459" spans="1:16" ht="12.75">
      <c r="A459" s="34"/>
      <c r="B459" s="33"/>
      <c r="C459" s="34"/>
      <c r="D459" s="33"/>
      <c r="E459" s="34"/>
      <c r="F459" s="34"/>
      <c r="G459" s="34"/>
      <c r="H459" s="30"/>
      <c r="I459" s="34"/>
      <c r="J459" s="34"/>
      <c r="K459" s="34"/>
      <c r="L459" s="34"/>
      <c r="M459" s="34"/>
      <c r="N459" s="34"/>
      <c r="O459" s="34"/>
      <c r="P459" s="34"/>
    </row>
    <row r="460" spans="1:16" ht="12.75">
      <c r="A460" s="34"/>
      <c r="B460" s="33"/>
      <c r="C460" s="34"/>
      <c r="D460" s="33"/>
      <c r="E460" s="34"/>
      <c r="F460" s="34"/>
      <c r="G460" s="34"/>
      <c r="H460" s="30"/>
      <c r="I460" s="34"/>
      <c r="J460" s="34"/>
      <c r="K460" s="34"/>
      <c r="L460" s="34"/>
      <c r="M460" s="34"/>
      <c r="N460" s="34"/>
      <c r="O460" s="34"/>
      <c r="P460" s="34"/>
    </row>
    <row r="461" spans="1:16" ht="12.75">
      <c r="A461" s="34"/>
      <c r="B461" s="33"/>
      <c r="C461" s="34"/>
      <c r="D461" s="33"/>
      <c r="E461" s="34"/>
      <c r="F461" s="34"/>
      <c r="G461" s="34"/>
      <c r="H461" s="30"/>
      <c r="I461" s="34"/>
      <c r="J461" s="34"/>
      <c r="K461" s="34"/>
      <c r="L461" s="34"/>
      <c r="M461" s="34"/>
      <c r="N461" s="34"/>
      <c r="O461" s="34"/>
      <c r="P461" s="34"/>
    </row>
    <row r="462" spans="1:16" ht="12.75">
      <c r="A462" s="34"/>
      <c r="B462" s="33"/>
      <c r="C462" s="34"/>
      <c r="D462" s="33"/>
      <c r="E462" s="34"/>
      <c r="F462" s="34"/>
      <c r="G462" s="34"/>
      <c r="H462" s="30"/>
      <c r="I462" s="34"/>
      <c r="J462" s="34"/>
      <c r="K462" s="34"/>
      <c r="L462" s="34"/>
      <c r="M462" s="34"/>
      <c r="N462" s="34"/>
      <c r="O462" s="34"/>
      <c r="P462" s="34"/>
    </row>
    <row r="463" spans="1:16" ht="12.75">
      <c r="A463" s="34"/>
      <c r="B463" s="33"/>
      <c r="C463" s="34"/>
      <c r="D463" s="33"/>
      <c r="E463" s="34"/>
      <c r="F463" s="34"/>
      <c r="G463" s="34"/>
      <c r="H463" s="30"/>
      <c r="I463" s="34"/>
      <c r="J463" s="34"/>
      <c r="K463" s="34"/>
      <c r="L463" s="34"/>
      <c r="M463" s="34"/>
      <c r="N463" s="34"/>
      <c r="O463" s="34"/>
      <c r="P463" s="34"/>
    </row>
    <row r="464" spans="1:16" ht="12.75">
      <c r="A464" s="34"/>
      <c r="B464" s="33"/>
      <c r="C464" s="34"/>
      <c r="D464" s="33"/>
      <c r="E464" s="34"/>
      <c r="F464" s="34"/>
      <c r="G464" s="34"/>
      <c r="H464" s="30"/>
      <c r="I464" s="34"/>
      <c r="J464" s="34"/>
      <c r="K464" s="34"/>
      <c r="L464" s="34"/>
      <c r="M464" s="34"/>
      <c r="N464" s="34"/>
      <c r="O464" s="34"/>
      <c r="P464" s="34"/>
    </row>
    <row r="465" spans="1:16" ht="12.75">
      <c r="A465" s="34"/>
      <c r="B465" s="33"/>
      <c r="C465" s="34"/>
      <c r="D465" s="33"/>
      <c r="E465" s="34"/>
      <c r="F465" s="34"/>
      <c r="G465" s="34"/>
      <c r="H465" s="30"/>
      <c r="I465" s="34"/>
      <c r="J465" s="34"/>
      <c r="K465" s="34"/>
      <c r="L465" s="34"/>
      <c r="M465" s="34"/>
      <c r="N465" s="34"/>
      <c r="O465" s="34"/>
      <c r="P465" s="34"/>
    </row>
    <row r="466" spans="1:16" ht="12.75">
      <c r="A466" s="34"/>
      <c r="B466" s="33"/>
      <c r="C466" s="34"/>
      <c r="D466" s="33"/>
      <c r="E466" s="34"/>
      <c r="F466" s="34"/>
      <c r="G466" s="34"/>
      <c r="H466" s="30"/>
      <c r="I466" s="34"/>
      <c r="J466" s="34"/>
      <c r="K466" s="34"/>
      <c r="L466" s="34"/>
      <c r="M466" s="34"/>
      <c r="N466" s="34"/>
      <c r="O466" s="34"/>
      <c r="P466" s="34"/>
    </row>
    <row r="467" spans="1:16" ht="12.75">
      <c r="A467" s="34"/>
      <c r="B467" s="33"/>
      <c r="C467" s="34"/>
      <c r="D467" s="33"/>
      <c r="E467" s="34"/>
      <c r="F467" s="34"/>
      <c r="G467" s="34"/>
      <c r="H467" s="30"/>
      <c r="I467" s="34"/>
      <c r="J467" s="34"/>
      <c r="K467" s="34"/>
      <c r="L467" s="34"/>
      <c r="M467" s="34"/>
      <c r="N467" s="34"/>
      <c r="O467" s="34"/>
      <c r="P467" s="34"/>
    </row>
    <row r="468" spans="1:16" ht="12.75">
      <c r="A468" s="34"/>
      <c r="B468" s="33"/>
      <c r="C468" s="34"/>
      <c r="D468" s="33"/>
      <c r="E468" s="34"/>
      <c r="F468" s="34"/>
      <c r="G468" s="34"/>
      <c r="H468" s="30"/>
      <c r="I468" s="34"/>
      <c r="J468" s="34"/>
      <c r="K468" s="34"/>
      <c r="L468" s="34"/>
      <c r="M468" s="34"/>
      <c r="N468" s="34"/>
      <c r="O468" s="34"/>
      <c r="P468" s="34"/>
    </row>
    <row r="469" spans="1:16" ht="12.75">
      <c r="A469" s="34"/>
      <c r="B469" s="33"/>
      <c r="C469" s="34"/>
      <c r="D469" s="33"/>
      <c r="E469" s="34"/>
      <c r="F469" s="34"/>
      <c r="G469" s="34"/>
      <c r="H469" s="30"/>
      <c r="I469" s="34"/>
      <c r="J469" s="34"/>
      <c r="K469" s="34"/>
      <c r="L469" s="34"/>
      <c r="M469" s="34"/>
      <c r="N469" s="34"/>
      <c r="O469" s="34"/>
      <c r="P469" s="34"/>
    </row>
    <row r="470" spans="1:16" ht="12.75">
      <c r="A470" s="34"/>
      <c r="B470" s="33"/>
      <c r="C470" s="34"/>
      <c r="D470" s="33"/>
      <c r="E470" s="34"/>
      <c r="F470" s="34"/>
      <c r="G470" s="34"/>
      <c r="H470" s="30"/>
      <c r="I470" s="34"/>
      <c r="J470" s="34"/>
      <c r="K470" s="34"/>
      <c r="L470" s="34"/>
      <c r="M470" s="34"/>
      <c r="N470" s="34"/>
      <c r="O470" s="34"/>
      <c r="P470" s="34"/>
    </row>
    <row r="471" spans="1:16" ht="12.75">
      <c r="A471" s="34"/>
      <c r="B471" s="33"/>
      <c r="C471" s="34"/>
      <c r="D471" s="33"/>
      <c r="E471" s="34"/>
      <c r="F471" s="34"/>
      <c r="G471" s="34"/>
      <c r="H471" s="30"/>
      <c r="I471" s="34"/>
      <c r="J471" s="34"/>
      <c r="K471" s="34"/>
      <c r="L471" s="34"/>
      <c r="M471" s="34"/>
      <c r="N471" s="34"/>
      <c r="O471" s="34"/>
      <c r="P471" s="34"/>
    </row>
    <row r="472" spans="1:16" ht="12.75">
      <c r="A472" s="34"/>
      <c r="B472" s="33"/>
      <c r="C472" s="34"/>
      <c r="D472" s="33"/>
      <c r="E472" s="34"/>
      <c r="F472" s="34"/>
      <c r="G472" s="34"/>
      <c r="H472" s="30"/>
      <c r="I472" s="34"/>
      <c r="J472" s="34"/>
      <c r="K472" s="34"/>
      <c r="L472" s="34"/>
      <c r="M472" s="34"/>
      <c r="N472" s="34"/>
      <c r="O472" s="34"/>
      <c r="P472" s="34"/>
    </row>
    <row r="473" spans="1:16" ht="12.75">
      <c r="A473" s="34"/>
      <c r="B473" s="33"/>
      <c r="C473" s="34"/>
      <c r="D473" s="33"/>
      <c r="E473" s="34"/>
      <c r="F473" s="34"/>
      <c r="G473" s="34"/>
      <c r="H473" s="30"/>
      <c r="I473" s="34"/>
      <c r="J473" s="34"/>
      <c r="K473" s="34"/>
      <c r="L473" s="34"/>
      <c r="M473" s="34"/>
      <c r="N473" s="34"/>
      <c r="O473" s="34"/>
      <c r="P473" s="34"/>
    </row>
    <row r="474" spans="1:16" ht="12.75">
      <c r="A474" s="34"/>
      <c r="B474" s="33"/>
      <c r="C474" s="34"/>
      <c r="D474" s="33"/>
      <c r="E474" s="34"/>
      <c r="F474" s="34"/>
      <c r="G474" s="34"/>
      <c r="H474" s="30"/>
      <c r="I474" s="34"/>
      <c r="J474" s="34"/>
      <c r="K474" s="34"/>
      <c r="L474" s="34"/>
      <c r="M474" s="34"/>
      <c r="N474" s="34"/>
      <c r="O474" s="34"/>
      <c r="P474" s="34"/>
    </row>
    <row r="475" spans="1:16" ht="12.75">
      <c r="A475" s="34"/>
      <c r="B475" s="33"/>
      <c r="C475" s="34"/>
      <c r="D475" s="33"/>
      <c r="E475" s="34"/>
      <c r="F475" s="34"/>
      <c r="G475" s="34"/>
      <c r="H475" s="30"/>
      <c r="I475" s="34"/>
      <c r="J475" s="34"/>
      <c r="K475" s="34"/>
      <c r="L475" s="34"/>
      <c r="M475" s="34"/>
      <c r="N475" s="34"/>
      <c r="O475" s="34"/>
      <c r="P475" s="34"/>
    </row>
    <row r="476" spans="1:16" ht="12.75">
      <c r="A476" s="34"/>
      <c r="B476" s="33"/>
      <c r="C476" s="34"/>
      <c r="D476" s="33"/>
      <c r="E476" s="34"/>
      <c r="F476" s="34"/>
      <c r="G476" s="34"/>
      <c r="H476" s="30"/>
      <c r="I476" s="34"/>
      <c r="J476" s="34"/>
      <c r="K476" s="34"/>
      <c r="L476" s="34"/>
      <c r="M476" s="34"/>
      <c r="N476" s="34"/>
      <c r="O476" s="34"/>
      <c r="P476" s="34"/>
    </row>
    <row r="477" spans="1:16" ht="12.75">
      <c r="A477" s="34"/>
      <c r="B477" s="33"/>
      <c r="C477" s="34"/>
      <c r="D477" s="33"/>
      <c r="E477" s="34"/>
      <c r="F477" s="34"/>
      <c r="G477" s="34"/>
      <c r="H477" s="30"/>
      <c r="I477" s="34"/>
      <c r="J477" s="34"/>
      <c r="K477" s="34"/>
      <c r="L477" s="34"/>
      <c r="M477" s="34"/>
      <c r="N477" s="34"/>
      <c r="O477" s="34"/>
      <c r="P477" s="34"/>
    </row>
    <row r="478" spans="1:16" ht="12.75">
      <c r="A478" s="34"/>
      <c r="B478" s="33"/>
      <c r="C478" s="34"/>
      <c r="D478" s="33"/>
      <c r="E478" s="34"/>
      <c r="F478" s="34"/>
      <c r="G478" s="34"/>
      <c r="H478" s="30"/>
      <c r="I478" s="34"/>
      <c r="J478" s="34"/>
      <c r="K478" s="34"/>
      <c r="L478" s="34"/>
      <c r="M478" s="34"/>
      <c r="N478" s="34"/>
      <c r="O478" s="34"/>
      <c r="P478" s="34"/>
    </row>
    <row r="479" spans="1:16" ht="12.75">
      <c r="A479" s="34"/>
      <c r="B479" s="33"/>
      <c r="C479" s="34"/>
      <c r="D479" s="33"/>
      <c r="E479" s="34"/>
      <c r="F479" s="34"/>
      <c r="G479" s="34"/>
      <c r="H479" s="30"/>
      <c r="I479" s="34"/>
      <c r="J479" s="34"/>
      <c r="K479" s="34"/>
      <c r="L479" s="34"/>
      <c r="M479" s="34"/>
      <c r="N479" s="34"/>
      <c r="O479" s="34"/>
      <c r="P479" s="34"/>
    </row>
    <row r="480" spans="1:16" ht="12.75">
      <c r="A480" s="34"/>
      <c r="B480" s="33"/>
      <c r="C480" s="34"/>
      <c r="D480" s="33"/>
      <c r="E480" s="34"/>
      <c r="F480" s="34"/>
      <c r="G480" s="34"/>
      <c r="H480" s="30"/>
      <c r="I480" s="34"/>
      <c r="J480" s="34"/>
      <c r="K480" s="34"/>
      <c r="L480" s="34"/>
      <c r="M480" s="34"/>
      <c r="N480" s="34"/>
      <c r="O480" s="34"/>
      <c r="P480" s="34"/>
    </row>
    <row r="481" spans="1:16" ht="12.75">
      <c r="A481" s="34"/>
      <c r="B481" s="33"/>
      <c r="C481" s="34"/>
      <c r="D481" s="33"/>
      <c r="E481" s="34"/>
      <c r="F481" s="34"/>
      <c r="G481" s="34"/>
      <c r="H481" s="30"/>
      <c r="I481" s="34"/>
      <c r="J481" s="34"/>
      <c r="K481" s="34"/>
      <c r="L481" s="34"/>
      <c r="M481" s="34"/>
      <c r="N481" s="34"/>
      <c r="O481" s="34"/>
      <c r="P481" s="34"/>
    </row>
    <row r="482" spans="1:16" ht="12.75">
      <c r="A482" s="34"/>
      <c r="B482" s="33"/>
      <c r="C482" s="34"/>
      <c r="D482" s="33"/>
      <c r="E482" s="34"/>
      <c r="F482" s="34"/>
      <c r="G482" s="34"/>
      <c r="H482" s="30"/>
      <c r="I482" s="34"/>
      <c r="J482" s="34"/>
      <c r="K482" s="34"/>
      <c r="L482" s="34"/>
      <c r="M482" s="34"/>
      <c r="N482" s="34"/>
      <c r="O482" s="34"/>
      <c r="P482" s="34"/>
    </row>
    <row r="483" spans="1:16" ht="12.75">
      <c r="A483" s="34"/>
      <c r="B483" s="33"/>
      <c r="C483" s="34"/>
      <c r="D483" s="33"/>
      <c r="E483" s="34"/>
      <c r="F483" s="34"/>
      <c r="G483" s="34"/>
      <c r="H483" s="30"/>
      <c r="I483" s="34"/>
      <c r="J483" s="34"/>
      <c r="K483" s="34"/>
      <c r="L483" s="34"/>
      <c r="M483" s="34"/>
      <c r="N483" s="34"/>
      <c r="O483" s="34"/>
      <c r="P483" s="34"/>
    </row>
    <row r="484" spans="1:16" ht="12.75">
      <c r="A484" s="34"/>
      <c r="B484" s="33"/>
      <c r="C484" s="34"/>
      <c r="D484" s="33"/>
      <c r="E484" s="34"/>
      <c r="F484" s="34"/>
      <c r="G484" s="34"/>
      <c r="H484" s="30"/>
      <c r="I484" s="34"/>
      <c r="J484" s="34"/>
      <c r="K484" s="34"/>
      <c r="L484" s="34"/>
      <c r="M484" s="34"/>
      <c r="N484" s="34"/>
      <c r="O484" s="34"/>
      <c r="P484" s="34"/>
    </row>
    <row r="485" spans="1:16" ht="12.75">
      <c r="A485" s="34"/>
      <c r="B485" s="33"/>
      <c r="C485" s="34"/>
      <c r="D485" s="33"/>
      <c r="E485" s="34"/>
      <c r="F485" s="34"/>
      <c r="G485" s="34"/>
      <c r="H485" s="30"/>
      <c r="I485" s="34"/>
      <c r="J485" s="34"/>
      <c r="K485" s="34"/>
      <c r="L485" s="34"/>
      <c r="M485" s="34"/>
      <c r="N485" s="34"/>
      <c r="O485" s="34"/>
      <c r="P485" s="34"/>
    </row>
    <row r="486" spans="1:16" ht="12.75">
      <c r="A486" s="34"/>
      <c r="B486" s="33"/>
      <c r="C486" s="34"/>
      <c r="D486" s="33"/>
      <c r="E486" s="34"/>
      <c r="F486" s="34"/>
      <c r="G486" s="34"/>
      <c r="H486" s="30"/>
      <c r="I486" s="34"/>
      <c r="J486" s="34"/>
      <c r="K486" s="34"/>
      <c r="L486" s="34"/>
      <c r="M486" s="34"/>
      <c r="N486" s="34"/>
      <c r="O486" s="34"/>
      <c r="P486" s="34"/>
    </row>
    <row r="487" spans="1:16" ht="12.75">
      <c r="A487" s="34"/>
      <c r="B487" s="33"/>
      <c r="C487" s="34"/>
      <c r="D487" s="33"/>
      <c r="E487" s="34"/>
      <c r="F487" s="34"/>
      <c r="G487" s="34"/>
      <c r="H487" s="30"/>
      <c r="I487" s="34"/>
      <c r="J487" s="34"/>
      <c r="K487" s="34"/>
      <c r="L487" s="34"/>
      <c r="M487" s="34"/>
      <c r="N487" s="34"/>
      <c r="O487" s="34"/>
      <c r="P487" s="34"/>
    </row>
    <row r="488" spans="1:16" ht="12.75">
      <c r="A488" s="34"/>
      <c r="B488" s="33"/>
      <c r="C488" s="34"/>
      <c r="D488" s="33"/>
      <c r="E488" s="34"/>
      <c r="F488" s="34"/>
      <c r="G488" s="34"/>
      <c r="H488" s="30"/>
      <c r="I488" s="34"/>
      <c r="J488" s="34"/>
      <c r="K488" s="34"/>
      <c r="L488" s="34"/>
      <c r="M488" s="34"/>
      <c r="N488" s="34"/>
      <c r="O488" s="34"/>
      <c r="P488" s="34"/>
    </row>
    <row r="489" spans="1:16" ht="12.75">
      <c r="A489" s="34"/>
      <c r="B489" s="33"/>
      <c r="C489" s="34"/>
      <c r="D489" s="33"/>
      <c r="E489" s="34"/>
      <c r="F489" s="34"/>
      <c r="G489" s="34"/>
      <c r="H489" s="30"/>
      <c r="I489" s="34"/>
      <c r="J489" s="34"/>
      <c r="K489" s="34"/>
      <c r="L489" s="34"/>
      <c r="M489" s="34"/>
      <c r="N489" s="34"/>
      <c r="O489" s="34"/>
      <c r="P489" s="34"/>
    </row>
    <row r="490" spans="1:16" ht="12.75">
      <c r="A490" s="34"/>
      <c r="B490" s="33"/>
      <c r="C490" s="34"/>
      <c r="D490" s="33"/>
      <c r="E490" s="34"/>
      <c r="F490" s="34"/>
      <c r="G490" s="34"/>
      <c r="H490" s="30"/>
      <c r="I490" s="34"/>
      <c r="J490" s="34"/>
      <c r="K490" s="34"/>
      <c r="L490" s="34"/>
      <c r="M490" s="34"/>
      <c r="N490" s="34"/>
      <c r="O490" s="34"/>
      <c r="P490" s="34"/>
    </row>
    <row r="491" spans="1:16" ht="12.75">
      <c r="A491" s="34"/>
      <c r="B491" s="33"/>
      <c r="C491" s="34"/>
      <c r="D491" s="33"/>
      <c r="E491" s="34"/>
      <c r="F491" s="34"/>
      <c r="G491" s="34"/>
      <c r="H491" s="30"/>
      <c r="I491" s="34"/>
      <c r="J491" s="34"/>
      <c r="K491" s="34"/>
      <c r="L491" s="34"/>
      <c r="M491" s="34"/>
      <c r="N491" s="34"/>
      <c r="O491" s="34"/>
      <c r="P491" s="34"/>
    </row>
    <row r="492" spans="1:16" ht="12.75">
      <c r="A492" s="34"/>
      <c r="B492" s="33"/>
      <c r="C492" s="34"/>
      <c r="D492" s="33"/>
      <c r="E492" s="34"/>
      <c r="F492" s="34"/>
      <c r="G492" s="34"/>
      <c r="H492" s="30"/>
      <c r="I492" s="34"/>
      <c r="J492" s="34"/>
      <c r="K492" s="34"/>
      <c r="L492" s="34"/>
      <c r="M492" s="34"/>
      <c r="N492" s="34"/>
      <c r="O492" s="34"/>
      <c r="P492" s="34"/>
    </row>
    <row r="493" spans="1:16" ht="12.75">
      <c r="A493" s="34"/>
      <c r="B493" s="33"/>
      <c r="C493" s="34"/>
      <c r="D493" s="33"/>
      <c r="E493" s="34"/>
      <c r="F493" s="34"/>
      <c r="G493" s="34"/>
      <c r="H493" s="30"/>
      <c r="I493" s="34"/>
      <c r="J493" s="34"/>
      <c r="K493" s="34"/>
      <c r="L493" s="34"/>
      <c r="M493" s="34"/>
      <c r="N493" s="34"/>
      <c r="O493" s="34"/>
      <c r="P493" s="34"/>
    </row>
    <row r="494" spans="1:16" ht="12.75">
      <c r="A494" s="34"/>
      <c r="B494" s="33"/>
      <c r="C494" s="34"/>
      <c r="D494" s="33"/>
      <c r="E494" s="34"/>
      <c r="F494" s="34"/>
      <c r="G494" s="34"/>
      <c r="H494" s="30"/>
      <c r="I494" s="34"/>
      <c r="J494" s="34"/>
      <c r="K494" s="34"/>
      <c r="L494" s="34"/>
      <c r="M494" s="34"/>
      <c r="N494" s="34"/>
      <c r="O494" s="34"/>
      <c r="P494" s="34"/>
    </row>
    <row r="495" spans="1:16" ht="12.75">
      <c r="A495" s="34"/>
      <c r="B495" s="33"/>
      <c r="C495" s="34"/>
      <c r="D495" s="33"/>
      <c r="E495" s="34"/>
      <c r="F495" s="34"/>
      <c r="G495" s="34"/>
      <c r="H495" s="30"/>
      <c r="I495" s="34"/>
      <c r="J495" s="34"/>
      <c r="K495" s="34"/>
      <c r="L495" s="34"/>
      <c r="M495" s="34"/>
      <c r="N495" s="34"/>
      <c r="O495" s="34"/>
      <c r="P495" s="34"/>
    </row>
    <row r="496" spans="1:16" ht="12.75">
      <c r="A496" s="34"/>
      <c r="B496" s="33"/>
      <c r="C496" s="34"/>
      <c r="D496" s="33"/>
      <c r="E496" s="34"/>
      <c r="F496" s="34"/>
      <c r="G496" s="34"/>
      <c r="H496" s="30"/>
      <c r="I496" s="34"/>
      <c r="J496" s="34"/>
      <c r="K496" s="34"/>
      <c r="L496" s="34"/>
      <c r="M496" s="34"/>
      <c r="N496" s="34"/>
      <c r="O496" s="34"/>
      <c r="P496" s="34"/>
    </row>
    <row r="497" spans="1:16" ht="12.75">
      <c r="A497" s="34"/>
      <c r="B497" s="33"/>
      <c r="C497" s="34"/>
      <c r="D497" s="33"/>
      <c r="E497" s="34"/>
      <c r="F497" s="34"/>
      <c r="G497" s="34"/>
      <c r="H497" s="30"/>
      <c r="I497" s="34"/>
      <c r="J497" s="34"/>
      <c r="K497" s="34"/>
      <c r="L497" s="34"/>
      <c r="M497" s="34"/>
      <c r="N497" s="34"/>
      <c r="O497" s="34"/>
      <c r="P497" s="34"/>
    </row>
    <row r="498" spans="1:16" ht="12.75">
      <c r="A498" s="34"/>
      <c r="B498" s="33"/>
      <c r="C498" s="34"/>
      <c r="D498" s="33"/>
      <c r="E498" s="34"/>
      <c r="F498" s="34"/>
      <c r="G498" s="34"/>
      <c r="H498" s="30"/>
      <c r="I498" s="34"/>
      <c r="J498" s="34"/>
      <c r="K498" s="34"/>
      <c r="L498" s="34"/>
      <c r="M498" s="34"/>
      <c r="N498" s="34"/>
      <c r="O498" s="34"/>
      <c r="P498" s="34"/>
    </row>
    <row r="499" spans="1:16" ht="12.75">
      <c r="A499" s="34"/>
      <c r="B499" s="33"/>
      <c r="C499" s="34"/>
      <c r="D499" s="33"/>
      <c r="E499" s="34"/>
      <c r="F499" s="34"/>
      <c r="G499" s="34"/>
      <c r="H499" s="30"/>
      <c r="I499" s="34"/>
      <c r="J499" s="34"/>
      <c r="K499" s="34"/>
      <c r="L499" s="34"/>
      <c r="M499" s="34"/>
      <c r="N499" s="34"/>
      <c r="O499" s="34"/>
      <c r="P499" s="34"/>
    </row>
    <row r="500" spans="1:16" ht="12.75">
      <c r="A500" s="34"/>
      <c r="B500" s="33"/>
      <c r="C500" s="34"/>
      <c r="D500" s="33"/>
      <c r="E500" s="34"/>
      <c r="F500" s="34"/>
      <c r="G500" s="34"/>
      <c r="H500" s="30"/>
      <c r="I500" s="34"/>
      <c r="J500" s="34"/>
      <c r="K500" s="34"/>
      <c r="L500" s="34"/>
      <c r="M500" s="34"/>
      <c r="N500" s="34"/>
      <c r="O500" s="34"/>
      <c r="P500" s="34"/>
    </row>
    <row r="501" spans="1:16" ht="12.75">
      <c r="A501" s="34"/>
      <c r="B501" s="33"/>
      <c r="C501" s="34"/>
      <c r="D501" s="33"/>
      <c r="E501" s="34"/>
      <c r="F501" s="34"/>
      <c r="G501" s="34"/>
      <c r="H501" s="30"/>
      <c r="I501" s="34"/>
      <c r="J501" s="34"/>
      <c r="K501" s="34"/>
      <c r="L501" s="34"/>
      <c r="M501" s="34"/>
      <c r="N501" s="34"/>
      <c r="O501" s="34"/>
      <c r="P501" s="34"/>
    </row>
    <row r="502" spans="1:16" ht="12.75">
      <c r="A502" s="34"/>
      <c r="B502" s="33"/>
      <c r="C502" s="34"/>
      <c r="D502" s="33"/>
      <c r="E502" s="34"/>
      <c r="F502" s="34"/>
      <c r="G502" s="34"/>
      <c r="H502" s="30"/>
      <c r="I502" s="34"/>
      <c r="J502" s="34"/>
      <c r="K502" s="34"/>
      <c r="L502" s="34"/>
      <c r="M502" s="34"/>
      <c r="N502" s="34"/>
      <c r="O502" s="34"/>
      <c r="P502" s="34"/>
    </row>
    <row r="503" spans="1:16" ht="12.75">
      <c r="A503" s="34"/>
      <c r="B503" s="33"/>
      <c r="C503" s="34"/>
      <c r="D503" s="33"/>
      <c r="E503" s="34"/>
      <c r="F503" s="34"/>
      <c r="G503" s="34"/>
      <c r="H503" s="30"/>
      <c r="I503" s="34"/>
      <c r="J503" s="34"/>
      <c r="K503" s="34"/>
      <c r="L503" s="34"/>
      <c r="M503" s="34"/>
      <c r="N503" s="34"/>
      <c r="O503" s="34"/>
      <c r="P503" s="34"/>
    </row>
    <row r="504" spans="1:16" ht="12.75">
      <c r="A504" s="34"/>
      <c r="B504" s="33"/>
      <c r="C504" s="34"/>
      <c r="D504" s="33"/>
      <c r="E504" s="34"/>
      <c r="F504" s="34"/>
      <c r="G504" s="34"/>
      <c r="H504" s="30"/>
      <c r="I504" s="34"/>
      <c r="J504" s="34"/>
      <c r="K504" s="34"/>
      <c r="L504" s="34"/>
      <c r="M504" s="34"/>
      <c r="N504" s="34"/>
      <c r="O504" s="34"/>
      <c r="P504" s="34"/>
    </row>
    <row r="505" spans="1:16" ht="12.75">
      <c r="A505" s="34"/>
      <c r="B505" s="33"/>
      <c r="C505" s="34"/>
      <c r="D505" s="33"/>
      <c r="E505" s="34"/>
      <c r="F505" s="34"/>
      <c r="G505" s="34"/>
      <c r="H505" s="30"/>
      <c r="I505" s="34"/>
      <c r="J505" s="34"/>
      <c r="K505" s="34"/>
      <c r="L505" s="34"/>
      <c r="M505" s="34"/>
      <c r="N505" s="34"/>
      <c r="O505" s="34"/>
      <c r="P505" s="34"/>
    </row>
    <row r="506" spans="1:16" ht="12.75">
      <c r="A506" s="34"/>
      <c r="B506" s="33"/>
      <c r="C506" s="34"/>
      <c r="D506" s="33"/>
      <c r="E506" s="34"/>
      <c r="F506" s="34"/>
      <c r="G506" s="34"/>
      <c r="H506" s="30"/>
      <c r="I506" s="34"/>
      <c r="J506" s="34"/>
      <c r="K506" s="34"/>
      <c r="L506" s="34"/>
      <c r="M506" s="34"/>
      <c r="N506" s="34"/>
      <c r="O506" s="34"/>
      <c r="P506" s="34"/>
    </row>
    <row r="507" spans="1:16" ht="12.75">
      <c r="A507" s="34"/>
      <c r="B507" s="33"/>
      <c r="C507" s="34"/>
      <c r="D507" s="33"/>
      <c r="E507" s="34"/>
      <c r="F507" s="34"/>
      <c r="G507" s="34"/>
      <c r="H507" s="30"/>
      <c r="I507" s="34"/>
      <c r="J507" s="34"/>
      <c r="K507" s="34"/>
      <c r="L507" s="34"/>
      <c r="M507" s="34"/>
      <c r="N507" s="34"/>
      <c r="O507" s="34"/>
      <c r="P507" s="34"/>
    </row>
    <row r="508" spans="1:16" ht="12.75">
      <c r="A508" s="34"/>
      <c r="B508" s="33"/>
      <c r="C508" s="34"/>
      <c r="D508" s="33"/>
      <c r="E508" s="34"/>
      <c r="F508" s="34"/>
      <c r="G508" s="34"/>
      <c r="H508" s="30"/>
      <c r="I508" s="34"/>
      <c r="J508" s="34"/>
      <c r="K508" s="34"/>
      <c r="L508" s="34"/>
      <c r="M508" s="34"/>
      <c r="N508" s="34"/>
      <c r="O508" s="34"/>
      <c r="P508" s="34"/>
    </row>
    <row r="509" spans="1:16" ht="12.75">
      <c r="A509" s="34"/>
      <c r="B509" s="33"/>
      <c r="C509" s="34"/>
      <c r="D509" s="33"/>
      <c r="E509" s="34"/>
      <c r="F509" s="34"/>
      <c r="G509" s="34"/>
      <c r="H509" s="30"/>
      <c r="I509" s="34"/>
      <c r="J509" s="34"/>
      <c r="K509" s="34"/>
      <c r="L509" s="34"/>
      <c r="M509" s="34"/>
      <c r="N509" s="34"/>
      <c r="O509" s="34"/>
      <c r="P509" s="34"/>
    </row>
    <row r="510" spans="1:16" ht="12.75">
      <c r="A510" s="34"/>
      <c r="B510" s="33"/>
      <c r="C510" s="34"/>
      <c r="D510" s="33"/>
      <c r="E510" s="34"/>
      <c r="F510" s="34"/>
      <c r="G510" s="34"/>
      <c r="H510" s="30"/>
      <c r="I510" s="34"/>
      <c r="J510" s="34"/>
      <c r="K510" s="34"/>
      <c r="L510" s="34"/>
      <c r="M510" s="34"/>
      <c r="N510" s="34"/>
      <c r="O510" s="34"/>
      <c r="P510" s="34"/>
    </row>
    <row r="511" spans="1:16" ht="12.75">
      <c r="A511" s="34"/>
      <c r="B511" s="33"/>
      <c r="C511" s="34"/>
      <c r="D511" s="33"/>
      <c r="E511" s="34"/>
      <c r="F511" s="34"/>
      <c r="G511" s="34"/>
      <c r="H511" s="30"/>
      <c r="I511" s="34"/>
      <c r="J511" s="34"/>
      <c r="K511" s="34"/>
      <c r="L511" s="34"/>
      <c r="M511" s="34"/>
      <c r="N511" s="34"/>
      <c r="O511" s="34"/>
      <c r="P511" s="34"/>
    </row>
    <row r="512" spans="1:16" ht="12.75">
      <c r="A512" s="34"/>
      <c r="B512" s="33"/>
      <c r="C512" s="34"/>
      <c r="D512" s="33"/>
      <c r="E512" s="34"/>
      <c r="F512" s="34"/>
      <c r="G512" s="34"/>
      <c r="H512" s="30"/>
      <c r="I512" s="34"/>
      <c r="J512" s="34"/>
      <c r="K512" s="34"/>
      <c r="L512" s="34"/>
      <c r="M512" s="34"/>
      <c r="N512" s="34"/>
      <c r="O512" s="34"/>
      <c r="P512" s="34"/>
    </row>
    <row r="513" spans="1:16" ht="12.75">
      <c r="A513" s="34"/>
      <c r="B513" s="33"/>
      <c r="C513" s="34"/>
      <c r="D513" s="33"/>
      <c r="E513" s="34"/>
      <c r="F513" s="34"/>
      <c r="G513" s="34"/>
      <c r="H513" s="30"/>
      <c r="I513" s="34"/>
      <c r="J513" s="34"/>
      <c r="K513" s="34"/>
      <c r="L513" s="34"/>
      <c r="M513" s="34"/>
      <c r="N513" s="34"/>
      <c r="O513" s="34"/>
      <c r="P513" s="34"/>
    </row>
    <row r="514" spans="1:16" ht="12.75">
      <c r="A514" s="34"/>
      <c r="B514" s="33"/>
      <c r="C514" s="34"/>
      <c r="D514" s="33"/>
      <c r="E514" s="34"/>
      <c r="F514" s="34"/>
      <c r="G514" s="34"/>
      <c r="H514" s="30"/>
      <c r="I514" s="34"/>
      <c r="J514" s="34"/>
      <c r="K514" s="34"/>
      <c r="L514" s="34"/>
      <c r="M514" s="34"/>
      <c r="N514" s="34"/>
      <c r="O514" s="34"/>
      <c r="P514" s="34"/>
    </row>
    <row r="515" spans="1:16" ht="12.75">
      <c r="A515" s="34"/>
      <c r="B515" s="33"/>
      <c r="C515" s="34"/>
      <c r="D515" s="33"/>
      <c r="E515" s="34"/>
      <c r="F515" s="34"/>
      <c r="G515" s="34"/>
      <c r="H515" s="30"/>
      <c r="I515" s="34"/>
      <c r="J515" s="34"/>
      <c r="K515" s="34"/>
      <c r="L515" s="34"/>
      <c r="M515" s="34"/>
      <c r="N515" s="34"/>
      <c r="O515" s="34"/>
      <c r="P515" s="34"/>
    </row>
    <row r="516" spans="1:16" ht="12.75">
      <c r="A516" s="34"/>
      <c r="B516" s="33"/>
      <c r="C516" s="34"/>
      <c r="D516" s="33"/>
      <c r="E516" s="34"/>
      <c r="F516" s="34"/>
      <c r="G516" s="34"/>
      <c r="H516" s="30"/>
      <c r="I516" s="34"/>
      <c r="J516" s="34"/>
      <c r="K516" s="34"/>
      <c r="L516" s="34"/>
      <c r="M516" s="34"/>
      <c r="N516" s="34"/>
      <c r="O516" s="34"/>
      <c r="P516" s="34"/>
    </row>
    <row r="517" spans="1:16" ht="12.75">
      <c r="A517" s="34"/>
      <c r="B517" s="33"/>
      <c r="C517" s="34"/>
      <c r="D517" s="33"/>
      <c r="E517" s="34"/>
      <c r="F517" s="34"/>
      <c r="G517" s="34"/>
      <c r="H517" s="30"/>
      <c r="I517" s="34"/>
      <c r="J517" s="34"/>
      <c r="K517" s="34"/>
      <c r="L517" s="34"/>
      <c r="M517" s="34"/>
      <c r="N517" s="34"/>
      <c r="O517" s="34"/>
      <c r="P517" s="34"/>
    </row>
    <row r="518" spans="1:16" ht="12.75">
      <c r="A518" s="34"/>
      <c r="B518" s="33"/>
      <c r="C518" s="34"/>
      <c r="D518" s="33"/>
      <c r="E518" s="34"/>
      <c r="F518" s="34"/>
      <c r="G518" s="34"/>
      <c r="H518" s="30"/>
      <c r="I518" s="34"/>
      <c r="J518" s="34"/>
      <c r="K518" s="34"/>
      <c r="L518" s="34"/>
      <c r="M518" s="34"/>
      <c r="N518" s="34"/>
      <c r="O518" s="34"/>
      <c r="P518" s="34"/>
    </row>
    <row r="519" spans="1:16" ht="12.75">
      <c r="A519" s="34"/>
      <c r="B519" s="33"/>
      <c r="C519" s="34"/>
      <c r="D519" s="33"/>
      <c r="E519" s="34"/>
      <c r="F519" s="34"/>
      <c r="G519" s="34"/>
      <c r="H519" s="30"/>
      <c r="I519" s="34"/>
      <c r="J519" s="34"/>
      <c r="K519" s="34"/>
      <c r="L519" s="34"/>
      <c r="M519" s="34"/>
      <c r="N519" s="34"/>
      <c r="O519" s="34"/>
      <c r="P519" s="34"/>
    </row>
    <row r="520" spans="1:16" ht="12.75">
      <c r="A520" s="34"/>
      <c r="B520" s="33"/>
      <c r="C520" s="34"/>
      <c r="D520" s="33"/>
      <c r="E520" s="34"/>
      <c r="F520" s="34"/>
      <c r="G520" s="34"/>
      <c r="H520" s="30"/>
      <c r="I520" s="34"/>
      <c r="J520" s="34"/>
      <c r="K520" s="34"/>
      <c r="L520" s="34"/>
      <c r="M520" s="34"/>
      <c r="N520" s="34"/>
      <c r="O520" s="34"/>
      <c r="P520" s="34"/>
    </row>
    <row r="521" spans="1:16" ht="12.75">
      <c r="A521" s="34"/>
      <c r="B521" s="33"/>
      <c r="C521" s="34"/>
      <c r="D521" s="33"/>
      <c r="E521" s="34"/>
      <c r="F521" s="34"/>
      <c r="G521" s="34"/>
      <c r="H521" s="30"/>
      <c r="I521" s="34"/>
      <c r="J521" s="34"/>
      <c r="K521" s="34"/>
      <c r="L521" s="34"/>
      <c r="M521" s="34"/>
      <c r="N521" s="34"/>
      <c r="O521" s="34"/>
      <c r="P521" s="34"/>
    </row>
    <row r="522" spans="1:16" ht="12.75">
      <c r="A522" s="34"/>
      <c r="B522" s="33"/>
      <c r="C522" s="34"/>
      <c r="D522" s="33"/>
      <c r="E522" s="34"/>
      <c r="F522" s="34"/>
      <c r="G522" s="34"/>
      <c r="H522" s="30"/>
      <c r="I522" s="34"/>
      <c r="J522" s="34"/>
      <c r="K522" s="34"/>
      <c r="L522" s="34"/>
      <c r="M522" s="34"/>
      <c r="N522" s="34"/>
      <c r="O522" s="34"/>
      <c r="P522" s="34"/>
    </row>
    <row r="523" spans="1:16" ht="12.75">
      <c r="A523" s="34"/>
      <c r="B523" s="33"/>
      <c r="C523" s="34"/>
      <c r="D523" s="33"/>
      <c r="E523" s="34"/>
      <c r="F523" s="34"/>
      <c r="G523" s="34"/>
      <c r="H523" s="30"/>
      <c r="I523" s="34"/>
      <c r="J523" s="34"/>
      <c r="K523" s="34"/>
      <c r="L523" s="34"/>
      <c r="M523" s="34"/>
      <c r="N523" s="34"/>
      <c r="O523" s="34"/>
      <c r="P523" s="34"/>
    </row>
    <row r="524" spans="1:16" ht="12.75">
      <c r="A524" s="34"/>
      <c r="B524" s="33"/>
      <c r="C524" s="34"/>
      <c r="D524" s="33"/>
      <c r="E524" s="34"/>
      <c r="F524" s="34"/>
      <c r="G524" s="34"/>
      <c r="H524" s="30"/>
      <c r="I524" s="34"/>
      <c r="J524" s="34"/>
      <c r="K524" s="34"/>
      <c r="L524" s="34"/>
      <c r="M524" s="34"/>
      <c r="N524" s="34"/>
      <c r="O524" s="34"/>
      <c r="P524" s="34"/>
    </row>
    <row r="525" spans="1:16" ht="12.75">
      <c r="A525" s="34"/>
      <c r="B525" s="33"/>
      <c r="C525" s="34"/>
      <c r="D525" s="33"/>
      <c r="E525" s="34"/>
      <c r="F525" s="34"/>
      <c r="G525" s="34"/>
      <c r="H525" s="30"/>
      <c r="I525" s="34"/>
      <c r="J525" s="34"/>
      <c r="K525" s="34"/>
      <c r="L525" s="34"/>
      <c r="M525" s="34"/>
      <c r="N525" s="34"/>
      <c r="O525" s="34"/>
      <c r="P525" s="34"/>
    </row>
    <row r="526" spans="1:16" ht="12.75">
      <c r="A526" s="34"/>
      <c r="B526" s="33"/>
      <c r="C526" s="34"/>
      <c r="D526" s="33"/>
      <c r="E526" s="34"/>
      <c r="F526" s="34"/>
      <c r="G526" s="34"/>
      <c r="H526" s="30"/>
      <c r="I526" s="34"/>
      <c r="J526" s="34"/>
      <c r="K526" s="34"/>
      <c r="L526" s="34"/>
      <c r="M526" s="34"/>
      <c r="N526" s="34"/>
      <c r="O526" s="34"/>
      <c r="P526" s="34"/>
    </row>
    <row r="527" spans="1:16" ht="12.75">
      <c r="A527" s="34"/>
      <c r="B527" s="33"/>
      <c r="C527" s="34"/>
      <c r="D527" s="33"/>
      <c r="E527" s="34"/>
      <c r="F527" s="34"/>
      <c r="G527" s="34"/>
      <c r="H527" s="30"/>
      <c r="I527" s="34"/>
      <c r="J527" s="34"/>
      <c r="K527" s="34"/>
      <c r="L527" s="34"/>
      <c r="M527" s="34"/>
      <c r="N527" s="34"/>
      <c r="O527" s="34"/>
      <c r="P527" s="34"/>
    </row>
    <row r="528" spans="1:16" ht="12.75">
      <c r="A528" s="34"/>
      <c r="B528" s="33"/>
      <c r="C528" s="34"/>
      <c r="D528" s="33"/>
      <c r="E528" s="34"/>
      <c r="F528" s="34"/>
      <c r="G528" s="34"/>
      <c r="H528" s="30"/>
      <c r="I528" s="34"/>
      <c r="J528" s="34"/>
      <c r="K528" s="34"/>
      <c r="L528" s="34"/>
      <c r="M528" s="34"/>
      <c r="N528" s="34"/>
      <c r="O528" s="34"/>
      <c r="P528" s="34"/>
    </row>
    <row r="529" spans="1:16" ht="12.75">
      <c r="A529" s="34"/>
      <c r="B529" s="33"/>
      <c r="C529" s="34"/>
      <c r="D529" s="33"/>
      <c r="E529" s="34"/>
      <c r="F529" s="34"/>
      <c r="G529" s="34"/>
      <c r="H529" s="30"/>
      <c r="I529" s="34"/>
      <c r="J529" s="34"/>
      <c r="K529" s="34"/>
      <c r="L529" s="34"/>
      <c r="M529" s="34"/>
      <c r="N529" s="34"/>
      <c r="O529" s="34"/>
      <c r="P529" s="34"/>
    </row>
    <row r="530" spans="1:16" ht="12.75">
      <c r="A530" s="34"/>
      <c r="B530" s="33"/>
      <c r="C530" s="34"/>
      <c r="D530" s="33"/>
      <c r="E530" s="34"/>
      <c r="F530" s="34"/>
      <c r="G530" s="34"/>
      <c r="H530" s="30"/>
      <c r="I530" s="34"/>
      <c r="J530" s="34"/>
      <c r="K530" s="34"/>
      <c r="L530" s="34"/>
      <c r="M530" s="34"/>
      <c r="N530" s="34"/>
      <c r="O530" s="34"/>
      <c r="P530" s="34"/>
    </row>
    <row r="531" spans="1:16" ht="12.75">
      <c r="A531" s="34"/>
      <c r="B531" s="33"/>
      <c r="C531" s="34"/>
      <c r="D531" s="33"/>
      <c r="E531" s="34"/>
      <c r="F531" s="34"/>
      <c r="G531" s="34"/>
      <c r="H531" s="30"/>
      <c r="I531" s="34"/>
      <c r="J531" s="34"/>
      <c r="K531" s="34"/>
      <c r="L531" s="34"/>
      <c r="M531" s="34"/>
      <c r="N531" s="34"/>
      <c r="O531" s="34"/>
      <c r="P531" s="34"/>
    </row>
    <row r="532" spans="1:16" ht="12.75">
      <c r="A532" s="34"/>
      <c r="B532" s="33"/>
      <c r="C532" s="34"/>
      <c r="D532" s="33"/>
      <c r="E532" s="34"/>
      <c r="F532" s="34"/>
      <c r="G532" s="34"/>
      <c r="H532" s="30"/>
      <c r="I532" s="34"/>
      <c r="J532" s="34"/>
      <c r="K532" s="34"/>
      <c r="L532" s="34"/>
      <c r="M532" s="34"/>
      <c r="N532" s="34"/>
      <c r="O532" s="34"/>
      <c r="P532" s="34"/>
    </row>
    <row r="533" spans="1:16" ht="12.75">
      <c r="A533" s="34"/>
      <c r="B533" s="33"/>
      <c r="C533" s="34"/>
      <c r="D533" s="33"/>
      <c r="E533" s="34"/>
      <c r="F533" s="34"/>
      <c r="G533" s="34"/>
      <c r="H533" s="30"/>
      <c r="I533" s="34"/>
      <c r="J533" s="34"/>
      <c r="K533" s="34"/>
      <c r="L533" s="34"/>
      <c r="M533" s="34"/>
      <c r="N533" s="34"/>
      <c r="O533" s="34"/>
      <c r="P533" s="34"/>
    </row>
    <row r="534" spans="1:16" ht="12.75">
      <c r="A534" s="34"/>
      <c r="B534" s="33"/>
      <c r="C534" s="34"/>
      <c r="D534" s="33"/>
      <c r="E534" s="34"/>
      <c r="F534" s="34"/>
      <c r="G534" s="34"/>
      <c r="H534" s="30"/>
      <c r="I534" s="34"/>
      <c r="J534" s="34"/>
      <c r="K534" s="34"/>
      <c r="L534" s="34"/>
      <c r="M534" s="34"/>
      <c r="N534" s="34"/>
      <c r="O534" s="34"/>
      <c r="P534" s="34"/>
    </row>
    <row r="535" spans="1:16" ht="12.75">
      <c r="A535" s="34"/>
      <c r="B535" s="33"/>
      <c r="C535" s="34"/>
      <c r="D535" s="33"/>
      <c r="E535" s="34"/>
      <c r="F535" s="34"/>
      <c r="G535" s="34"/>
      <c r="H535" s="30"/>
      <c r="I535" s="34"/>
      <c r="J535" s="34"/>
      <c r="K535" s="34"/>
      <c r="L535" s="34"/>
      <c r="M535" s="34"/>
      <c r="N535" s="34"/>
      <c r="O535" s="34"/>
      <c r="P535" s="34"/>
    </row>
    <row r="536" spans="1:16" ht="12.75">
      <c r="A536" s="34"/>
      <c r="B536" s="33"/>
      <c r="C536" s="34"/>
      <c r="D536" s="33"/>
      <c r="E536" s="34"/>
      <c r="F536" s="34"/>
      <c r="G536" s="34"/>
      <c r="H536" s="30"/>
      <c r="I536" s="34"/>
      <c r="J536" s="34"/>
      <c r="K536" s="34"/>
      <c r="L536" s="34"/>
      <c r="M536" s="34"/>
      <c r="N536" s="34"/>
      <c r="O536" s="34"/>
      <c r="P536" s="34"/>
    </row>
    <row r="537" spans="1:16" ht="12.75">
      <c r="A537" s="34"/>
      <c r="B537" s="33"/>
      <c r="C537" s="34"/>
      <c r="D537" s="33"/>
      <c r="E537" s="34"/>
      <c r="F537" s="34"/>
      <c r="G537" s="34"/>
      <c r="H537" s="30"/>
      <c r="I537" s="34"/>
      <c r="J537" s="34"/>
      <c r="K537" s="34"/>
      <c r="L537" s="34"/>
      <c r="M537" s="34"/>
      <c r="N537" s="34"/>
      <c r="O537" s="34"/>
      <c r="P537" s="34"/>
    </row>
    <row r="538" spans="1:16" ht="12.75">
      <c r="A538" s="34"/>
      <c r="B538" s="33"/>
      <c r="C538" s="34"/>
      <c r="D538" s="33"/>
      <c r="E538" s="34"/>
      <c r="F538" s="34"/>
      <c r="G538" s="34"/>
      <c r="H538" s="30"/>
      <c r="I538" s="34"/>
      <c r="J538" s="34"/>
      <c r="K538" s="34"/>
      <c r="L538" s="34"/>
      <c r="M538" s="34"/>
      <c r="N538" s="34"/>
      <c r="O538" s="34"/>
      <c r="P538" s="34"/>
    </row>
    <row r="539" spans="1:16" ht="12.75">
      <c r="A539" s="34"/>
      <c r="B539" s="33"/>
      <c r="C539" s="34"/>
      <c r="D539" s="33"/>
      <c r="E539" s="34"/>
      <c r="F539" s="34"/>
      <c r="G539" s="34"/>
      <c r="H539" s="30"/>
      <c r="I539" s="34"/>
      <c r="J539" s="34"/>
      <c r="K539" s="34"/>
      <c r="L539" s="34"/>
      <c r="M539" s="34"/>
      <c r="N539" s="34"/>
      <c r="O539" s="34"/>
      <c r="P539" s="34"/>
    </row>
    <row r="540" spans="1:16" ht="12.75">
      <c r="A540" s="34"/>
      <c r="B540" s="33"/>
      <c r="C540" s="34"/>
      <c r="D540" s="33"/>
      <c r="E540" s="34"/>
      <c r="F540" s="34"/>
      <c r="G540" s="34"/>
      <c r="H540" s="30"/>
      <c r="I540" s="34"/>
      <c r="J540" s="34"/>
      <c r="K540" s="34"/>
      <c r="L540" s="34"/>
      <c r="M540" s="34"/>
      <c r="N540" s="34"/>
      <c r="O540" s="34"/>
      <c r="P540" s="34"/>
    </row>
    <row r="541" spans="1:16" ht="12.75">
      <c r="A541" s="34"/>
      <c r="B541" s="33"/>
      <c r="C541" s="34"/>
      <c r="D541" s="33"/>
      <c r="E541" s="34"/>
      <c r="F541" s="34"/>
      <c r="G541" s="34"/>
      <c r="H541" s="30"/>
      <c r="I541" s="34"/>
      <c r="J541" s="34"/>
      <c r="K541" s="34"/>
      <c r="L541" s="34"/>
      <c r="M541" s="34"/>
      <c r="N541" s="34"/>
      <c r="O541" s="34"/>
      <c r="P541" s="34"/>
    </row>
    <row r="542" spans="1:16" ht="12.75">
      <c r="A542" s="34"/>
      <c r="B542" s="33"/>
      <c r="C542" s="34"/>
      <c r="D542" s="33"/>
      <c r="E542" s="34"/>
      <c r="F542" s="34"/>
      <c r="G542" s="34"/>
      <c r="H542" s="30"/>
      <c r="I542" s="34"/>
      <c r="J542" s="34"/>
      <c r="K542" s="34"/>
      <c r="L542" s="34"/>
      <c r="M542" s="34"/>
      <c r="N542" s="34"/>
      <c r="O542" s="34"/>
      <c r="P542" s="34"/>
    </row>
    <row r="543" spans="1:16" ht="12.75">
      <c r="A543" s="34"/>
      <c r="B543" s="33"/>
      <c r="C543" s="34"/>
      <c r="D543" s="33"/>
      <c r="E543" s="34"/>
      <c r="F543" s="34"/>
      <c r="G543" s="34"/>
      <c r="H543" s="30"/>
      <c r="I543" s="34"/>
      <c r="J543" s="34"/>
      <c r="K543" s="34"/>
      <c r="L543" s="34"/>
      <c r="M543" s="34"/>
      <c r="N543" s="34"/>
      <c r="O543" s="34"/>
      <c r="P543" s="34"/>
    </row>
    <row r="544" spans="1:16" ht="12.75">
      <c r="A544" s="34"/>
      <c r="B544" s="33"/>
      <c r="C544" s="34"/>
      <c r="D544" s="33"/>
      <c r="E544" s="34"/>
      <c r="F544" s="34"/>
      <c r="G544" s="34"/>
      <c r="H544" s="30"/>
      <c r="I544" s="34"/>
      <c r="J544" s="34"/>
      <c r="K544" s="34"/>
      <c r="L544" s="34"/>
      <c r="M544" s="34"/>
      <c r="N544" s="34"/>
      <c r="O544" s="34"/>
      <c r="P544" s="34"/>
    </row>
    <row r="545" spans="1:16" ht="12.75">
      <c r="A545" s="34"/>
      <c r="B545" s="33"/>
      <c r="C545" s="34"/>
      <c r="D545" s="33"/>
      <c r="E545" s="34"/>
      <c r="F545" s="34"/>
      <c r="G545" s="34"/>
      <c r="H545" s="30"/>
      <c r="I545" s="34"/>
      <c r="J545" s="34"/>
      <c r="K545" s="34"/>
      <c r="L545" s="34"/>
      <c r="M545" s="34"/>
      <c r="N545" s="34"/>
      <c r="O545" s="34"/>
      <c r="P545" s="34"/>
    </row>
    <row r="546" spans="1:16" ht="12.75">
      <c r="A546" s="34"/>
      <c r="B546" s="33"/>
      <c r="C546" s="34"/>
      <c r="D546" s="33"/>
      <c r="E546" s="34"/>
      <c r="F546" s="34"/>
      <c r="G546" s="34"/>
      <c r="H546" s="30"/>
      <c r="I546" s="34"/>
      <c r="J546" s="34"/>
      <c r="K546" s="34"/>
      <c r="L546" s="34"/>
      <c r="M546" s="34"/>
      <c r="N546" s="34"/>
      <c r="O546" s="34"/>
      <c r="P546" s="34"/>
    </row>
    <row r="547" spans="1:16" ht="12.75">
      <c r="A547" s="34"/>
      <c r="B547" s="33"/>
      <c r="C547" s="34"/>
      <c r="D547" s="33"/>
      <c r="E547" s="34"/>
      <c r="F547" s="34"/>
      <c r="G547" s="34"/>
      <c r="H547" s="30"/>
      <c r="I547" s="34"/>
      <c r="J547" s="34"/>
      <c r="K547" s="34"/>
      <c r="L547" s="34"/>
      <c r="M547" s="34"/>
      <c r="N547" s="34"/>
      <c r="O547" s="34"/>
      <c r="P547" s="34"/>
    </row>
    <row r="548" spans="1:16" ht="12.75">
      <c r="A548" s="34"/>
      <c r="B548" s="33"/>
      <c r="C548" s="34"/>
      <c r="D548" s="33"/>
      <c r="E548" s="34"/>
      <c r="F548" s="34"/>
      <c r="G548" s="34"/>
      <c r="H548" s="30"/>
      <c r="I548" s="34"/>
      <c r="J548" s="34"/>
      <c r="K548" s="34"/>
      <c r="L548" s="34"/>
      <c r="M548" s="34"/>
      <c r="N548" s="34"/>
      <c r="O548" s="34"/>
      <c r="P548" s="34"/>
    </row>
    <row r="549" spans="1:16" ht="12.75">
      <c r="A549" s="34"/>
      <c r="B549" s="33"/>
      <c r="C549" s="34"/>
      <c r="D549" s="33"/>
      <c r="E549" s="34"/>
      <c r="F549" s="34"/>
      <c r="G549" s="34"/>
      <c r="H549" s="30"/>
      <c r="I549" s="34"/>
      <c r="J549" s="34"/>
      <c r="K549" s="34"/>
      <c r="L549" s="34"/>
      <c r="M549" s="34"/>
      <c r="N549" s="34"/>
      <c r="O549" s="34"/>
      <c r="P549" s="34"/>
    </row>
    <row r="550" spans="1:16" ht="12.75">
      <c r="A550" s="34"/>
      <c r="B550" s="33"/>
      <c r="C550" s="34"/>
      <c r="D550" s="33"/>
      <c r="E550" s="34"/>
      <c r="F550" s="34"/>
      <c r="G550" s="34"/>
      <c r="H550" s="30"/>
      <c r="I550" s="34"/>
      <c r="J550" s="34"/>
      <c r="K550" s="34"/>
      <c r="L550" s="34"/>
      <c r="M550" s="34"/>
      <c r="N550" s="34"/>
      <c r="O550" s="34"/>
      <c r="P550" s="34"/>
    </row>
    <row r="551" spans="1:16" ht="12.75">
      <c r="A551" s="34"/>
      <c r="B551" s="33"/>
      <c r="C551" s="34"/>
      <c r="D551" s="33"/>
      <c r="E551" s="34"/>
      <c r="F551" s="34"/>
      <c r="G551" s="34"/>
      <c r="H551" s="30"/>
      <c r="I551" s="34"/>
      <c r="J551" s="34"/>
      <c r="K551" s="34"/>
      <c r="L551" s="34"/>
      <c r="M551" s="34"/>
      <c r="N551" s="34"/>
      <c r="O551" s="34"/>
      <c r="P551" s="34"/>
    </row>
    <row r="552" spans="1:16" ht="12.75">
      <c r="A552" s="34"/>
      <c r="B552" s="33"/>
      <c r="C552" s="34"/>
      <c r="D552" s="33"/>
      <c r="E552" s="34"/>
      <c r="F552" s="34"/>
      <c r="G552" s="34"/>
      <c r="H552" s="30"/>
      <c r="I552" s="34"/>
      <c r="J552" s="34"/>
      <c r="K552" s="34"/>
      <c r="L552" s="34"/>
      <c r="M552" s="34"/>
      <c r="N552" s="34"/>
      <c r="O552" s="34"/>
      <c r="P552" s="34"/>
    </row>
    <row r="553" spans="1:16" ht="12.75">
      <c r="A553" s="34"/>
      <c r="B553" s="33"/>
      <c r="C553" s="34"/>
      <c r="D553" s="33"/>
      <c r="E553" s="34"/>
      <c r="F553" s="34"/>
      <c r="G553" s="34"/>
      <c r="H553" s="30"/>
      <c r="I553" s="34"/>
      <c r="J553" s="34"/>
      <c r="K553" s="34"/>
      <c r="L553" s="34"/>
      <c r="M553" s="34"/>
      <c r="N553" s="34"/>
      <c r="O553" s="34"/>
      <c r="P553" s="34"/>
    </row>
    <row r="554" spans="1:16" ht="12.75">
      <c r="A554" s="34"/>
      <c r="B554" s="33"/>
      <c r="C554" s="34"/>
      <c r="D554" s="33"/>
      <c r="E554" s="34"/>
      <c r="F554" s="34"/>
      <c r="G554" s="34"/>
      <c r="H554" s="30"/>
      <c r="I554" s="34"/>
      <c r="J554" s="34"/>
      <c r="K554" s="34"/>
      <c r="L554" s="34"/>
      <c r="M554" s="34"/>
      <c r="N554" s="34"/>
      <c r="O554" s="34"/>
      <c r="P554" s="34"/>
    </row>
    <row r="555" spans="1:16" ht="12.75">
      <c r="A555" s="34"/>
      <c r="B555" s="33"/>
      <c r="C555" s="34"/>
      <c r="D555" s="33"/>
      <c r="E555" s="34"/>
      <c r="F555" s="34"/>
      <c r="G555" s="34"/>
      <c r="H555" s="30"/>
      <c r="I555" s="34"/>
      <c r="J555" s="34"/>
      <c r="K555" s="34"/>
      <c r="L555" s="34"/>
      <c r="M555" s="34"/>
      <c r="N555" s="34"/>
      <c r="O555" s="34"/>
      <c r="P555" s="34"/>
    </row>
    <row r="556" spans="1:16" ht="12.75">
      <c r="A556" s="34"/>
      <c r="B556" s="33"/>
      <c r="C556" s="34"/>
      <c r="D556" s="33"/>
      <c r="E556" s="34"/>
      <c r="F556" s="34"/>
      <c r="G556" s="34"/>
      <c r="H556" s="30"/>
      <c r="I556" s="34"/>
      <c r="J556" s="34"/>
      <c r="K556" s="34"/>
      <c r="L556" s="34"/>
      <c r="M556" s="34"/>
      <c r="N556" s="34"/>
      <c r="O556" s="34"/>
      <c r="P556" s="34"/>
    </row>
    <row r="557" spans="1:16" ht="12.75">
      <c r="A557" s="34"/>
      <c r="B557" s="33"/>
      <c r="C557" s="34"/>
      <c r="D557" s="33"/>
      <c r="E557" s="34"/>
      <c r="F557" s="34"/>
      <c r="G557" s="34"/>
      <c r="H557" s="30"/>
      <c r="I557" s="34"/>
      <c r="J557" s="34"/>
      <c r="K557" s="34"/>
      <c r="L557" s="34"/>
      <c r="M557" s="34"/>
      <c r="N557" s="34"/>
      <c r="O557" s="34"/>
      <c r="P557" s="34"/>
    </row>
    <row r="558" spans="1:16" ht="12.75">
      <c r="A558" s="34"/>
      <c r="B558" s="33"/>
      <c r="C558" s="34"/>
      <c r="D558" s="33"/>
      <c r="E558" s="34"/>
      <c r="F558" s="34"/>
      <c r="G558" s="34"/>
      <c r="H558" s="30"/>
      <c r="I558" s="34"/>
      <c r="J558" s="34"/>
      <c r="K558" s="34"/>
      <c r="L558" s="34"/>
      <c r="M558" s="34"/>
      <c r="N558" s="34"/>
      <c r="O558" s="34"/>
      <c r="P558" s="34"/>
    </row>
    <row r="559" spans="1:16" ht="12.75">
      <c r="A559" s="34"/>
      <c r="B559" s="33"/>
      <c r="C559" s="34"/>
      <c r="D559" s="33"/>
      <c r="E559" s="34"/>
      <c r="F559" s="34"/>
      <c r="G559" s="34"/>
      <c r="H559" s="30"/>
      <c r="I559" s="34"/>
      <c r="J559" s="34"/>
      <c r="K559" s="34"/>
      <c r="L559" s="34"/>
      <c r="M559" s="34"/>
      <c r="N559" s="34"/>
      <c r="O559" s="34"/>
      <c r="P559" s="34"/>
    </row>
    <row r="560" spans="1:16" ht="12.75">
      <c r="A560" s="34"/>
      <c r="B560" s="33"/>
      <c r="C560" s="34"/>
      <c r="D560" s="33"/>
      <c r="E560" s="34"/>
      <c r="F560" s="34"/>
      <c r="G560" s="34"/>
      <c r="H560" s="30"/>
      <c r="I560" s="34"/>
      <c r="J560" s="34"/>
      <c r="K560" s="34"/>
      <c r="L560" s="34"/>
      <c r="M560" s="34"/>
      <c r="N560" s="34"/>
      <c r="O560" s="34"/>
      <c r="P560" s="34"/>
    </row>
    <row r="561" spans="1:16" ht="12.75">
      <c r="A561" s="34"/>
      <c r="B561" s="33"/>
      <c r="C561" s="34"/>
      <c r="D561" s="33"/>
      <c r="E561" s="34"/>
      <c r="F561" s="34"/>
      <c r="G561" s="34"/>
      <c r="H561" s="30"/>
      <c r="I561" s="34"/>
      <c r="J561" s="34"/>
      <c r="K561" s="34"/>
      <c r="L561" s="34"/>
      <c r="M561" s="34"/>
      <c r="N561" s="34"/>
      <c r="O561" s="34"/>
      <c r="P561" s="34"/>
    </row>
    <row r="562" spans="1:16" ht="12.75">
      <c r="A562" s="34"/>
      <c r="B562" s="33"/>
      <c r="C562" s="34"/>
      <c r="D562" s="33"/>
      <c r="E562" s="34"/>
      <c r="F562" s="34"/>
      <c r="G562" s="34"/>
      <c r="H562" s="30"/>
      <c r="I562" s="34"/>
      <c r="J562" s="34"/>
      <c r="K562" s="34"/>
      <c r="L562" s="34"/>
      <c r="M562" s="34"/>
      <c r="N562" s="34"/>
      <c r="O562" s="34"/>
      <c r="P562" s="34"/>
    </row>
    <row r="563" spans="1:16" ht="12.75">
      <c r="A563" s="34"/>
      <c r="B563" s="33"/>
      <c r="C563" s="34"/>
      <c r="D563" s="33"/>
      <c r="E563" s="34"/>
      <c r="F563" s="34"/>
      <c r="G563" s="34"/>
      <c r="H563" s="30"/>
      <c r="I563" s="34"/>
      <c r="J563" s="34"/>
      <c r="K563" s="34"/>
      <c r="L563" s="34"/>
      <c r="M563" s="34"/>
      <c r="N563" s="34"/>
      <c r="O563" s="34"/>
      <c r="P563" s="34"/>
    </row>
    <row r="564" spans="1:16" ht="12.75">
      <c r="A564" s="34"/>
      <c r="B564" s="33"/>
      <c r="C564" s="34"/>
      <c r="D564" s="33"/>
      <c r="E564" s="34"/>
      <c r="F564" s="34"/>
      <c r="G564" s="34"/>
      <c r="H564" s="30"/>
      <c r="I564" s="34"/>
      <c r="J564" s="34"/>
      <c r="K564" s="34"/>
      <c r="L564" s="34"/>
      <c r="M564" s="34"/>
      <c r="N564" s="34"/>
      <c r="O564" s="34"/>
      <c r="P564" s="34"/>
    </row>
    <row r="565" spans="1:16" ht="12.75">
      <c r="A565" s="34"/>
      <c r="B565" s="33"/>
      <c r="C565" s="34"/>
      <c r="D565" s="33"/>
      <c r="E565" s="34"/>
      <c r="F565" s="34"/>
      <c r="G565" s="34"/>
      <c r="H565" s="30"/>
      <c r="I565" s="34"/>
      <c r="J565" s="34"/>
      <c r="K565" s="34"/>
      <c r="L565" s="34"/>
      <c r="M565" s="34"/>
      <c r="N565" s="34"/>
      <c r="O565" s="34"/>
      <c r="P565" s="34"/>
    </row>
    <row r="566" spans="1:16" ht="12.75">
      <c r="A566" s="34"/>
      <c r="B566" s="33"/>
      <c r="C566" s="34"/>
      <c r="D566" s="33"/>
      <c r="E566" s="34"/>
      <c r="F566" s="34"/>
      <c r="G566" s="34"/>
      <c r="H566" s="30"/>
      <c r="I566" s="34"/>
      <c r="J566" s="34"/>
      <c r="K566" s="34"/>
      <c r="L566" s="34"/>
      <c r="M566" s="34"/>
      <c r="N566" s="34"/>
      <c r="O566" s="34"/>
      <c r="P566" s="34"/>
    </row>
    <row r="567" spans="1:16" ht="12.75">
      <c r="A567" s="34"/>
      <c r="B567" s="33"/>
      <c r="C567" s="34"/>
      <c r="D567" s="33"/>
      <c r="E567" s="34"/>
      <c r="F567" s="34"/>
      <c r="G567" s="34"/>
      <c r="H567" s="30"/>
      <c r="I567" s="34"/>
      <c r="J567" s="34"/>
      <c r="K567" s="34"/>
      <c r="L567" s="34"/>
      <c r="M567" s="34"/>
      <c r="N567" s="34"/>
      <c r="O567" s="34"/>
      <c r="P567" s="34"/>
    </row>
    <row r="568" spans="1:16" ht="12.75">
      <c r="A568" s="34"/>
      <c r="B568" s="33"/>
      <c r="C568" s="34"/>
      <c r="D568" s="33"/>
      <c r="E568" s="34"/>
      <c r="F568" s="34"/>
      <c r="G568" s="34"/>
      <c r="H568" s="30"/>
      <c r="I568" s="34"/>
      <c r="J568" s="34"/>
      <c r="K568" s="34"/>
      <c r="L568" s="34"/>
      <c r="M568" s="34"/>
      <c r="N568" s="34"/>
      <c r="O568" s="34"/>
      <c r="P568" s="34"/>
    </row>
    <row r="569" spans="1:16" ht="12.75">
      <c r="A569" s="34"/>
      <c r="B569" s="33"/>
      <c r="C569" s="34"/>
      <c r="D569" s="33"/>
      <c r="E569" s="34"/>
      <c r="F569" s="34"/>
      <c r="G569" s="34"/>
      <c r="H569" s="30"/>
      <c r="I569" s="34"/>
      <c r="J569" s="34"/>
      <c r="K569" s="34"/>
      <c r="L569" s="34"/>
      <c r="M569" s="34"/>
      <c r="N569" s="34"/>
      <c r="O569" s="34"/>
      <c r="P569" s="34"/>
    </row>
    <row r="570" spans="1:16" ht="12.75">
      <c r="A570" s="34"/>
      <c r="B570" s="33"/>
      <c r="C570" s="34"/>
      <c r="D570" s="33"/>
      <c r="E570" s="34"/>
      <c r="F570" s="34"/>
      <c r="G570" s="34"/>
      <c r="H570" s="30"/>
      <c r="I570" s="34"/>
      <c r="J570" s="34"/>
      <c r="K570" s="34"/>
      <c r="L570" s="34"/>
      <c r="M570" s="34"/>
      <c r="N570" s="34"/>
      <c r="O570" s="34"/>
      <c r="P570" s="34"/>
    </row>
    <row r="571" spans="1:16" ht="12.75">
      <c r="A571" s="34"/>
      <c r="B571" s="33"/>
      <c r="C571" s="34"/>
      <c r="D571" s="33"/>
      <c r="E571" s="34"/>
      <c r="F571" s="34"/>
      <c r="G571" s="34"/>
      <c r="H571" s="30"/>
      <c r="I571" s="34"/>
      <c r="J571" s="34"/>
      <c r="K571" s="34"/>
      <c r="L571" s="34"/>
      <c r="M571" s="34"/>
      <c r="N571" s="34"/>
      <c r="O571" s="34"/>
      <c r="P571" s="34"/>
    </row>
    <row r="572" spans="1:16" ht="12.75">
      <c r="A572" s="34"/>
      <c r="B572" s="33"/>
      <c r="C572" s="34"/>
      <c r="D572" s="33"/>
      <c r="E572" s="34"/>
      <c r="F572" s="34"/>
      <c r="G572" s="34"/>
      <c r="H572" s="30"/>
      <c r="I572" s="34"/>
      <c r="J572" s="34"/>
      <c r="K572" s="34"/>
      <c r="L572" s="34"/>
      <c r="M572" s="34"/>
      <c r="N572" s="34"/>
      <c r="O572" s="34"/>
      <c r="P572" s="34"/>
    </row>
    <row r="573" spans="1:16" ht="12.75">
      <c r="A573" s="34"/>
      <c r="B573" s="33"/>
      <c r="C573" s="34"/>
      <c r="D573" s="33"/>
      <c r="E573" s="34"/>
      <c r="F573" s="34"/>
      <c r="G573" s="34"/>
      <c r="H573" s="30"/>
      <c r="I573" s="34"/>
      <c r="J573" s="34"/>
      <c r="K573" s="34"/>
      <c r="L573" s="34"/>
      <c r="M573" s="34"/>
      <c r="N573" s="34"/>
      <c r="O573" s="34"/>
      <c r="P573" s="34"/>
    </row>
    <row r="574" spans="1:16" ht="12.75">
      <c r="A574" s="34"/>
      <c r="B574" s="33"/>
      <c r="C574" s="34"/>
      <c r="D574" s="33"/>
      <c r="E574" s="34"/>
      <c r="F574" s="34"/>
      <c r="G574" s="34"/>
      <c r="H574" s="30"/>
      <c r="I574" s="34"/>
      <c r="J574" s="34"/>
      <c r="K574" s="34"/>
      <c r="L574" s="34"/>
      <c r="M574" s="34"/>
      <c r="N574" s="34"/>
      <c r="O574" s="34"/>
      <c r="P574" s="34"/>
    </row>
    <row r="575" spans="1:16" ht="12.75">
      <c r="A575" s="34"/>
      <c r="B575" s="33"/>
      <c r="C575" s="34"/>
      <c r="D575" s="33"/>
      <c r="E575" s="34"/>
      <c r="F575" s="34"/>
      <c r="G575" s="34"/>
      <c r="H575" s="30"/>
      <c r="I575" s="34"/>
      <c r="J575" s="34"/>
      <c r="K575" s="34"/>
      <c r="L575" s="34"/>
      <c r="M575" s="34"/>
      <c r="N575" s="34"/>
      <c r="O575" s="34"/>
      <c r="P575" s="34"/>
    </row>
    <row r="576" spans="1:16" ht="12.75">
      <c r="A576" s="34"/>
      <c r="B576" s="33"/>
      <c r="C576" s="34"/>
      <c r="D576" s="33"/>
      <c r="E576" s="34"/>
      <c r="F576" s="34"/>
      <c r="G576" s="34"/>
      <c r="H576" s="30"/>
      <c r="I576" s="34"/>
      <c r="J576" s="34"/>
      <c r="K576" s="34"/>
      <c r="L576" s="34"/>
      <c r="M576" s="34"/>
      <c r="N576" s="34"/>
      <c r="O576" s="34"/>
      <c r="P576" s="34"/>
    </row>
    <row r="577" spans="1:16" ht="12.75">
      <c r="A577" s="34"/>
      <c r="B577" s="33"/>
      <c r="C577" s="34"/>
      <c r="D577" s="33"/>
      <c r="E577" s="34"/>
      <c r="F577" s="34"/>
      <c r="G577" s="34"/>
      <c r="H577" s="30"/>
      <c r="I577" s="34"/>
      <c r="J577" s="34"/>
      <c r="K577" s="34"/>
      <c r="L577" s="34"/>
      <c r="M577" s="34"/>
      <c r="N577" s="34"/>
      <c r="O577" s="34"/>
      <c r="P577" s="34"/>
    </row>
    <row r="578" spans="1:16" ht="12.75">
      <c r="A578" s="34"/>
      <c r="B578" s="33"/>
      <c r="C578" s="34"/>
      <c r="D578" s="33"/>
      <c r="E578" s="34"/>
      <c r="F578" s="34"/>
      <c r="G578" s="34"/>
      <c r="H578" s="30"/>
      <c r="I578" s="34"/>
      <c r="J578" s="34"/>
      <c r="K578" s="34"/>
      <c r="L578" s="34"/>
      <c r="M578" s="34"/>
      <c r="N578" s="34"/>
      <c r="O578" s="34"/>
      <c r="P578" s="34"/>
    </row>
    <row r="579" spans="1:16" ht="12.75">
      <c r="A579" s="34"/>
      <c r="B579" s="33"/>
      <c r="C579" s="34"/>
      <c r="D579" s="33"/>
      <c r="E579" s="34"/>
      <c r="F579" s="34"/>
      <c r="G579" s="34"/>
      <c r="H579" s="30"/>
      <c r="I579" s="34"/>
      <c r="J579" s="34"/>
      <c r="K579" s="34"/>
      <c r="L579" s="34"/>
      <c r="M579" s="34"/>
      <c r="N579" s="34"/>
      <c r="O579" s="34"/>
      <c r="P579" s="34"/>
    </row>
    <row r="580" spans="1:16" ht="12.75">
      <c r="A580" s="34"/>
      <c r="B580" s="33"/>
      <c r="C580" s="34"/>
      <c r="D580" s="33"/>
      <c r="E580" s="34"/>
      <c r="F580" s="34"/>
      <c r="G580" s="34"/>
      <c r="H580" s="30"/>
      <c r="I580" s="34"/>
      <c r="J580" s="34"/>
      <c r="K580" s="34"/>
      <c r="L580" s="34"/>
      <c r="M580" s="34"/>
      <c r="N580" s="34"/>
      <c r="O580" s="34"/>
      <c r="P580" s="34"/>
    </row>
    <row r="581" spans="1:16" ht="12.75">
      <c r="A581" s="34"/>
      <c r="B581" s="33"/>
      <c r="C581" s="34"/>
      <c r="D581" s="33"/>
      <c r="E581" s="34"/>
      <c r="F581" s="34"/>
      <c r="G581" s="34"/>
      <c r="H581" s="30"/>
      <c r="I581" s="34"/>
      <c r="J581" s="34"/>
      <c r="K581" s="34"/>
      <c r="L581" s="34"/>
      <c r="M581" s="34"/>
      <c r="N581" s="34"/>
      <c r="O581" s="34"/>
      <c r="P581" s="34"/>
    </row>
    <row r="582" spans="1:16" ht="12.75">
      <c r="A582" s="34"/>
      <c r="B582" s="33"/>
      <c r="C582" s="34"/>
      <c r="D582" s="33"/>
      <c r="E582" s="34"/>
      <c r="F582" s="34"/>
      <c r="G582" s="34"/>
      <c r="H582" s="30"/>
      <c r="I582" s="34"/>
      <c r="J582" s="34"/>
      <c r="K582" s="34"/>
      <c r="L582" s="34"/>
      <c r="M582" s="34"/>
      <c r="N582" s="34"/>
      <c r="O582" s="34"/>
      <c r="P582" s="34"/>
    </row>
    <row r="583" spans="1:16" ht="12.75">
      <c r="A583" s="34"/>
      <c r="B583" s="33"/>
      <c r="C583" s="34"/>
      <c r="D583" s="33"/>
      <c r="E583" s="34"/>
      <c r="F583" s="34"/>
      <c r="G583" s="34"/>
      <c r="H583" s="30"/>
      <c r="I583" s="34"/>
      <c r="J583" s="34"/>
      <c r="K583" s="34"/>
      <c r="L583" s="34"/>
      <c r="M583" s="34"/>
      <c r="N583" s="34"/>
      <c r="O583" s="34"/>
      <c r="P583" s="34"/>
    </row>
    <row r="584" spans="1:16" ht="12.75">
      <c r="A584" s="34"/>
      <c r="B584" s="33"/>
      <c r="C584" s="34"/>
      <c r="D584" s="33"/>
      <c r="E584" s="34"/>
      <c r="F584" s="34"/>
      <c r="G584" s="34"/>
      <c r="H584" s="30"/>
      <c r="I584" s="34"/>
      <c r="J584" s="34"/>
      <c r="K584" s="34"/>
      <c r="L584" s="34"/>
      <c r="M584" s="34"/>
      <c r="N584" s="34"/>
      <c r="O584" s="34"/>
      <c r="P584" s="34"/>
    </row>
    <row r="585" spans="1:16" ht="12.75">
      <c r="A585" s="34"/>
      <c r="B585" s="33"/>
      <c r="C585" s="34"/>
      <c r="D585" s="33"/>
      <c r="E585" s="34"/>
      <c r="F585" s="34"/>
      <c r="G585" s="34"/>
      <c r="H585" s="30"/>
      <c r="I585" s="34"/>
      <c r="J585" s="34"/>
      <c r="K585" s="34"/>
      <c r="L585" s="34"/>
      <c r="M585" s="34"/>
      <c r="N585" s="34"/>
      <c r="O585" s="34"/>
      <c r="P585" s="34"/>
    </row>
    <row r="586" spans="1:16" ht="12.75">
      <c r="A586" s="34"/>
      <c r="B586" s="33"/>
      <c r="C586" s="34"/>
      <c r="D586" s="33"/>
      <c r="E586" s="34"/>
      <c r="F586" s="34"/>
      <c r="G586" s="34"/>
      <c r="H586" s="30"/>
      <c r="I586" s="34"/>
      <c r="J586" s="34"/>
      <c r="K586" s="34"/>
      <c r="L586" s="34"/>
      <c r="M586" s="34"/>
      <c r="N586" s="34"/>
      <c r="O586" s="34"/>
      <c r="P586" s="34"/>
    </row>
    <row r="587" spans="1:16" ht="12.75">
      <c r="A587" s="34"/>
      <c r="B587" s="33"/>
      <c r="C587" s="34"/>
      <c r="D587" s="33"/>
      <c r="E587" s="34"/>
      <c r="F587" s="34"/>
      <c r="G587" s="34"/>
      <c r="H587" s="30"/>
      <c r="I587" s="34"/>
      <c r="J587" s="34"/>
      <c r="K587" s="34"/>
      <c r="L587" s="34"/>
      <c r="M587" s="34"/>
      <c r="N587" s="34"/>
      <c r="O587" s="34"/>
      <c r="P587" s="34"/>
    </row>
    <row r="588" spans="1:16" ht="12.75">
      <c r="A588" s="34"/>
      <c r="B588" s="33"/>
      <c r="C588" s="34"/>
      <c r="D588" s="33"/>
      <c r="E588" s="34"/>
      <c r="F588" s="34"/>
      <c r="G588" s="34"/>
      <c r="H588" s="30"/>
      <c r="I588" s="34"/>
      <c r="J588" s="34"/>
      <c r="K588" s="34"/>
      <c r="L588" s="34"/>
      <c r="M588" s="34"/>
      <c r="N588" s="34"/>
      <c r="O588" s="34"/>
      <c r="P588" s="34"/>
    </row>
    <row r="589" spans="1:16" ht="12.75">
      <c r="A589" s="34"/>
      <c r="B589" s="33"/>
      <c r="C589" s="34"/>
      <c r="D589" s="33"/>
      <c r="E589" s="34"/>
      <c r="F589" s="34"/>
      <c r="G589" s="34"/>
      <c r="H589" s="30"/>
      <c r="I589" s="34"/>
      <c r="J589" s="34"/>
      <c r="K589" s="34"/>
      <c r="L589" s="34"/>
      <c r="M589" s="34"/>
      <c r="N589" s="34"/>
      <c r="O589" s="34"/>
      <c r="P589" s="34"/>
    </row>
    <row r="590" spans="1:16" ht="12.75">
      <c r="A590" s="34"/>
      <c r="B590" s="33"/>
      <c r="C590" s="34"/>
      <c r="D590" s="33"/>
      <c r="E590" s="34"/>
      <c r="F590" s="34"/>
      <c r="G590" s="34"/>
      <c r="H590" s="30"/>
      <c r="I590" s="34"/>
      <c r="J590" s="34"/>
      <c r="K590" s="34"/>
      <c r="L590" s="34"/>
      <c r="M590" s="34"/>
      <c r="N590" s="34"/>
      <c r="O590" s="34"/>
      <c r="P590" s="34"/>
    </row>
    <row r="591" spans="1:16" ht="12.75">
      <c r="A591" s="34"/>
      <c r="B591" s="33"/>
      <c r="C591" s="34"/>
      <c r="D591" s="33"/>
      <c r="E591" s="34"/>
      <c r="F591" s="34"/>
      <c r="G591" s="34"/>
      <c r="H591" s="30"/>
      <c r="I591" s="34"/>
      <c r="J591" s="34"/>
      <c r="K591" s="34"/>
      <c r="L591" s="34"/>
      <c r="M591" s="34"/>
      <c r="N591" s="34"/>
      <c r="O591" s="34"/>
      <c r="P591" s="34"/>
    </row>
    <row r="592" spans="1:16" ht="12.75">
      <c r="A592" s="34"/>
      <c r="B592" s="33"/>
      <c r="C592" s="34"/>
      <c r="D592" s="33"/>
      <c r="E592" s="34"/>
      <c r="F592" s="34"/>
      <c r="G592" s="34"/>
      <c r="H592" s="30"/>
      <c r="I592" s="34"/>
      <c r="J592" s="34"/>
      <c r="K592" s="34"/>
      <c r="L592" s="34"/>
      <c r="M592" s="34"/>
      <c r="N592" s="34"/>
      <c r="O592" s="34"/>
      <c r="P592" s="34"/>
    </row>
    <row r="593" spans="1:16" ht="12.75">
      <c r="A593" s="34"/>
      <c r="B593" s="33"/>
      <c r="C593" s="34"/>
      <c r="D593" s="33"/>
      <c r="E593" s="34"/>
      <c r="F593" s="34"/>
      <c r="G593" s="34"/>
      <c r="H593" s="30"/>
      <c r="I593" s="34"/>
      <c r="J593" s="34"/>
      <c r="K593" s="34"/>
      <c r="L593" s="34"/>
      <c r="M593" s="34"/>
      <c r="N593" s="34"/>
      <c r="O593" s="34"/>
      <c r="P593" s="34"/>
    </row>
    <row r="594" spans="1:16" ht="12.75">
      <c r="A594" s="34"/>
      <c r="B594" s="33"/>
      <c r="C594" s="34"/>
      <c r="D594" s="33"/>
      <c r="E594" s="34"/>
      <c r="F594" s="34"/>
      <c r="G594" s="34"/>
      <c r="H594" s="30"/>
      <c r="I594" s="34"/>
      <c r="J594" s="34"/>
      <c r="K594" s="34"/>
      <c r="L594" s="34"/>
      <c r="M594" s="34"/>
      <c r="N594" s="34"/>
      <c r="O594" s="34"/>
      <c r="P594" s="34"/>
    </row>
    <row r="595" spans="1:16" ht="12.75">
      <c r="A595" s="34"/>
      <c r="B595" s="33"/>
      <c r="C595" s="34"/>
      <c r="D595" s="33"/>
      <c r="E595" s="34"/>
      <c r="F595" s="34"/>
      <c r="G595" s="34"/>
      <c r="H595" s="30"/>
      <c r="I595" s="34"/>
      <c r="J595" s="34"/>
      <c r="K595" s="34"/>
      <c r="L595" s="34"/>
      <c r="M595" s="34"/>
      <c r="N595" s="34"/>
      <c r="O595" s="34"/>
      <c r="P595" s="34"/>
    </row>
    <row r="596" spans="1:16" ht="12.75">
      <c r="A596" s="34"/>
      <c r="B596" s="33"/>
      <c r="C596" s="34"/>
      <c r="D596" s="33"/>
      <c r="E596" s="34"/>
      <c r="F596" s="34"/>
      <c r="G596" s="34"/>
      <c r="H596" s="30"/>
      <c r="I596" s="34"/>
      <c r="J596" s="34"/>
      <c r="K596" s="34"/>
      <c r="L596" s="34"/>
      <c r="M596" s="34"/>
      <c r="N596" s="34"/>
      <c r="O596" s="34"/>
      <c r="P596" s="34"/>
    </row>
    <row r="597" spans="1:16" ht="12.75">
      <c r="A597" s="34"/>
      <c r="B597" s="33"/>
      <c r="C597" s="34"/>
      <c r="D597" s="33"/>
      <c r="E597" s="34"/>
      <c r="F597" s="34"/>
      <c r="G597" s="34"/>
      <c r="H597" s="30"/>
      <c r="I597" s="34"/>
      <c r="J597" s="34"/>
      <c r="K597" s="34"/>
      <c r="L597" s="34"/>
      <c r="M597" s="34"/>
      <c r="N597" s="34"/>
      <c r="O597" s="34"/>
      <c r="P597" s="34"/>
    </row>
    <row r="598" spans="1:16" ht="12.75">
      <c r="A598" s="34"/>
      <c r="B598" s="33"/>
      <c r="C598" s="34"/>
      <c r="D598" s="33"/>
      <c r="E598" s="34"/>
      <c r="F598" s="34"/>
      <c r="G598" s="34"/>
      <c r="H598" s="30"/>
      <c r="I598" s="34"/>
      <c r="J598" s="34"/>
      <c r="K598" s="34"/>
      <c r="L598" s="34"/>
      <c r="M598" s="34"/>
      <c r="N598" s="34"/>
      <c r="O598" s="34"/>
      <c r="P598" s="34"/>
    </row>
    <row r="599" spans="1:16" ht="12.75">
      <c r="A599" s="34"/>
      <c r="B599" s="33"/>
      <c r="C599" s="34"/>
      <c r="D599" s="33"/>
      <c r="E599" s="34"/>
      <c r="F599" s="34"/>
      <c r="G599" s="34"/>
      <c r="H599" s="30"/>
      <c r="I599" s="34"/>
      <c r="J599" s="34"/>
      <c r="K599" s="34"/>
      <c r="L599" s="34"/>
      <c r="M599" s="34"/>
      <c r="N599" s="34"/>
      <c r="O599" s="34"/>
      <c r="P599" s="34"/>
    </row>
    <row r="600" spans="1:16" ht="12.75">
      <c r="A600" s="34"/>
      <c r="B600" s="33"/>
      <c r="C600" s="34"/>
      <c r="D600" s="33"/>
      <c r="E600" s="34"/>
      <c r="F600" s="34"/>
      <c r="G600" s="34"/>
      <c r="H600" s="30"/>
      <c r="I600" s="34"/>
      <c r="J600" s="34"/>
      <c r="K600" s="34"/>
      <c r="L600" s="34"/>
      <c r="M600" s="34"/>
      <c r="N600" s="34"/>
      <c r="O600" s="34"/>
      <c r="P600" s="34"/>
    </row>
    <row r="601" spans="1:16" ht="12.75">
      <c r="A601" s="34"/>
      <c r="B601" s="33"/>
      <c r="C601" s="34"/>
      <c r="D601" s="33"/>
      <c r="E601" s="34"/>
      <c r="F601" s="34"/>
      <c r="G601" s="34"/>
      <c r="H601" s="30"/>
      <c r="I601" s="34"/>
      <c r="J601" s="34"/>
      <c r="K601" s="34"/>
      <c r="L601" s="34"/>
      <c r="M601" s="34"/>
      <c r="N601" s="34"/>
      <c r="O601" s="34"/>
      <c r="P601" s="34"/>
    </row>
    <row r="602" spans="1:16" ht="12.75">
      <c r="A602" s="34"/>
      <c r="B602" s="33"/>
      <c r="C602" s="34"/>
      <c r="D602" s="33"/>
      <c r="E602" s="34"/>
      <c r="F602" s="34"/>
      <c r="G602" s="34"/>
      <c r="H602" s="30"/>
      <c r="I602" s="34"/>
      <c r="J602" s="34"/>
      <c r="K602" s="34"/>
      <c r="L602" s="34"/>
      <c r="M602" s="34"/>
      <c r="N602" s="34"/>
      <c r="O602" s="34"/>
      <c r="P602" s="34"/>
    </row>
    <row r="603" spans="1:16" ht="12.75">
      <c r="A603" s="34"/>
      <c r="B603" s="33"/>
      <c r="C603" s="34"/>
      <c r="D603" s="33"/>
      <c r="E603" s="34"/>
      <c r="F603" s="34"/>
      <c r="G603" s="34"/>
      <c r="H603" s="30"/>
      <c r="I603" s="34"/>
      <c r="J603" s="34"/>
      <c r="K603" s="34"/>
      <c r="L603" s="34"/>
      <c r="M603" s="34"/>
      <c r="N603" s="34"/>
      <c r="O603" s="34"/>
      <c r="P603" s="34"/>
    </row>
    <row r="604" spans="1:16" ht="12.75">
      <c r="A604" s="34"/>
      <c r="B604" s="33"/>
      <c r="C604" s="34"/>
      <c r="D604" s="33"/>
      <c r="E604" s="34"/>
      <c r="F604" s="34"/>
      <c r="G604" s="34"/>
      <c r="H604" s="30"/>
      <c r="I604" s="34"/>
      <c r="J604" s="34"/>
      <c r="K604" s="34"/>
      <c r="L604" s="34"/>
      <c r="M604" s="34"/>
      <c r="N604" s="34"/>
      <c r="O604" s="34"/>
      <c r="P604" s="34"/>
    </row>
    <row r="605" spans="1:16" ht="12.75">
      <c r="A605" s="34"/>
      <c r="B605" s="33"/>
      <c r="C605" s="34"/>
      <c r="D605" s="33"/>
      <c r="E605" s="34"/>
      <c r="F605" s="34"/>
      <c r="G605" s="34"/>
      <c r="H605" s="30"/>
      <c r="I605" s="34"/>
      <c r="J605" s="34"/>
      <c r="K605" s="34"/>
      <c r="L605" s="34"/>
      <c r="M605" s="34"/>
      <c r="N605" s="34"/>
      <c r="O605" s="34"/>
      <c r="P605" s="34"/>
    </row>
    <row r="606" spans="1:16" ht="12.75">
      <c r="A606" s="34"/>
      <c r="B606" s="33"/>
      <c r="C606" s="34"/>
      <c r="D606" s="33"/>
      <c r="E606" s="34"/>
      <c r="F606" s="34"/>
      <c r="G606" s="34"/>
      <c r="H606" s="30"/>
      <c r="I606" s="34"/>
      <c r="J606" s="34"/>
      <c r="K606" s="34"/>
      <c r="L606" s="34"/>
      <c r="M606" s="34"/>
      <c r="N606" s="34"/>
      <c r="O606" s="34"/>
      <c r="P606" s="34"/>
    </row>
    <row r="607" spans="1:16" ht="12.75">
      <c r="A607" s="34"/>
      <c r="B607" s="33"/>
      <c r="C607" s="34"/>
      <c r="D607" s="33"/>
      <c r="E607" s="34"/>
      <c r="F607" s="34"/>
      <c r="G607" s="34"/>
      <c r="H607" s="30"/>
      <c r="I607" s="34"/>
      <c r="J607" s="34"/>
      <c r="K607" s="34"/>
      <c r="L607" s="34"/>
      <c r="M607" s="34"/>
      <c r="N607" s="34"/>
      <c r="O607" s="34"/>
      <c r="P607" s="34"/>
    </row>
    <row r="608" spans="1:16" ht="12.75">
      <c r="A608" s="34"/>
      <c r="B608" s="33"/>
      <c r="C608" s="34"/>
      <c r="D608" s="33"/>
      <c r="E608" s="34"/>
      <c r="F608" s="34"/>
      <c r="G608" s="34"/>
      <c r="H608" s="30"/>
      <c r="I608" s="34"/>
      <c r="J608" s="34"/>
      <c r="K608" s="34"/>
      <c r="L608" s="34"/>
      <c r="M608" s="34"/>
      <c r="N608" s="34"/>
      <c r="O608" s="34"/>
      <c r="P608" s="34"/>
    </row>
    <row r="609" spans="1:16" ht="12.75">
      <c r="A609" s="34"/>
      <c r="B609" s="33"/>
      <c r="C609" s="34"/>
      <c r="D609" s="33"/>
      <c r="E609" s="34"/>
      <c r="F609" s="34"/>
      <c r="G609" s="34"/>
      <c r="H609" s="30"/>
      <c r="I609" s="34"/>
      <c r="J609" s="34"/>
      <c r="K609" s="34"/>
      <c r="L609" s="34"/>
      <c r="M609" s="34"/>
      <c r="N609" s="34"/>
      <c r="O609" s="34"/>
      <c r="P609" s="34"/>
    </row>
    <row r="610" spans="1:16" ht="12.75">
      <c r="A610" s="34"/>
      <c r="B610" s="33"/>
      <c r="C610" s="34"/>
      <c r="D610" s="33"/>
      <c r="E610" s="34"/>
      <c r="F610" s="34"/>
      <c r="G610" s="34"/>
      <c r="H610" s="30"/>
      <c r="I610" s="34"/>
      <c r="J610" s="34"/>
      <c r="K610" s="34"/>
      <c r="L610" s="34"/>
      <c r="M610" s="34"/>
      <c r="N610" s="34"/>
      <c r="O610" s="34"/>
      <c r="P610" s="34"/>
    </row>
    <row r="611" spans="1:16" ht="12.75">
      <c r="A611" s="34"/>
      <c r="B611" s="33"/>
      <c r="C611" s="34"/>
      <c r="D611" s="33"/>
      <c r="E611" s="34"/>
      <c r="F611" s="34"/>
      <c r="G611" s="34"/>
      <c r="H611" s="30"/>
      <c r="I611" s="34"/>
      <c r="J611" s="34"/>
      <c r="K611" s="34"/>
      <c r="L611" s="34"/>
      <c r="M611" s="34"/>
      <c r="N611" s="34"/>
      <c r="O611" s="34"/>
      <c r="P611" s="34"/>
    </row>
    <row r="612" spans="1:16" ht="12.75">
      <c r="A612" s="34"/>
      <c r="B612" s="33"/>
      <c r="C612" s="34"/>
      <c r="D612" s="33"/>
      <c r="E612" s="34"/>
      <c r="F612" s="34"/>
      <c r="G612" s="34"/>
      <c r="H612" s="30"/>
      <c r="I612" s="34"/>
      <c r="J612" s="34"/>
      <c r="K612" s="34"/>
      <c r="L612" s="34"/>
      <c r="M612" s="34"/>
      <c r="N612" s="34"/>
      <c r="O612" s="34"/>
      <c r="P612" s="34"/>
    </row>
    <row r="613" spans="1:16" ht="12.75">
      <c r="A613" s="34"/>
      <c r="B613" s="33"/>
      <c r="C613" s="34"/>
      <c r="D613" s="33"/>
      <c r="E613" s="34"/>
      <c r="F613" s="34"/>
      <c r="G613" s="34"/>
      <c r="H613" s="30"/>
      <c r="I613" s="34"/>
      <c r="J613" s="34"/>
      <c r="K613" s="34"/>
      <c r="L613" s="34"/>
      <c r="M613" s="34"/>
      <c r="N613" s="34"/>
      <c r="O613" s="34"/>
      <c r="P613" s="34"/>
    </row>
    <row r="614" spans="1:16" ht="12.75">
      <c r="A614" s="34"/>
      <c r="B614" s="33"/>
      <c r="C614" s="34"/>
      <c r="D614" s="33"/>
      <c r="E614" s="34"/>
      <c r="F614" s="34"/>
      <c r="G614" s="34"/>
      <c r="H614" s="30"/>
      <c r="I614" s="34"/>
      <c r="J614" s="34"/>
      <c r="K614" s="34"/>
      <c r="L614" s="34"/>
      <c r="M614" s="34"/>
      <c r="N614" s="34"/>
      <c r="O614" s="34"/>
      <c r="P614" s="34"/>
    </row>
    <row r="615" spans="1:16" ht="12.75">
      <c r="A615" s="34"/>
      <c r="B615" s="33"/>
      <c r="C615" s="34"/>
      <c r="D615" s="33"/>
      <c r="E615" s="34"/>
      <c r="F615" s="34"/>
      <c r="G615" s="34"/>
      <c r="H615" s="30"/>
      <c r="I615" s="34"/>
      <c r="J615" s="34"/>
      <c r="K615" s="34"/>
      <c r="L615" s="34"/>
      <c r="M615" s="34"/>
      <c r="N615" s="34"/>
      <c r="O615" s="34"/>
      <c r="P615" s="34"/>
    </row>
    <row r="616" spans="1:16" ht="12.75">
      <c r="A616" s="34"/>
      <c r="B616" s="33"/>
      <c r="C616" s="34"/>
      <c r="D616" s="33"/>
      <c r="E616" s="34"/>
      <c r="F616" s="34"/>
      <c r="G616" s="34"/>
      <c r="H616" s="30"/>
      <c r="I616" s="34"/>
      <c r="J616" s="34"/>
      <c r="K616" s="34"/>
      <c r="L616" s="34"/>
      <c r="M616" s="34"/>
      <c r="N616" s="34"/>
      <c r="O616" s="34"/>
      <c r="P616" s="34"/>
    </row>
    <row r="617" spans="1:16" ht="12.75">
      <c r="A617" s="34"/>
      <c r="B617" s="33"/>
      <c r="C617" s="34"/>
      <c r="D617" s="33"/>
      <c r="E617" s="34"/>
      <c r="F617" s="34"/>
      <c r="G617" s="34"/>
      <c r="H617" s="30"/>
      <c r="I617" s="34"/>
      <c r="J617" s="34"/>
      <c r="K617" s="34"/>
      <c r="L617" s="34"/>
      <c r="M617" s="34"/>
      <c r="N617" s="34"/>
      <c r="O617" s="34"/>
      <c r="P617" s="34"/>
    </row>
    <row r="618" spans="1:16" ht="12.75">
      <c r="A618" s="34"/>
      <c r="B618" s="33"/>
      <c r="C618" s="34"/>
      <c r="D618" s="33"/>
      <c r="E618" s="34"/>
      <c r="F618" s="34"/>
      <c r="G618" s="34"/>
      <c r="H618" s="30"/>
      <c r="I618" s="34"/>
      <c r="J618" s="34"/>
      <c r="K618" s="34"/>
      <c r="L618" s="34"/>
      <c r="M618" s="34"/>
      <c r="N618" s="34"/>
      <c r="O618" s="34"/>
      <c r="P618" s="34"/>
    </row>
    <row r="619" spans="1:16" ht="12.75">
      <c r="A619" s="34"/>
      <c r="B619" s="33"/>
      <c r="C619" s="34"/>
      <c r="D619" s="33"/>
      <c r="E619" s="34"/>
      <c r="F619" s="34"/>
      <c r="G619" s="34"/>
      <c r="H619" s="30"/>
      <c r="I619" s="34"/>
      <c r="J619" s="34"/>
      <c r="K619" s="34"/>
      <c r="L619" s="34"/>
      <c r="M619" s="34"/>
      <c r="N619" s="34"/>
      <c r="O619" s="34"/>
      <c r="P619" s="34"/>
    </row>
    <row r="620" spans="1:16" ht="12.75">
      <c r="A620" s="34"/>
      <c r="B620" s="33"/>
      <c r="C620" s="34"/>
      <c r="D620" s="33"/>
      <c r="E620" s="34"/>
      <c r="F620" s="34"/>
      <c r="G620" s="34"/>
      <c r="H620" s="30"/>
      <c r="I620" s="34"/>
      <c r="J620" s="34"/>
      <c r="K620" s="34"/>
      <c r="L620" s="34"/>
      <c r="M620" s="34"/>
      <c r="N620" s="34"/>
      <c r="O620" s="34"/>
      <c r="P620" s="34"/>
    </row>
    <row r="621" spans="1:16" ht="12.75">
      <c r="A621" s="34"/>
      <c r="B621" s="33"/>
      <c r="C621" s="34"/>
      <c r="D621" s="33"/>
      <c r="E621" s="34"/>
      <c r="F621" s="34"/>
      <c r="G621" s="34"/>
      <c r="H621" s="30"/>
      <c r="I621" s="34"/>
      <c r="J621" s="34"/>
      <c r="K621" s="34"/>
      <c r="L621" s="34"/>
      <c r="M621" s="34"/>
      <c r="N621" s="34"/>
      <c r="O621" s="34"/>
      <c r="P621" s="34"/>
    </row>
    <row r="622" spans="1:16" ht="12.75">
      <c r="A622" s="34"/>
      <c r="B622" s="33"/>
      <c r="C622" s="34"/>
      <c r="D622" s="33"/>
      <c r="E622" s="34"/>
      <c r="F622" s="34"/>
      <c r="G622" s="34"/>
      <c r="H622" s="30"/>
      <c r="I622" s="34"/>
      <c r="J622" s="34"/>
      <c r="K622" s="34"/>
      <c r="L622" s="34"/>
      <c r="M622" s="34"/>
      <c r="N622" s="34"/>
      <c r="O622" s="34"/>
      <c r="P622" s="34"/>
    </row>
    <row r="623" spans="1:16" ht="12.75">
      <c r="A623" s="34"/>
      <c r="B623" s="33"/>
      <c r="C623" s="34"/>
      <c r="D623" s="33"/>
      <c r="E623" s="34"/>
      <c r="F623" s="34"/>
      <c r="G623" s="34"/>
      <c r="H623" s="30"/>
      <c r="I623" s="34"/>
      <c r="J623" s="34"/>
      <c r="K623" s="34"/>
      <c r="L623" s="34"/>
      <c r="M623" s="34"/>
      <c r="N623" s="34"/>
      <c r="O623" s="34"/>
      <c r="P623" s="34"/>
    </row>
    <row r="624" spans="1:16" ht="12.75">
      <c r="A624" s="34"/>
      <c r="B624" s="33"/>
      <c r="C624" s="34"/>
      <c r="D624" s="33"/>
      <c r="E624" s="34"/>
      <c r="F624" s="34"/>
      <c r="G624" s="34"/>
      <c r="H624" s="30"/>
      <c r="I624" s="34"/>
      <c r="J624" s="34"/>
      <c r="K624" s="34"/>
      <c r="L624" s="34"/>
      <c r="M624" s="34"/>
      <c r="N624" s="34"/>
      <c r="O624" s="34"/>
      <c r="P624" s="34"/>
    </row>
    <row r="625" spans="1:16" ht="12.75">
      <c r="A625" s="34"/>
      <c r="B625" s="33"/>
      <c r="C625" s="34"/>
      <c r="D625" s="33"/>
      <c r="E625" s="34"/>
      <c r="F625" s="34"/>
      <c r="G625" s="34"/>
      <c r="H625" s="30"/>
      <c r="I625" s="34"/>
      <c r="J625" s="34"/>
      <c r="K625" s="34"/>
      <c r="L625" s="34"/>
      <c r="M625" s="34"/>
      <c r="N625" s="34"/>
      <c r="O625" s="34"/>
      <c r="P625" s="34"/>
    </row>
    <row r="626" spans="1:16" ht="12.75">
      <c r="A626" s="34"/>
      <c r="B626" s="33"/>
      <c r="C626" s="34"/>
      <c r="D626" s="33"/>
      <c r="E626" s="34"/>
      <c r="F626" s="34"/>
      <c r="G626" s="34"/>
      <c r="H626" s="30"/>
      <c r="I626" s="34"/>
      <c r="J626" s="34"/>
      <c r="K626" s="34"/>
      <c r="L626" s="34"/>
      <c r="M626" s="34"/>
      <c r="N626" s="34"/>
      <c r="O626" s="34"/>
      <c r="P626" s="34"/>
    </row>
    <row r="627" spans="1:16" ht="12.75">
      <c r="A627" s="34"/>
      <c r="B627" s="33"/>
      <c r="C627" s="34"/>
      <c r="D627" s="33"/>
      <c r="E627" s="34"/>
      <c r="F627" s="34"/>
      <c r="G627" s="34"/>
      <c r="H627" s="30"/>
      <c r="I627" s="34"/>
      <c r="J627" s="34"/>
      <c r="K627" s="34"/>
      <c r="L627" s="34"/>
      <c r="M627" s="34"/>
      <c r="N627" s="34"/>
      <c r="O627" s="34"/>
      <c r="P627" s="34"/>
    </row>
    <row r="628" spans="1:16" ht="12.75">
      <c r="A628" s="34"/>
      <c r="B628" s="33"/>
      <c r="C628" s="34"/>
      <c r="D628" s="33"/>
      <c r="E628" s="34"/>
      <c r="F628" s="34"/>
      <c r="G628" s="34"/>
      <c r="H628" s="30"/>
      <c r="I628" s="34"/>
      <c r="J628" s="34"/>
      <c r="K628" s="34"/>
      <c r="L628" s="34"/>
      <c r="M628" s="34"/>
      <c r="N628" s="34"/>
      <c r="O628" s="34"/>
      <c r="P628" s="34"/>
    </row>
    <row r="629" spans="1:16" ht="12.75">
      <c r="A629" s="34"/>
      <c r="B629" s="33"/>
      <c r="C629" s="34"/>
      <c r="D629" s="33"/>
      <c r="E629" s="34"/>
      <c r="F629" s="34"/>
      <c r="G629" s="34"/>
      <c r="H629" s="30"/>
      <c r="I629" s="34"/>
      <c r="J629" s="34"/>
      <c r="K629" s="34"/>
      <c r="L629" s="34"/>
      <c r="M629" s="34"/>
      <c r="N629" s="34"/>
      <c r="O629" s="34"/>
      <c r="P629" s="34"/>
    </row>
    <row r="630" spans="1:16" ht="12.75">
      <c r="A630" s="34"/>
      <c r="B630" s="33"/>
      <c r="C630" s="34"/>
      <c r="D630" s="33"/>
      <c r="E630" s="34"/>
      <c r="F630" s="34"/>
      <c r="G630" s="34"/>
      <c r="H630" s="30"/>
      <c r="I630" s="34"/>
      <c r="J630" s="34"/>
      <c r="K630" s="34"/>
      <c r="L630" s="34"/>
      <c r="M630" s="34"/>
      <c r="N630" s="34"/>
      <c r="O630" s="34"/>
      <c r="P630" s="34"/>
    </row>
    <row r="631" spans="1:16" ht="12.75">
      <c r="A631" s="34"/>
      <c r="B631" s="33"/>
      <c r="C631" s="34"/>
      <c r="D631" s="33"/>
      <c r="E631" s="34"/>
      <c r="F631" s="34"/>
      <c r="G631" s="34"/>
      <c r="H631" s="30"/>
      <c r="I631" s="34"/>
      <c r="J631" s="34"/>
      <c r="K631" s="34"/>
      <c r="L631" s="34"/>
      <c r="M631" s="34"/>
      <c r="N631" s="34"/>
      <c r="O631" s="34"/>
      <c r="P631" s="34"/>
    </row>
    <row r="632" spans="1:16" ht="12.75">
      <c r="A632" s="34"/>
      <c r="B632" s="33"/>
      <c r="C632" s="34"/>
      <c r="D632" s="33"/>
      <c r="E632" s="34"/>
      <c r="F632" s="34"/>
      <c r="G632" s="34"/>
      <c r="H632" s="30"/>
      <c r="I632" s="34"/>
      <c r="J632" s="34"/>
      <c r="K632" s="34"/>
      <c r="L632" s="34"/>
      <c r="M632" s="34"/>
      <c r="N632" s="34"/>
      <c r="O632" s="34"/>
      <c r="P632" s="34"/>
    </row>
    <row r="633" spans="1:16" ht="12.75">
      <c r="A633" s="34"/>
      <c r="B633" s="33"/>
      <c r="C633" s="34"/>
      <c r="D633" s="33"/>
      <c r="E633" s="34"/>
      <c r="F633" s="34"/>
      <c r="G633" s="34"/>
      <c r="H633" s="30"/>
      <c r="I633" s="34"/>
      <c r="J633" s="34"/>
      <c r="K633" s="34"/>
      <c r="L633" s="34"/>
      <c r="M633" s="34"/>
      <c r="N633" s="34"/>
      <c r="O633" s="34"/>
      <c r="P633" s="34"/>
    </row>
    <row r="634" spans="1:16" ht="12.75">
      <c r="A634" s="34"/>
      <c r="B634" s="33"/>
      <c r="C634" s="34"/>
      <c r="D634" s="33"/>
      <c r="E634" s="34"/>
      <c r="F634" s="34"/>
      <c r="G634" s="34"/>
      <c r="H634" s="30"/>
      <c r="I634" s="34"/>
      <c r="J634" s="34"/>
      <c r="K634" s="34"/>
      <c r="L634" s="34"/>
      <c r="M634" s="34"/>
      <c r="N634" s="34"/>
      <c r="O634" s="34"/>
      <c r="P634" s="34"/>
    </row>
    <row r="635" spans="1:16" ht="12.75">
      <c r="A635" s="34"/>
      <c r="B635" s="33"/>
      <c r="C635" s="34"/>
      <c r="D635" s="33"/>
      <c r="E635" s="34"/>
      <c r="F635" s="34"/>
      <c r="G635" s="34"/>
      <c r="H635" s="30"/>
      <c r="I635" s="34"/>
      <c r="J635" s="34"/>
      <c r="K635" s="34"/>
      <c r="L635" s="34"/>
      <c r="M635" s="34"/>
      <c r="N635" s="34"/>
      <c r="O635" s="34"/>
      <c r="P635" s="34"/>
    </row>
    <row r="636" spans="1:16" ht="12.75">
      <c r="A636" s="34"/>
      <c r="B636" s="33"/>
      <c r="C636" s="34"/>
      <c r="D636" s="33"/>
      <c r="E636" s="34"/>
      <c r="F636" s="34"/>
      <c r="G636" s="34"/>
      <c r="H636" s="30"/>
      <c r="I636" s="34"/>
      <c r="J636" s="34"/>
      <c r="K636" s="34"/>
      <c r="L636" s="34"/>
      <c r="M636" s="34"/>
      <c r="N636" s="34"/>
      <c r="O636" s="34"/>
      <c r="P636" s="34"/>
    </row>
    <row r="637" spans="1:16" ht="12.75">
      <c r="A637" s="34"/>
      <c r="B637" s="33"/>
      <c r="C637" s="34"/>
      <c r="D637" s="33"/>
      <c r="E637" s="34"/>
      <c r="F637" s="34"/>
      <c r="G637" s="34"/>
      <c r="H637" s="30"/>
      <c r="I637" s="34"/>
      <c r="J637" s="34"/>
      <c r="K637" s="34"/>
      <c r="L637" s="34"/>
      <c r="M637" s="34"/>
      <c r="N637" s="34"/>
      <c r="O637" s="34"/>
      <c r="P637" s="34"/>
    </row>
    <row r="638" spans="1:16" ht="12.75">
      <c r="A638" s="34"/>
      <c r="B638" s="33"/>
      <c r="C638" s="34"/>
      <c r="D638" s="33"/>
      <c r="E638" s="34"/>
      <c r="F638" s="34"/>
      <c r="G638" s="34"/>
      <c r="H638" s="30"/>
      <c r="I638" s="34"/>
      <c r="J638" s="34"/>
      <c r="K638" s="34"/>
      <c r="L638" s="34"/>
      <c r="M638" s="34"/>
      <c r="N638" s="34"/>
      <c r="O638" s="34"/>
      <c r="P638" s="34"/>
    </row>
    <row r="639" spans="1:16" ht="12.75">
      <c r="A639" s="34"/>
      <c r="B639" s="33"/>
      <c r="C639" s="34"/>
      <c r="D639" s="33"/>
      <c r="E639" s="34"/>
      <c r="F639" s="34"/>
      <c r="G639" s="34"/>
      <c r="H639" s="30"/>
      <c r="I639" s="34"/>
      <c r="J639" s="34"/>
      <c r="K639" s="34"/>
      <c r="L639" s="34"/>
      <c r="M639" s="34"/>
      <c r="N639" s="34"/>
      <c r="O639" s="34"/>
      <c r="P639" s="34"/>
    </row>
    <row r="640" spans="1:16" ht="12.75">
      <c r="A640" s="34"/>
      <c r="B640" s="33"/>
      <c r="C640" s="34"/>
      <c r="D640" s="33"/>
      <c r="E640" s="34"/>
      <c r="F640" s="34"/>
      <c r="G640" s="34"/>
      <c r="H640" s="30"/>
      <c r="I640" s="34"/>
      <c r="J640" s="34"/>
      <c r="K640" s="34"/>
      <c r="L640" s="34"/>
      <c r="M640" s="34"/>
      <c r="N640" s="34"/>
      <c r="O640" s="34"/>
      <c r="P640" s="34"/>
    </row>
    <row r="641" spans="1:16" ht="12.75">
      <c r="A641" s="34"/>
      <c r="B641" s="33"/>
      <c r="C641" s="34"/>
      <c r="D641" s="33"/>
      <c r="E641" s="34"/>
      <c r="F641" s="34"/>
      <c r="G641" s="34"/>
      <c r="H641" s="30"/>
      <c r="I641" s="34"/>
      <c r="J641" s="34"/>
      <c r="K641" s="34"/>
      <c r="L641" s="34"/>
      <c r="M641" s="34"/>
      <c r="N641" s="34"/>
      <c r="O641" s="34"/>
      <c r="P641" s="34"/>
    </row>
    <row r="642" spans="1:16" ht="12.75">
      <c r="A642" s="34"/>
      <c r="B642" s="33"/>
      <c r="C642" s="34"/>
      <c r="D642" s="33"/>
      <c r="E642" s="34"/>
      <c r="F642" s="34"/>
      <c r="G642" s="34"/>
      <c r="H642" s="30"/>
      <c r="I642" s="34"/>
      <c r="J642" s="34"/>
      <c r="K642" s="34"/>
      <c r="L642" s="34"/>
      <c r="M642" s="34"/>
      <c r="N642" s="34"/>
      <c r="O642" s="34"/>
      <c r="P642" s="34"/>
    </row>
    <row r="643" spans="1:16" ht="12.75">
      <c r="A643" s="34"/>
      <c r="B643" s="33"/>
      <c r="C643" s="34"/>
      <c r="D643" s="33"/>
      <c r="E643" s="34"/>
      <c r="F643" s="34"/>
      <c r="G643" s="34"/>
      <c r="H643" s="30"/>
      <c r="I643" s="34"/>
      <c r="J643" s="34"/>
      <c r="K643" s="34"/>
      <c r="L643" s="34"/>
      <c r="M643" s="34"/>
      <c r="N643" s="34"/>
      <c r="O643" s="34"/>
      <c r="P643" s="34"/>
    </row>
    <row r="644" spans="1:16" ht="12.75">
      <c r="A644" s="34"/>
      <c r="B644" s="33"/>
      <c r="C644" s="34"/>
      <c r="D644" s="33"/>
      <c r="E644" s="34"/>
      <c r="F644" s="34"/>
      <c r="G644" s="34"/>
      <c r="H644" s="30"/>
      <c r="I644" s="34"/>
      <c r="J644" s="34"/>
      <c r="K644" s="34"/>
      <c r="L644" s="34"/>
      <c r="M644" s="34"/>
      <c r="N644" s="34"/>
      <c r="O644" s="34"/>
      <c r="P644" s="34"/>
    </row>
    <row r="645" spans="1:16" ht="12.75">
      <c r="A645" s="34"/>
      <c r="B645" s="33"/>
      <c r="C645" s="34"/>
      <c r="D645" s="33"/>
      <c r="E645" s="34"/>
      <c r="F645" s="34"/>
      <c r="G645" s="34"/>
      <c r="H645" s="30"/>
      <c r="I645" s="34"/>
      <c r="J645" s="34"/>
      <c r="K645" s="34"/>
      <c r="L645" s="34"/>
      <c r="M645" s="34"/>
      <c r="N645" s="34"/>
      <c r="O645" s="34"/>
      <c r="P645" s="34"/>
    </row>
    <row r="646" spans="1:16" ht="12.75">
      <c r="A646" s="34"/>
      <c r="B646" s="33"/>
      <c r="C646" s="34"/>
      <c r="D646" s="33"/>
      <c r="E646" s="34"/>
      <c r="F646" s="34"/>
      <c r="G646" s="34"/>
      <c r="H646" s="30"/>
      <c r="I646" s="34"/>
      <c r="J646" s="34"/>
      <c r="K646" s="34"/>
      <c r="L646" s="34"/>
      <c r="M646" s="34"/>
      <c r="N646" s="34"/>
      <c r="O646" s="34"/>
      <c r="P646" s="34"/>
    </row>
    <row r="647" spans="1:16" ht="12.75">
      <c r="A647" s="34"/>
      <c r="B647" s="33"/>
      <c r="C647" s="34"/>
      <c r="D647" s="33"/>
      <c r="E647" s="34"/>
      <c r="F647" s="34"/>
      <c r="G647" s="34"/>
      <c r="H647" s="30"/>
      <c r="I647" s="34"/>
      <c r="J647" s="34"/>
      <c r="K647" s="34"/>
      <c r="L647" s="34"/>
      <c r="M647" s="34"/>
      <c r="N647" s="34"/>
      <c r="O647" s="34"/>
      <c r="P647" s="34"/>
    </row>
    <row r="648" spans="1:16" ht="12.75">
      <c r="A648" s="34"/>
      <c r="B648" s="33"/>
      <c r="C648" s="34"/>
      <c r="D648" s="33"/>
      <c r="E648" s="34"/>
      <c r="F648" s="34"/>
      <c r="G648" s="34"/>
      <c r="H648" s="30"/>
      <c r="I648" s="34"/>
      <c r="J648" s="34"/>
      <c r="K648" s="34"/>
      <c r="L648" s="34"/>
      <c r="M648" s="34"/>
      <c r="N648" s="34"/>
      <c r="O648" s="34"/>
      <c r="P648" s="34"/>
    </row>
    <row r="649" spans="1:16" ht="12.75">
      <c r="A649" s="34"/>
      <c r="B649" s="33"/>
      <c r="C649" s="34"/>
      <c r="D649" s="33"/>
      <c r="E649" s="34"/>
      <c r="F649" s="34"/>
      <c r="G649" s="34"/>
      <c r="H649" s="30"/>
      <c r="I649" s="34"/>
      <c r="J649" s="34"/>
      <c r="K649" s="34"/>
      <c r="L649" s="34"/>
      <c r="M649" s="34"/>
      <c r="N649" s="34"/>
      <c r="O649" s="34"/>
      <c r="P649" s="34"/>
    </row>
    <row r="650" spans="1:16" ht="12.75">
      <c r="A650" s="34"/>
      <c r="B650" s="33"/>
      <c r="C650" s="34"/>
      <c r="D650" s="33"/>
      <c r="E650" s="34"/>
      <c r="F650" s="34"/>
      <c r="G650" s="34"/>
      <c r="H650" s="30"/>
      <c r="I650" s="34"/>
      <c r="J650" s="34"/>
      <c r="K650" s="34"/>
      <c r="L650" s="34"/>
      <c r="M650" s="34"/>
      <c r="N650" s="34"/>
      <c r="O650" s="34"/>
      <c r="P650" s="34"/>
    </row>
    <row r="651" spans="1:16" ht="12.75">
      <c r="A651" s="34"/>
      <c r="B651" s="33"/>
      <c r="C651" s="34"/>
      <c r="D651" s="33"/>
      <c r="E651" s="34"/>
      <c r="F651" s="34"/>
      <c r="G651" s="34"/>
      <c r="H651" s="30"/>
      <c r="I651" s="34"/>
      <c r="J651" s="34"/>
      <c r="K651" s="34"/>
      <c r="L651" s="34"/>
      <c r="M651" s="34"/>
      <c r="N651" s="34"/>
      <c r="O651" s="34"/>
      <c r="P651" s="34"/>
    </row>
    <row r="652" spans="1:16" ht="12.75">
      <c r="A652" s="34"/>
      <c r="B652" s="33"/>
      <c r="C652" s="34"/>
      <c r="D652" s="33"/>
      <c r="E652" s="34"/>
      <c r="F652" s="34"/>
      <c r="G652" s="34"/>
      <c r="H652" s="30"/>
      <c r="I652" s="34"/>
      <c r="J652" s="34"/>
      <c r="K652" s="34"/>
      <c r="L652" s="34"/>
      <c r="M652" s="34"/>
      <c r="N652" s="34"/>
      <c r="O652" s="34"/>
      <c r="P652" s="34"/>
    </row>
    <row r="653" spans="1:16" ht="12.75">
      <c r="A653" s="34"/>
      <c r="B653" s="33"/>
      <c r="C653" s="34"/>
      <c r="D653" s="33"/>
      <c r="E653" s="34"/>
      <c r="F653" s="34"/>
      <c r="G653" s="34"/>
      <c r="H653" s="30"/>
      <c r="I653" s="34"/>
      <c r="J653" s="34"/>
      <c r="K653" s="34"/>
      <c r="L653" s="34"/>
      <c r="M653" s="34"/>
      <c r="N653" s="34"/>
      <c r="O653" s="34"/>
      <c r="P653" s="34"/>
    </row>
    <row r="654" spans="1:16" ht="12.75">
      <c r="A654" s="34"/>
      <c r="B654" s="33"/>
      <c r="C654" s="34"/>
      <c r="D654" s="33"/>
      <c r="E654" s="34"/>
      <c r="F654" s="34"/>
      <c r="G654" s="34"/>
      <c r="H654" s="30"/>
      <c r="I654" s="34"/>
      <c r="J654" s="34"/>
      <c r="K654" s="34"/>
      <c r="L654" s="34"/>
      <c r="M654" s="34"/>
      <c r="N654" s="34"/>
      <c r="O654" s="34"/>
      <c r="P654" s="34"/>
    </row>
    <row r="655" spans="1:16" ht="12.75">
      <c r="A655" s="34"/>
      <c r="B655" s="33"/>
      <c r="C655" s="34"/>
      <c r="D655" s="33"/>
      <c r="E655" s="34"/>
      <c r="F655" s="34"/>
      <c r="G655" s="34"/>
      <c r="H655" s="30"/>
      <c r="I655" s="34"/>
      <c r="J655" s="34"/>
      <c r="K655" s="34"/>
      <c r="L655" s="34"/>
      <c r="M655" s="34"/>
      <c r="N655" s="34"/>
      <c r="O655" s="34"/>
      <c r="P655" s="34"/>
    </row>
    <row r="656" spans="1:16" ht="12.75">
      <c r="A656" s="34"/>
      <c r="B656" s="33"/>
      <c r="C656" s="34"/>
      <c r="D656" s="33"/>
      <c r="E656" s="34"/>
      <c r="F656" s="34"/>
      <c r="G656" s="34"/>
      <c r="H656" s="30"/>
      <c r="I656" s="34"/>
      <c r="J656" s="34"/>
      <c r="K656" s="34"/>
      <c r="L656" s="34"/>
      <c r="M656" s="34"/>
      <c r="N656" s="34"/>
      <c r="O656" s="34"/>
      <c r="P656" s="34"/>
    </row>
    <row r="657" spans="1:16" ht="12.75">
      <c r="A657" s="34"/>
      <c r="B657" s="33"/>
      <c r="C657" s="34"/>
      <c r="D657" s="33"/>
      <c r="E657" s="34"/>
      <c r="F657" s="34"/>
      <c r="G657" s="34"/>
      <c r="H657" s="30"/>
      <c r="I657" s="34"/>
      <c r="J657" s="34"/>
      <c r="K657" s="34"/>
      <c r="L657" s="34"/>
      <c r="M657" s="34"/>
      <c r="N657" s="34"/>
      <c r="O657" s="34"/>
      <c r="P657" s="34"/>
    </row>
    <row r="658" spans="1:16" ht="12.75">
      <c r="A658" s="34"/>
      <c r="B658" s="33"/>
      <c r="C658" s="34"/>
      <c r="D658" s="33"/>
      <c r="E658" s="34"/>
      <c r="F658" s="34"/>
      <c r="G658" s="34"/>
      <c r="H658" s="30"/>
      <c r="I658" s="34"/>
      <c r="J658" s="34"/>
      <c r="K658" s="34"/>
      <c r="L658" s="34"/>
      <c r="M658" s="34"/>
      <c r="N658" s="34"/>
      <c r="O658" s="34"/>
      <c r="P658" s="34"/>
    </row>
    <row r="659" spans="1:16" ht="12.75">
      <c r="A659" s="34"/>
      <c r="B659" s="33"/>
      <c r="C659" s="34"/>
      <c r="D659" s="33"/>
      <c r="E659" s="34"/>
      <c r="F659" s="34"/>
      <c r="G659" s="34"/>
      <c r="H659" s="30"/>
      <c r="I659" s="34"/>
      <c r="J659" s="34"/>
      <c r="K659" s="34"/>
      <c r="L659" s="34"/>
      <c r="M659" s="34"/>
      <c r="N659" s="34"/>
      <c r="O659" s="34"/>
      <c r="P659" s="34"/>
    </row>
    <row r="660" spans="1:16" ht="12.75">
      <c r="A660" s="34"/>
      <c r="B660" s="33"/>
      <c r="C660" s="34"/>
      <c r="D660" s="33"/>
      <c r="E660" s="34"/>
      <c r="F660" s="34"/>
      <c r="G660" s="34"/>
      <c r="H660" s="30"/>
      <c r="I660" s="34"/>
      <c r="J660" s="34"/>
      <c r="K660" s="34"/>
      <c r="L660" s="34"/>
      <c r="M660" s="34"/>
      <c r="N660" s="34"/>
      <c r="O660" s="34"/>
      <c r="P660" s="34"/>
    </row>
    <row r="661" spans="1:16" ht="12.75">
      <c r="A661" s="34"/>
      <c r="B661" s="33"/>
      <c r="C661" s="34"/>
      <c r="D661" s="33"/>
      <c r="E661" s="34"/>
      <c r="F661" s="34"/>
      <c r="G661" s="34"/>
      <c r="H661" s="30"/>
      <c r="I661" s="34"/>
      <c r="J661" s="34"/>
      <c r="K661" s="34"/>
      <c r="L661" s="34"/>
      <c r="M661" s="34"/>
      <c r="N661" s="34"/>
      <c r="O661" s="34"/>
      <c r="P661" s="34"/>
    </row>
    <row r="662" spans="1:16" ht="12.75">
      <c r="A662" s="34"/>
      <c r="B662" s="33"/>
      <c r="C662" s="34"/>
      <c r="D662" s="33"/>
      <c r="E662" s="34"/>
      <c r="F662" s="34"/>
      <c r="G662" s="34"/>
      <c r="H662" s="30"/>
      <c r="I662" s="34"/>
      <c r="J662" s="34"/>
      <c r="K662" s="34"/>
      <c r="L662" s="34"/>
      <c r="M662" s="34"/>
      <c r="N662" s="34"/>
      <c r="O662" s="34"/>
      <c r="P662" s="34"/>
    </row>
    <row r="663" spans="1:16" ht="12.75">
      <c r="A663" s="34"/>
      <c r="B663" s="33"/>
      <c r="C663" s="34"/>
      <c r="D663" s="33"/>
      <c r="E663" s="34"/>
      <c r="F663" s="34"/>
      <c r="G663" s="34"/>
      <c r="H663" s="30"/>
      <c r="I663" s="34"/>
      <c r="J663" s="34"/>
      <c r="K663" s="34"/>
      <c r="L663" s="34"/>
      <c r="M663" s="34"/>
      <c r="N663" s="34"/>
      <c r="O663" s="34"/>
      <c r="P663" s="34"/>
    </row>
    <row r="664" spans="1:16" ht="12.75">
      <c r="A664" s="34"/>
      <c r="B664" s="33"/>
      <c r="C664" s="34"/>
      <c r="D664" s="33"/>
      <c r="E664" s="34"/>
      <c r="F664" s="34"/>
      <c r="G664" s="34"/>
      <c r="H664" s="30"/>
      <c r="I664" s="34"/>
      <c r="J664" s="34"/>
      <c r="K664" s="34"/>
      <c r="L664" s="34"/>
      <c r="M664" s="34"/>
      <c r="N664" s="34"/>
      <c r="O664" s="34"/>
      <c r="P664" s="34"/>
    </row>
    <row r="665" spans="1:16" ht="12.75">
      <c r="A665" s="34"/>
      <c r="B665" s="33"/>
      <c r="C665" s="34"/>
      <c r="D665" s="33"/>
      <c r="E665" s="34"/>
      <c r="F665" s="34"/>
      <c r="G665" s="34"/>
      <c r="H665" s="30"/>
      <c r="I665" s="34"/>
      <c r="J665" s="34"/>
      <c r="K665" s="34"/>
      <c r="L665" s="34"/>
      <c r="M665" s="34"/>
      <c r="N665" s="34"/>
      <c r="O665" s="34"/>
      <c r="P665" s="34"/>
    </row>
    <row r="666" spans="1:16" ht="12.75">
      <c r="A666" s="34"/>
      <c r="B666" s="33"/>
      <c r="C666" s="34"/>
      <c r="D666" s="33"/>
      <c r="E666" s="34"/>
      <c r="F666" s="34"/>
      <c r="G666" s="34"/>
      <c r="H666" s="30"/>
      <c r="I666" s="34"/>
      <c r="J666" s="34"/>
      <c r="K666" s="34"/>
      <c r="L666" s="34"/>
      <c r="M666" s="34"/>
      <c r="N666" s="34"/>
      <c r="O666" s="34"/>
      <c r="P666" s="34"/>
    </row>
    <row r="667" spans="1:16" ht="12.75">
      <c r="A667" s="34"/>
      <c r="B667" s="33"/>
      <c r="C667" s="34"/>
      <c r="D667" s="33"/>
      <c r="E667" s="34"/>
      <c r="F667" s="34"/>
      <c r="G667" s="34"/>
      <c r="H667" s="30"/>
      <c r="I667" s="34"/>
      <c r="J667" s="34"/>
      <c r="K667" s="34"/>
      <c r="L667" s="34"/>
      <c r="M667" s="34"/>
      <c r="N667" s="34"/>
      <c r="O667" s="34"/>
      <c r="P667" s="34"/>
    </row>
    <row r="668" spans="1:16" ht="12.75">
      <c r="A668" s="34"/>
      <c r="B668" s="33"/>
      <c r="C668" s="34"/>
      <c r="D668" s="33"/>
      <c r="E668" s="34"/>
      <c r="F668" s="34"/>
      <c r="G668" s="34"/>
      <c r="H668" s="30"/>
      <c r="I668" s="34"/>
      <c r="J668" s="34"/>
      <c r="K668" s="34"/>
      <c r="L668" s="34"/>
      <c r="M668" s="34"/>
      <c r="N668" s="34"/>
      <c r="O668" s="34"/>
      <c r="P668" s="34"/>
    </row>
    <row r="669" spans="1:16" ht="12.75">
      <c r="A669" s="34"/>
      <c r="B669" s="33"/>
      <c r="C669" s="34"/>
      <c r="D669" s="33"/>
      <c r="E669" s="34"/>
      <c r="F669" s="34"/>
      <c r="G669" s="34"/>
      <c r="H669" s="30"/>
      <c r="I669" s="34"/>
      <c r="J669" s="34"/>
      <c r="K669" s="34"/>
      <c r="L669" s="34"/>
      <c r="M669" s="34"/>
      <c r="N669" s="34"/>
      <c r="O669" s="34"/>
      <c r="P669" s="34"/>
    </row>
    <row r="670" spans="1:16" ht="12.75">
      <c r="A670" s="34"/>
      <c r="B670" s="33"/>
      <c r="C670" s="34"/>
      <c r="D670" s="33"/>
      <c r="E670" s="34"/>
      <c r="F670" s="34"/>
      <c r="G670" s="34"/>
      <c r="H670" s="30"/>
      <c r="I670" s="34"/>
      <c r="J670" s="34"/>
      <c r="K670" s="34"/>
      <c r="L670" s="34"/>
      <c r="M670" s="34"/>
      <c r="N670" s="34"/>
      <c r="O670" s="34"/>
      <c r="P670" s="34"/>
    </row>
    <row r="671" spans="1:16" ht="12.75">
      <c r="A671" s="34"/>
      <c r="B671" s="33"/>
      <c r="C671" s="34"/>
      <c r="D671" s="33"/>
      <c r="E671" s="34"/>
      <c r="F671" s="34"/>
      <c r="G671" s="34"/>
      <c r="H671" s="30"/>
      <c r="I671" s="34"/>
      <c r="J671" s="34"/>
      <c r="K671" s="34"/>
      <c r="L671" s="34"/>
      <c r="M671" s="34"/>
      <c r="N671" s="34"/>
      <c r="O671" s="34"/>
      <c r="P671" s="34"/>
    </row>
    <row r="672" spans="1:16" ht="12.75">
      <c r="A672" s="34"/>
      <c r="B672" s="33"/>
      <c r="C672" s="34"/>
      <c r="D672" s="33"/>
      <c r="E672" s="34"/>
      <c r="F672" s="34"/>
      <c r="G672" s="34"/>
      <c r="H672" s="30"/>
      <c r="I672" s="34"/>
      <c r="J672" s="34"/>
      <c r="K672" s="34"/>
      <c r="L672" s="34"/>
      <c r="M672" s="34"/>
      <c r="N672" s="34"/>
      <c r="O672" s="34"/>
      <c r="P672" s="34"/>
    </row>
    <row r="673" spans="1:16" ht="12.75">
      <c r="A673" s="34"/>
      <c r="B673" s="33"/>
      <c r="C673" s="34"/>
      <c r="D673" s="33"/>
      <c r="E673" s="34"/>
      <c r="F673" s="34"/>
      <c r="G673" s="34"/>
      <c r="H673" s="30"/>
      <c r="I673" s="34"/>
      <c r="J673" s="34"/>
      <c r="K673" s="34"/>
      <c r="L673" s="34"/>
      <c r="M673" s="34"/>
      <c r="N673" s="34"/>
      <c r="O673" s="34"/>
      <c r="P673" s="34"/>
    </row>
    <row r="674" spans="1:16" ht="12.75">
      <c r="A674" s="34"/>
      <c r="B674" s="33"/>
      <c r="C674" s="34"/>
      <c r="D674" s="33"/>
      <c r="E674" s="34"/>
      <c r="F674" s="34"/>
      <c r="G674" s="34"/>
      <c r="H674" s="30"/>
      <c r="I674" s="34"/>
      <c r="J674" s="34"/>
      <c r="K674" s="34"/>
      <c r="L674" s="34"/>
      <c r="M674" s="34"/>
      <c r="N674" s="34"/>
      <c r="O674" s="34"/>
      <c r="P674" s="34"/>
    </row>
    <row r="675" spans="1:16" ht="12.75">
      <c r="A675" s="34"/>
      <c r="B675" s="33"/>
      <c r="C675" s="34"/>
      <c r="D675" s="33"/>
      <c r="E675" s="34"/>
      <c r="F675" s="34"/>
      <c r="G675" s="34"/>
      <c r="H675" s="30"/>
      <c r="I675" s="34"/>
      <c r="J675" s="34"/>
      <c r="K675" s="34"/>
      <c r="L675" s="34"/>
      <c r="M675" s="34"/>
      <c r="N675" s="34"/>
      <c r="O675" s="34"/>
      <c r="P675" s="34"/>
    </row>
    <row r="676" spans="1:16" ht="12.75">
      <c r="A676" s="34"/>
      <c r="B676" s="33"/>
      <c r="C676" s="34"/>
      <c r="D676" s="33"/>
      <c r="E676" s="34"/>
      <c r="F676" s="34"/>
      <c r="G676" s="34"/>
      <c r="H676" s="30"/>
      <c r="I676" s="34"/>
      <c r="J676" s="34"/>
      <c r="K676" s="34"/>
      <c r="L676" s="34"/>
      <c r="M676" s="34"/>
      <c r="N676" s="34"/>
      <c r="O676" s="34"/>
      <c r="P676" s="34"/>
    </row>
    <row r="677" spans="1:16" ht="12.75">
      <c r="A677" s="34"/>
      <c r="B677" s="33"/>
      <c r="C677" s="34"/>
      <c r="D677" s="33"/>
      <c r="E677" s="34"/>
      <c r="F677" s="34"/>
      <c r="G677" s="34"/>
      <c r="H677" s="30"/>
      <c r="I677" s="34"/>
      <c r="J677" s="34"/>
      <c r="K677" s="34"/>
      <c r="L677" s="34"/>
      <c r="M677" s="34"/>
      <c r="N677" s="34"/>
      <c r="O677" s="34"/>
      <c r="P677" s="34"/>
    </row>
    <row r="678" spans="1:16" ht="12.75">
      <c r="A678" s="34"/>
      <c r="B678" s="33"/>
      <c r="C678" s="34"/>
      <c r="D678" s="33"/>
      <c r="E678" s="34"/>
      <c r="F678" s="34"/>
      <c r="G678" s="34"/>
      <c r="H678" s="30"/>
      <c r="I678" s="34"/>
      <c r="J678" s="34"/>
      <c r="K678" s="34"/>
      <c r="L678" s="34"/>
      <c r="M678" s="34"/>
      <c r="N678" s="34"/>
      <c r="O678" s="34"/>
      <c r="P678" s="34"/>
    </row>
    <row r="679" spans="1:16" ht="12.75">
      <c r="A679" s="34"/>
      <c r="B679" s="33"/>
      <c r="C679" s="34"/>
      <c r="D679" s="33"/>
      <c r="E679" s="34"/>
      <c r="F679" s="34"/>
      <c r="G679" s="34"/>
      <c r="H679" s="30"/>
      <c r="I679" s="34"/>
      <c r="J679" s="34"/>
      <c r="K679" s="34"/>
      <c r="L679" s="34"/>
      <c r="M679" s="34"/>
      <c r="N679" s="34"/>
      <c r="O679" s="34"/>
      <c r="P679" s="34"/>
    </row>
    <row r="680" spans="1:16" ht="12.75">
      <c r="A680" s="34"/>
      <c r="B680" s="33"/>
      <c r="C680" s="34"/>
      <c r="D680" s="33"/>
      <c r="E680" s="34"/>
      <c r="F680" s="34"/>
      <c r="G680" s="34"/>
      <c r="H680" s="30"/>
      <c r="I680" s="34"/>
      <c r="J680" s="34"/>
      <c r="K680" s="34"/>
      <c r="L680" s="34"/>
      <c r="M680" s="34"/>
      <c r="N680" s="34"/>
      <c r="O680" s="34"/>
      <c r="P680" s="34"/>
    </row>
    <row r="681" spans="1:16" ht="12.75">
      <c r="A681" s="34"/>
      <c r="B681" s="33"/>
      <c r="C681" s="34"/>
      <c r="D681" s="33"/>
      <c r="E681" s="34"/>
      <c r="F681" s="34"/>
      <c r="G681" s="34"/>
      <c r="H681" s="30"/>
      <c r="I681" s="34"/>
      <c r="J681" s="34"/>
      <c r="K681" s="34"/>
      <c r="L681" s="34"/>
      <c r="M681" s="34"/>
      <c r="N681" s="34"/>
      <c r="O681" s="34"/>
      <c r="P681" s="34"/>
    </row>
    <row r="682" spans="1:16" ht="12.75">
      <c r="A682" s="34"/>
      <c r="B682" s="33"/>
      <c r="C682" s="34"/>
      <c r="D682" s="33"/>
      <c r="E682" s="34"/>
      <c r="F682" s="34"/>
      <c r="G682" s="34"/>
      <c r="H682" s="30"/>
      <c r="I682" s="34"/>
      <c r="J682" s="34"/>
      <c r="K682" s="34"/>
      <c r="L682" s="34"/>
      <c r="M682" s="34"/>
      <c r="N682" s="34"/>
      <c r="O682" s="34"/>
      <c r="P682" s="34"/>
    </row>
    <row r="683" spans="1:16" ht="12.75">
      <c r="A683" s="34"/>
      <c r="B683" s="33"/>
      <c r="C683" s="34"/>
      <c r="D683" s="33"/>
      <c r="E683" s="34"/>
      <c r="F683" s="34"/>
      <c r="G683" s="34"/>
      <c r="H683" s="30"/>
      <c r="I683" s="34"/>
      <c r="J683" s="34"/>
      <c r="K683" s="34"/>
      <c r="L683" s="34"/>
      <c r="M683" s="34"/>
      <c r="N683" s="34"/>
      <c r="O683" s="34"/>
      <c r="P683" s="34"/>
    </row>
    <row r="684" spans="1:16" ht="12.75">
      <c r="A684" s="34"/>
      <c r="B684" s="33"/>
      <c r="C684" s="34"/>
      <c r="D684" s="33"/>
      <c r="E684" s="34"/>
      <c r="F684" s="34"/>
      <c r="G684" s="34"/>
      <c r="H684" s="30"/>
      <c r="I684" s="34"/>
      <c r="J684" s="34"/>
      <c r="K684" s="34"/>
      <c r="L684" s="34"/>
      <c r="M684" s="34"/>
      <c r="N684" s="34"/>
      <c r="O684" s="34"/>
      <c r="P684" s="34"/>
    </row>
    <row r="685" spans="1:16" ht="12.75">
      <c r="A685" s="34"/>
      <c r="B685" s="33"/>
      <c r="C685" s="34"/>
      <c r="D685" s="33"/>
      <c r="E685" s="34"/>
      <c r="F685" s="34"/>
      <c r="G685" s="34"/>
      <c r="H685" s="30"/>
      <c r="I685" s="34"/>
      <c r="J685" s="34"/>
      <c r="K685" s="34"/>
      <c r="L685" s="34"/>
      <c r="M685" s="34"/>
      <c r="N685" s="34"/>
      <c r="O685" s="34"/>
      <c r="P685" s="34"/>
    </row>
    <row r="686" spans="1:16" ht="12.75">
      <c r="A686" s="34"/>
      <c r="B686" s="33"/>
      <c r="C686" s="34"/>
      <c r="D686" s="33"/>
      <c r="E686" s="34"/>
      <c r="F686" s="34"/>
      <c r="G686" s="34"/>
      <c r="H686" s="30"/>
      <c r="I686" s="34"/>
      <c r="J686" s="34"/>
      <c r="K686" s="34"/>
      <c r="L686" s="34"/>
      <c r="M686" s="34"/>
      <c r="N686" s="34"/>
      <c r="O686" s="34"/>
      <c r="P686" s="34"/>
    </row>
    <row r="687" spans="1:16" ht="12.75">
      <c r="A687" s="34"/>
      <c r="B687" s="33"/>
      <c r="C687" s="34"/>
      <c r="D687" s="33"/>
      <c r="E687" s="34"/>
      <c r="F687" s="34"/>
      <c r="G687" s="34"/>
      <c r="H687" s="30"/>
      <c r="I687" s="34"/>
      <c r="J687" s="34"/>
      <c r="K687" s="34"/>
      <c r="L687" s="34"/>
      <c r="M687" s="34"/>
      <c r="N687" s="34"/>
      <c r="O687" s="34"/>
      <c r="P687" s="34"/>
    </row>
    <row r="688" spans="1:16" ht="12.75">
      <c r="A688" s="34"/>
      <c r="B688" s="33"/>
      <c r="C688" s="34"/>
      <c r="D688" s="33"/>
      <c r="E688" s="34"/>
      <c r="F688" s="34"/>
      <c r="G688" s="34"/>
      <c r="H688" s="30"/>
      <c r="I688" s="34"/>
      <c r="J688" s="34"/>
      <c r="K688" s="34"/>
      <c r="L688" s="34"/>
      <c r="M688" s="34"/>
      <c r="N688" s="34"/>
      <c r="O688" s="34"/>
      <c r="P688" s="34"/>
    </row>
    <row r="689" spans="1:16" ht="12.75">
      <c r="A689" s="34"/>
      <c r="B689" s="33"/>
      <c r="C689" s="34"/>
      <c r="D689" s="33"/>
      <c r="E689" s="34"/>
      <c r="F689" s="34"/>
      <c r="G689" s="34"/>
      <c r="H689" s="30"/>
      <c r="I689" s="34"/>
      <c r="J689" s="34"/>
      <c r="K689" s="34"/>
      <c r="L689" s="34"/>
      <c r="M689" s="34"/>
      <c r="N689" s="34"/>
      <c r="O689" s="34"/>
      <c r="P689" s="34"/>
    </row>
    <row r="690" spans="1:16" ht="12.75">
      <c r="A690" s="34"/>
      <c r="B690" s="33"/>
      <c r="C690" s="34"/>
      <c r="D690" s="33"/>
      <c r="E690" s="34"/>
      <c r="F690" s="34"/>
      <c r="G690" s="34"/>
      <c r="H690" s="30"/>
      <c r="I690" s="34"/>
      <c r="J690" s="34"/>
      <c r="K690" s="34"/>
      <c r="L690" s="34"/>
      <c r="M690" s="34"/>
      <c r="N690" s="34"/>
      <c r="O690" s="34"/>
      <c r="P690" s="34"/>
    </row>
    <row r="691" spans="1:16" ht="12.75">
      <c r="A691" s="34"/>
      <c r="B691" s="33"/>
      <c r="C691" s="34"/>
      <c r="D691" s="33"/>
      <c r="E691" s="34"/>
      <c r="F691" s="34"/>
      <c r="G691" s="34"/>
      <c r="H691" s="30"/>
      <c r="I691" s="34"/>
      <c r="J691" s="34"/>
      <c r="K691" s="34"/>
      <c r="L691" s="34"/>
      <c r="M691" s="34"/>
      <c r="N691" s="34"/>
      <c r="O691" s="34"/>
      <c r="P691" s="34"/>
    </row>
    <row r="692" spans="1:16" ht="12.75">
      <c r="A692" s="34"/>
      <c r="B692" s="33"/>
      <c r="C692" s="34"/>
      <c r="D692" s="33"/>
      <c r="E692" s="34"/>
      <c r="F692" s="34"/>
      <c r="G692" s="34"/>
      <c r="H692" s="30"/>
      <c r="I692" s="34"/>
      <c r="J692" s="34"/>
      <c r="K692" s="34"/>
      <c r="L692" s="34"/>
      <c r="M692" s="34"/>
      <c r="N692" s="34"/>
      <c r="O692" s="34"/>
      <c r="P692" s="34"/>
    </row>
    <row r="693" spans="1:16" ht="12.75">
      <c r="A693" s="34"/>
      <c r="B693" s="33"/>
      <c r="C693" s="34"/>
      <c r="D693" s="33"/>
      <c r="E693" s="34"/>
      <c r="F693" s="34"/>
      <c r="G693" s="34"/>
      <c r="H693" s="30"/>
      <c r="I693" s="34"/>
      <c r="J693" s="34"/>
      <c r="K693" s="34"/>
      <c r="L693" s="34"/>
      <c r="M693" s="34"/>
      <c r="N693" s="34"/>
      <c r="O693" s="34"/>
      <c r="P693" s="34"/>
    </row>
    <row r="694" spans="1:16" ht="12.75">
      <c r="A694" s="34"/>
      <c r="B694" s="33"/>
      <c r="C694" s="34"/>
      <c r="D694" s="33"/>
      <c r="E694" s="34"/>
      <c r="F694" s="34"/>
      <c r="G694" s="34"/>
      <c r="H694" s="30"/>
      <c r="I694" s="34"/>
      <c r="J694" s="34"/>
      <c r="K694" s="34"/>
      <c r="L694" s="34"/>
      <c r="M694" s="34"/>
      <c r="N694" s="34"/>
      <c r="O694" s="34"/>
      <c r="P694" s="34"/>
    </row>
    <row r="695" spans="1:16" ht="12.75">
      <c r="A695" s="34"/>
      <c r="B695" s="33"/>
      <c r="C695" s="34"/>
      <c r="D695" s="33"/>
      <c r="E695" s="34"/>
      <c r="F695" s="34"/>
      <c r="G695" s="34"/>
      <c r="H695" s="30"/>
      <c r="I695" s="34"/>
      <c r="J695" s="34"/>
      <c r="K695" s="34"/>
      <c r="L695" s="34"/>
      <c r="M695" s="34"/>
      <c r="N695" s="34"/>
      <c r="O695" s="34"/>
      <c r="P695" s="34"/>
    </row>
    <row r="696" spans="1:16" ht="12.75">
      <c r="A696" s="34"/>
      <c r="B696" s="33"/>
      <c r="C696" s="34"/>
      <c r="D696" s="33"/>
      <c r="E696" s="34"/>
      <c r="F696" s="34"/>
      <c r="G696" s="34"/>
      <c r="H696" s="30"/>
      <c r="I696" s="34"/>
      <c r="J696" s="34"/>
      <c r="K696" s="34"/>
      <c r="L696" s="34"/>
      <c r="M696" s="34"/>
      <c r="N696" s="34"/>
      <c r="O696" s="34"/>
      <c r="P696" s="34"/>
    </row>
    <row r="697" spans="1:16" ht="12.75">
      <c r="A697" s="34"/>
      <c r="B697" s="33"/>
      <c r="C697" s="34"/>
      <c r="D697" s="33"/>
      <c r="E697" s="34"/>
      <c r="F697" s="34"/>
      <c r="G697" s="34"/>
      <c r="H697" s="30"/>
      <c r="I697" s="34"/>
      <c r="J697" s="34"/>
      <c r="K697" s="34"/>
      <c r="L697" s="34"/>
      <c r="M697" s="34"/>
      <c r="N697" s="34"/>
      <c r="O697" s="34"/>
      <c r="P697" s="34"/>
    </row>
    <row r="698" spans="1:16" ht="12.75">
      <c r="A698" s="34"/>
      <c r="B698" s="33"/>
      <c r="C698" s="34"/>
      <c r="D698" s="33"/>
      <c r="E698" s="34"/>
      <c r="F698" s="34"/>
      <c r="G698" s="34"/>
      <c r="H698" s="30"/>
      <c r="I698" s="34"/>
      <c r="J698" s="34"/>
      <c r="K698" s="34"/>
      <c r="L698" s="34"/>
      <c r="M698" s="34"/>
      <c r="N698" s="34"/>
      <c r="O698" s="34"/>
      <c r="P698" s="34"/>
    </row>
    <row r="699" spans="1:16" ht="12.75">
      <c r="A699" s="34"/>
      <c r="B699" s="33"/>
      <c r="C699" s="34"/>
      <c r="D699" s="33"/>
      <c r="E699" s="34"/>
      <c r="F699" s="34"/>
      <c r="G699" s="34"/>
      <c r="H699" s="30"/>
      <c r="I699" s="34"/>
      <c r="J699" s="34"/>
      <c r="K699" s="34"/>
      <c r="L699" s="34"/>
      <c r="M699" s="34"/>
      <c r="N699" s="34"/>
      <c r="O699" s="34"/>
      <c r="P699" s="34"/>
    </row>
    <row r="700" spans="1:16" ht="12.75">
      <c r="A700" s="34"/>
      <c r="B700" s="33"/>
      <c r="C700" s="34"/>
      <c r="D700" s="33"/>
      <c r="E700" s="34"/>
      <c r="F700" s="34"/>
      <c r="G700" s="34"/>
      <c r="H700" s="30"/>
      <c r="I700" s="34"/>
      <c r="J700" s="34"/>
      <c r="K700" s="34"/>
      <c r="L700" s="34"/>
      <c r="M700" s="34"/>
      <c r="N700" s="34"/>
      <c r="O700" s="34"/>
      <c r="P700" s="34"/>
    </row>
    <row r="701" spans="1:16" ht="12.75">
      <c r="A701" s="34"/>
      <c r="B701" s="33"/>
      <c r="C701" s="34"/>
      <c r="D701" s="33"/>
      <c r="E701" s="34"/>
      <c r="F701" s="34"/>
      <c r="G701" s="34"/>
      <c r="H701" s="30"/>
      <c r="I701" s="34"/>
      <c r="J701" s="34"/>
      <c r="K701" s="34"/>
      <c r="L701" s="34"/>
      <c r="M701" s="34"/>
      <c r="N701" s="34"/>
      <c r="O701" s="34"/>
      <c r="P701" s="34"/>
    </row>
    <row r="702" spans="1:16" ht="12.75">
      <c r="A702" s="34"/>
      <c r="B702" s="33"/>
      <c r="C702" s="34"/>
      <c r="D702" s="33"/>
      <c r="E702" s="34"/>
      <c r="F702" s="34"/>
      <c r="G702" s="34"/>
      <c r="H702" s="30"/>
      <c r="I702" s="34"/>
      <c r="J702" s="34"/>
      <c r="K702" s="34"/>
      <c r="L702" s="34"/>
      <c r="M702" s="34"/>
      <c r="N702" s="34"/>
      <c r="O702" s="34"/>
      <c r="P702" s="34"/>
    </row>
    <row r="703" spans="1:16" ht="12.75">
      <c r="A703" s="34"/>
      <c r="B703" s="33"/>
      <c r="C703" s="34"/>
      <c r="D703" s="33"/>
      <c r="E703" s="34"/>
      <c r="F703" s="34"/>
      <c r="G703" s="34"/>
      <c r="H703" s="30"/>
      <c r="I703" s="34"/>
      <c r="J703" s="34"/>
      <c r="K703" s="34"/>
      <c r="L703" s="34"/>
      <c r="M703" s="34"/>
      <c r="N703" s="34"/>
      <c r="O703" s="34"/>
      <c r="P703" s="34"/>
    </row>
    <row r="704" spans="1:16" ht="12.75">
      <c r="A704" s="34"/>
      <c r="B704" s="33"/>
      <c r="C704" s="34"/>
      <c r="D704" s="33"/>
      <c r="E704" s="34"/>
      <c r="F704" s="34"/>
      <c r="G704" s="34"/>
      <c r="H704" s="30"/>
      <c r="I704" s="34"/>
      <c r="J704" s="34"/>
      <c r="K704" s="34"/>
      <c r="L704" s="34"/>
      <c r="M704" s="34"/>
      <c r="N704" s="34"/>
      <c r="O704" s="34"/>
      <c r="P704" s="34"/>
    </row>
    <row r="705" spans="1:16" ht="12.75">
      <c r="A705" s="34"/>
      <c r="B705" s="33"/>
      <c r="C705" s="34"/>
      <c r="D705" s="33"/>
      <c r="E705" s="34"/>
      <c r="F705" s="34"/>
      <c r="G705" s="34"/>
      <c r="H705" s="30"/>
      <c r="I705" s="34"/>
      <c r="J705" s="34"/>
      <c r="K705" s="34"/>
      <c r="L705" s="34"/>
      <c r="M705" s="34"/>
      <c r="N705" s="34"/>
      <c r="O705" s="34"/>
      <c r="P705" s="34"/>
    </row>
    <row r="706" spans="1:16" ht="12.75">
      <c r="A706" s="34"/>
      <c r="B706" s="33"/>
      <c r="C706" s="34"/>
      <c r="D706" s="33"/>
      <c r="E706" s="34"/>
      <c r="F706" s="34"/>
      <c r="G706" s="34"/>
      <c r="H706" s="30"/>
      <c r="I706" s="34"/>
      <c r="J706" s="34"/>
      <c r="K706" s="34"/>
      <c r="L706" s="34"/>
      <c r="M706" s="34"/>
      <c r="N706" s="34"/>
      <c r="O706" s="34"/>
      <c r="P706" s="34"/>
    </row>
    <row r="707" spans="1:16" ht="12.75">
      <c r="A707" s="34"/>
      <c r="B707" s="33"/>
      <c r="C707" s="34"/>
      <c r="D707" s="33"/>
      <c r="E707" s="34"/>
      <c r="F707" s="34"/>
      <c r="G707" s="34"/>
      <c r="H707" s="30"/>
      <c r="I707" s="34"/>
      <c r="J707" s="34"/>
      <c r="K707" s="34"/>
      <c r="L707" s="34"/>
      <c r="M707" s="34"/>
      <c r="N707" s="34"/>
      <c r="O707" s="34"/>
      <c r="P707" s="34"/>
    </row>
    <row r="708" spans="1:16" ht="12.75">
      <c r="A708" s="34"/>
      <c r="B708" s="33"/>
      <c r="C708" s="34"/>
      <c r="D708" s="33"/>
      <c r="E708" s="34"/>
      <c r="F708" s="34"/>
      <c r="G708" s="34"/>
      <c r="H708" s="30"/>
      <c r="I708" s="34"/>
      <c r="J708" s="34"/>
      <c r="K708" s="34"/>
      <c r="L708" s="34"/>
      <c r="M708" s="34"/>
      <c r="N708" s="34"/>
      <c r="O708" s="34"/>
      <c r="P708" s="34"/>
    </row>
    <row r="709" spans="1:16" ht="12.75">
      <c r="A709" s="34"/>
      <c r="B709" s="33"/>
      <c r="C709" s="34"/>
      <c r="D709" s="33"/>
      <c r="E709" s="34"/>
      <c r="F709" s="34"/>
      <c r="G709" s="34"/>
      <c r="H709" s="30"/>
      <c r="I709" s="34"/>
      <c r="J709" s="34"/>
      <c r="K709" s="34"/>
      <c r="L709" s="34"/>
      <c r="M709" s="34"/>
      <c r="N709" s="34"/>
      <c r="O709" s="34"/>
      <c r="P709" s="34"/>
    </row>
    <row r="710" spans="1:16" ht="12.75">
      <c r="A710" s="34"/>
      <c r="B710" s="33"/>
      <c r="C710" s="34"/>
      <c r="D710" s="33"/>
      <c r="E710" s="34"/>
      <c r="F710" s="34"/>
      <c r="G710" s="34"/>
      <c r="H710" s="30"/>
      <c r="I710" s="34"/>
      <c r="J710" s="34"/>
      <c r="K710" s="34"/>
      <c r="L710" s="34"/>
      <c r="M710" s="34"/>
      <c r="N710" s="34"/>
      <c r="O710" s="34"/>
      <c r="P710" s="34"/>
    </row>
    <row r="711" spans="1:16" ht="12.75">
      <c r="A711" s="34"/>
      <c r="B711" s="33"/>
      <c r="C711" s="34"/>
      <c r="D711" s="33"/>
      <c r="E711" s="34"/>
      <c r="F711" s="34"/>
      <c r="G711" s="34"/>
      <c r="H711" s="30"/>
      <c r="I711" s="34"/>
      <c r="J711" s="34"/>
      <c r="K711" s="34"/>
      <c r="L711" s="34"/>
      <c r="M711" s="34"/>
      <c r="N711" s="34"/>
      <c r="O711" s="34"/>
      <c r="P711" s="34"/>
    </row>
    <row r="712" spans="1:16" ht="12.75">
      <c r="A712" s="34"/>
      <c r="B712" s="33"/>
      <c r="C712" s="34"/>
      <c r="D712" s="33"/>
      <c r="E712" s="34"/>
      <c r="F712" s="34"/>
      <c r="G712" s="34"/>
      <c r="H712" s="30"/>
      <c r="I712" s="34"/>
      <c r="J712" s="34"/>
      <c r="K712" s="34"/>
      <c r="L712" s="34"/>
      <c r="M712" s="34"/>
      <c r="N712" s="34"/>
      <c r="O712" s="34"/>
      <c r="P712" s="34"/>
    </row>
    <row r="713" spans="1:16" ht="12.75">
      <c r="A713" s="34"/>
      <c r="B713" s="33"/>
      <c r="C713" s="34"/>
      <c r="D713" s="33"/>
      <c r="E713" s="34"/>
      <c r="F713" s="34"/>
      <c r="G713" s="34"/>
      <c r="H713" s="30"/>
      <c r="I713" s="34"/>
      <c r="J713" s="34"/>
      <c r="K713" s="34"/>
      <c r="L713" s="34"/>
      <c r="M713" s="34"/>
      <c r="N713" s="34"/>
      <c r="O713" s="34"/>
      <c r="P713" s="34"/>
    </row>
    <row r="714" spans="1:16" ht="12.75">
      <c r="A714" s="34"/>
      <c r="B714" s="33"/>
      <c r="C714" s="34"/>
      <c r="D714" s="33"/>
      <c r="E714" s="34"/>
      <c r="F714" s="34"/>
      <c r="G714" s="34"/>
      <c r="H714" s="30"/>
      <c r="I714" s="34"/>
      <c r="J714" s="34"/>
      <c r="K714" s="34"/>
      <c r="L714" s="34"/>
      <c r="M714" s="34"/>
      <c r="N714" s="34"/>
      <c r="O714" s="34"/>
      <c r="P714" s="34"/>
    </row>
    <row r="715" spans="1:16" ht="12.75">
      <c r="A715" s="34"/>
      <c r="B715" s="33"/>
      <c r="C715" s="34"/>
      <c r="D715" s="33"/>
      <c r="E715" s="34"/>
      <c r="F715" s="34"/>
      <c r="G715" s="34"/>
      <c r="H715" s="30"/>
      <c r="I715" s="34"/>
      <c r="J715" s="34"/>
      <c r="K715" s="34"/>
      <c r="L715" s="34"/>
      <c r="M715" s="34"/>
      <c r="N715" s="34"/>
      <c r="O715" s="34"/>
      <c r="P715" s="34"/>
    </row>
    <row r="716" spans="1:16" ht="12.75">
      <c r="A716" s="34"/>
      <c r="B716" s="33"/>
      <c r="C716" s="34"/>
      <c r="D716" s="33"/>
      <c r="E716" s="34"/>
      <c r="F716" s="34"/>
      <c r="G716" s="34"/>
      <c r="H716" s="30"/>
      <c r="I716" s="34"/>
      <c r="J716" s="34"/>
      <c r="K716" s="34"/>
      <c r="L716" s="34"/>
      <c r="M716" s="34"/>
      <c r="N716" s="34"/>
      <c r="O716" s="34"/>
      <c r="P716" s="34"/>
    </row>
    <row r="717" spans="1:16" ht="12.75">
      <c r="A717" s="34"/>
      <c r="B717" s="33"/>
      <c r="C717" s="34"/>
      <c r="D717" s="33"/>
      <c r="E717" s="34"/>
      <c r="F717" s="34"/>
      <c r="G717" s="34"/>
      <c r="H717" s="30"/>
      <c r="I717" s="34"/>
      <c r="J717" s="34"/>
      <c r="K717" s="34"/>
      <c r="L717" s="34"/>
      <c r="M717" s="34"/>
      <c r="N717" s="34"/>
      <c r="O717" s="34"/>
      <c r="P717" s="34"/>
    </row>
    <row r="718" spans="1:16" ht="12.75">
      <c r="A718" s="34"/>
      <c r="B718" s="33"/>
      <c r="C718" s="34"/>
      <c r="D718" s="33"/>
      <c r="E718" s="34"/>
      <c r="F718" s="34"/>
      <c r="G718" s="34"/>
      <c r="H718" s="30"/>
      <c r="I718" s="34"/>
      <c r="J718" s="34"/>
      <c r="K718" s="34"/>
      <c r="L718" s="34"/>
      <c r="M718" s="34"/>
      <c r="N718" s="34"/>
      <c r="O718" s="34"/>
      <c r="P718" s="34"/>
    </row>
    <row r="719" spans="1:16" ht="12.75">
      <c r="A719" s="34"/>
      <c r="B719" s="33"/>
      <c r="C719" s="34"/>
      <c r="D719" s="33"/>
      <c r="E719" s="34"/>
      <c r="F719" s="34"/>
      <c r="G719" s="34"/>
      <c r="H719" s="30"/>
      <c r="I719" s="34"/>
      <c r="J719" s="34"/>
      <c r="K719" s="34"/>
      <c r="L719" s="34"/>
      <c r="M719" s="34"/>
      <c r="N719" s="34"/>
      <c r="O719" s="34"/>
      <c r="P719" s="34"/>
    </row>
    <row r="720" spans="1:16" ht="12.75">
      <c r="A720" s="34"/>
      <c r="B720" s="33"/>
      <c r="C720" s="34"/>
      <c r="D720" s="33"/>
      <c r="E720" s="34"/>
      <c r="F720" s="34"/>
      <c r="G720" s="34"/>
      <c r="H720" s="30"/>
      <c r="I720" s="34"/>
      <c r="J720" s="34"/>
      <c r="K720" s="34"/>
      <c r="L720" s="34"/>
      <c r="M720" s="34"/>
      <c r="N720" s="34"/>
      <c r="O720" s="34"/>
      <c r="P720" s="34"/>
    </row>
    <row r="721" spans="1:16" ht="12.75">
      <c r="A721" s="34"/>
      <c r="B721" s="33"/>
      <c r="C721" s="34"/>
      <c r="D721" s="33"/>
      <c r="E721" s="34"/>
      <c r="F721" s="34"/>
      <c r="G721" s="34"/>
      <c r="H721" s="30"/>
      <c r="I721" s="34"/>
      <c r="J721" s="34"/>
      <c r="K721" s="34"/>
      <c r="L721" s="34"/>
      <c r="M721" s="34"/>
      <c r="N721" s="34"/>
      <c r="O721" s="34"/>
      <c r="P721" s="34"/>
    </row>
    <row r="722" spans="1:16" ht="12.75">
      <c r="A722" s="34"/>
      <c r="B722" s="33"/>
      <c r="C722" s="34"/>
      <c r="D722" s="33"/>
      <c r="E722" s="34"/>
      <c r="F722" s="34"/>
      <c r="G722" s="34"/>
      <c r="H722" s="30"/>
      <c r="I722" s="34"/>
      <c r="J722" s="34"/>
      <c r="K722" s="34"/>
      <c r="L722" s="34"/>
      <c r="M722" s="34"/>
      <c r="N722" s="34"/>
      <c r="O722" s="34"/>
      <c r="P722" s="34"/>
    </row>
    <row r="723" spans="1:16" ht="12.75">
      <c r="A723" s="34"/>
      <c r="B723" s="33"/>
      <c r="C723" s="34"/>
      <c r="D723" s="33"/>
      <c r="E723" s="34"/>
      <c r="F723" s="34"/>
      <c r="G723" s="34"/>
      <c r="H723" s="30"/>
      <c r="I723" s="34"/>
      <c r="J723" s="34"/>
      <c r="K723" s="34"/>
      <c r="L723" s="34"/>
      <c r="M723" s="34"/>
      <c r="N723" s="34"/>
      <c r="O723" s="34"/>
      <c r="P723" s="34"/>
    </row>
    <row r="724" spans="1:16" ht="12.75">
      <c r="A724" s="34"/>
      <c r="B724" s="33"/>
      <c r="C724" s="34"/>
      <c r="D724" s="33"/>
      <c r="E724" s="34"/>
      <c r="F724" s="34"/>
      <c r="G724" s="34"/>
      <c r="H724" s="30"/>
      <c r="I724" s="34"/>
      <c r="J724" s="34"/>
      <c r="K724" s="34"/>
      <c r="L724" s="34"/>
      <c r="M724" s="34"/>
      <c r="N724" s="34"/>
      <c r="O724" s="34"/>
      <c r="P724" s="34"/>
    </row>
    <row r="725" spans="1:16" ht="12.75">
      <c r="A725" s="34"/>
      <c r="B725" s="33"/>
      <c r="C725" s="34"/>
      <c r="D725" s="33"/>
      <c r="E725" s="34"/>
      <c r="F725" s="34"/>
      <c r="G725" s="34"/>
      <c r="H725" s="30"/>
      <c r="I725" s="34"/>
      <c r="J725" s="34"/>
      <c r="K725" s="34"/>
      <c r="L725" s="34"/>
      <c r="M725" s="34"/>
      <c r="N725" s="34"/>
      <c r="O725" s="34"/>
      <c r="P725" s="34"/>
    </row>
    <row r="726" spans="1:16" ht="12.75">
      <c r="A726" s="34"/>
      <c r="B726" s="33"/>
      <c r="C726" s="34"/>
      <c r="D726" s="33"/>
      <c r="E726" s="34"/>
      <c r="F726" s="34"/>
      <c r="G726" s="34"/>
      <c r="H726" s="30"/>
      <c r="I726" s="34"/>
      <c r="J726" s="34"/>
      <c r="K726" s="34"/>
      <c r="L726" s="34"/>
      <c r="M726" s="34"/>
      <c r="N726" s="34"/>
      <c r="O726" s="34"/>
      <c r="P726" s="34"/>
    </row>
    <row r="727" spans="1:16" ht="12.75">
      <c r="A727" s="34"/>
      <c r="B727" s="33"/>
      <c r="C727" s="34"/>
      <c r="D727" s="33"/>
      <c r="E727" s="34"/>
      <c r="F727" s="34"/>
      <c r="G727" s="34"/>
      <c r="H727" s="30"/>
      <c r="I727" s="34"/>
      <c r="J727" s="34"/>
      <c r="K727" s="34"/>
      <c r="L727" s="34"/>
      <c r="M727" s="34"/>
      <c r="N727" s="34"/>
      <c r="O727" s="34"/>
      <c r="P727" s="34"/>
    </row>
    <row r="728" spans="1:16" ht="12.75">
      <c r="A728" s="34"/>
      <c r="B728" s="33"/>
      <c r="C728" s="34"/>
      <c r="D728" s="33"/>
      <c r="E728" s="34"/>
      <c r="F728" s="34"/>
      <c r="G728" s="34"/>
      <c r="H728" s="30"/>
      <c r="I728" s="34"/>
      <c r="J728" s="34"/>
      <c r="K728" s="34"/>
      <c r="L728" s="34"/>
      <c r="M728" s="34"/>
      <c r="N728" s="34"/>
      <c r="O728" s="34"/>
      <c r="P728" s="34"/>
    </row>
    <row r="729" spans="1:16" ht="12.75">
      <c r="A729" s="34"/>
      <c r="B729" s="33"/>
      <c r="C729" s="34"/>
      <c r="D729" s="33"/>
      <c r="E729" s="34"/>
      <c r="F729" s="34"/>
      <c r="G729" s="34"/>
      <c r="H729" s="30"/>
      <c r="I729" s="34"/>
      <c r="J729" s="34"/>
      <c r="K729" s="34"/>
      <c r="L729" s="34"/>
      <c r="M729" s="34"/>
      <c r="N729" s="34"/>
      <c r="O729" s="34"/>
      <c r="P729" s="34"/>
    </row>
    <row r="730" spans="1:16" ht="12.75">
      <c r="A730" s="34"/>
      <c r="B730" s="33"/>
      <c r="C730" s="34"/>
      <c r="D730" s="33"/>
      <c r="E730" s="34"/>
      <c r="F730" s="34"/>
      <c r="G730" s="34"/>
      <c r="H730" s="30"/>
      <c r="I730" s="34"/>
      <c r="J730" s="34"/>
      <c r="K730" s="34"/>
      <c r="L730" s="34"/>
      <c r="M730" s="34"/>
      <c r="N730" s="34"/>
      <c r="O730" s="34"/>
      <c r="P730" s="34"/>
    </row>
    <row r="731" spans="1:16" ht="12.75">
      <c r="A731" s="34"/>
      <c r="B731" s="33"/>
      <c r="C731" s="34"/>
      <c r="D731" s="33"/>
      <c r="E731" s="34"/>
      <c r="F731" s="34"/>
      <c r="G731" s="34"/>
      <c r="H731" s="30"/>
      <c r="I731" s="34"/>
      <c r="J731" s="34"/>
      <c r="K731" s="34"/>
      <c r="L731" s="34"/>
      <c r="M731" s="34"/>
      <c r="N731" s="34"/>
      <c r="O731" s="34"/>
      <c r="P731" s="34"/>
    </row>
    <row r="732" spans="1:16" ht="12.75">
      <c r="A732" s="34"/>
      <c r="B732" s="33"/>
      <c r="C732" s="34"/>
      <c r="D732" s="33"/>
      <c r="E732" s="34"/>
      <c r="F732" s="34"/>
      <c r="G732" s="34"/>
      <c r="H732" s="30"/>
      <c r="I732" s="34"/>
      <c r="J732" s="34"/>
      <c r="K732" s="34"/>
      <c r="L732" s="34"/>
      <c r="M732" s="34"/>
      <c r="N732" s="34"/>
      <c r="O732" s="34"/>
      <c r="P732" s="34"/>
    </row>
    <row r="733" spans="1:16" ht="12.75">
      <c r="A733" s="34"/>
      <c r="B733" s="33"/>
      <c r="C733" s="34"/>
      <c r="D733" s="33"/>
      <c r="E733" s="34"/>
      <c r="F733" s="34"/>
      <c r="G733" s="34"/>
      <c r="H733" s="30"/>
      <c r="I733" s="34"/>
      <c r="J733" s="34"/>
      <c r="K733" s="34"/>
      <c r="L733" s="34"/>
      <c r="M733" s="34"/>
      <c r="N733" s="34"/>
      <c r="O733" s="34"/>
      <c r="P733" s="34"/>
    </row>
    <row r="734" spans="1:16" ht="12.75">
      <c r="A734" s="34"/>
      <c r="B734" s="33"/>
      <c r="C734" s="34"/>
      <c r="D734" s="33"/>
      <c r="E734" s="34"/>
      <c r="F734" s="34"/>
      <c r="G734" s="34"/>
      <c r="H734" s="30"/>
      <c r="I734" s="34"/>
      <c r="J734" s="34"/>
      <c r="K734" s="34"/>
      <c r="L734" s="34"/>
      <c r="M734" s="34"/>
      <c r="N734" s="34"/>
      <c r="O734" s="34"/>
      <c r="P734" s="34"/>
    </row>
    <row r="735" spans="1:16" ht="12.75">
      <c r="A735" s="34"/>
      <c r="B735" s="33"/>
      <c r="C735" s="34"/>
      <c r="D735" s="33"/>
      <c r="E735" s="34"/>
      <c r="F735" s="34"/>
      <c r="G735" s="34"/>
      <c r="H735" s="30"/>
      <c r="I735" s="34"/>
      <c r="J735" s="34"/>
      <c r="K735" s="34"/>
      <c r="L735" s="34"/>
      <c r="M735" s="34"/>
      <c r="N735" s="34"/>
      <c r="O735" s="34"/>
      <c r="P735" s="34"/>
    </row>
    <row r="736" spans="1:16" ht="12.75">
      <c r="A736" s="34"/>
      <c r="B736" s="33"/>
      <c r="C736" s="34"/>
      <c r="D736" s="33"/>
      <c r="E736" s="34"/>
      <c r="F736" s="34"/>
      <c r="G736" s="34"/>
      <c r="H736" s="30"/>
      <c r="I736" s="34"/>
      <c r="J736" s="34"/>
      <c r="K736" s="34"/>
      <c r="L736" s="34"/>
      <c r="M736" s="34"/>
      <c r="N736" s="34"/>
      <c r="O736" s="34"/>
      <c r="P736" s="34"/>
    </row>
    <row r="737" spans="1:16" ht="12.75">
      <c r="A737" s="34"/>
      <c r="B737" s="33"/>
      <c r="C737" s="34"/>
      <c r="D737" s="33"/>
      <c r="E737" s="34"/>
      <c r="F737" s="34"/>
      <c r="G737" s="34"/>
      <c r="H737" s="30"/>
      <c r="I737" s="34"/>
      <c r="J737" s="34"/>
      <c r="K737" s="34"/>
      <c r="L737" s="34"/>
      <c r="M737" s="34"/>
      <c r="N737" s="34"/>
      <c r="O737" s="34"/>
      <c r="P737" s="34"/>
    </row>
    <row r="738" spans="1:16" ht="12.75">
      <c r="A738" s="34"/>
      <c r="B738" s="33"/>
      <c r="C738" s="34"/>
      <c r="D738" s="33"/>
      <c r="E738" s="34"/>
      <c r="F738" s="34"/>
      <c r="G738" s="34"/>
      <c r="H738" s="30"/>
      <c r="I738" s="34"/>
      <c r="J738" s="34"/>
      <c r="K738" s="34"/>
      <c r="L738" s="34"/>
      <c r="M738" s="34"/>
      <c r="N738" s="34"/>
      <c r="O738" s="34"/>
      <c r="P738" s="34"/>
    </row>
    <row r="739" spans="1:16" ht="12.75">
      <c r="A739" s="34"/>
      <c r="B739" s="33"/>
      <c r="C739" s="34"/>
      <c r="D739" s="33"/>
      <c r="E739" s="34"/>
      <c r="F739" s="34"/>
      <c r="G739" s="34"/>
      <c r="H739" s="30"/>
      <c r="I739" s="34"/>
      <c r="J739" s="34"/>
      <c r="K739" s="34"/>
      <c r="L739" s="34"/>
      <c r="M739" s="34"/>
      <c r="N739" s="34"/>
      <c r="O739" s="34"/>
      <c r="P739" s="34"/>
    </row>
    <row r="740" spans="1:16" ht="12.75">
      <c r="A740" s="34"/>
      <c r="B740" s="33"/>
      <c r="C740" s="34"/>
      <c r="D740" s="33"/>
      <c r="E740" s="34"/>
      <c r="F740" s="34"/>
      <c r="G740" s="34"/>
      <c r="H740" s="30"/>
      <c r="I740" s="34"/>
      <c r="J740" s="34"/>
      <c r="K740" s="34"/>
      <c r="L740" s="34"/>
      <c r="M740" s="34"/>
      <c r="N740" s="34"/>
      <c r="O740" s="34"/>
      <c r="P740" s="34"/>
    </row>
    <row r="741" spans="1:16" ht="12.75">
      <c r="A741" s="34"/>
      <c r="B741" s="33"/>
      <c r="C741" s="34"/>
      <c r="D741" s="33"/>
      <c r="E741" s="34"/>
      <c r="F741" s="34"/>
      <c r="G741" s="34"/>
      <c r="H741" s="30"/>
      <c r="I741" s="34"/>
      <c r="J741" s="34"/>
      <c r="K741" s="34"/>
      <c r="L741" s="34"/>
      <c r="M741" s="34"/>
      <c r="N741" s="34"/>
      <c r="O741" s="34"/>
      <c r="P741" s="34"/>
    </row>
    <row r="742" spans="1:16" ht="12.75">
      <c r="A742" s="34"/>
      <c r="B742" s="33"/>
      <c r="C742" s="34"/>
      <c r="D742" s="33"/>
      <c r="E742" s="34"/>
      <c r="F742" s="34"/>
      <c r="G742" s="34"/>
      <c r="H742" s="30"/>
      <c r="I742" s="34"/>
      <c r="J742" s="34"/>
      <c r="K742" s="34"/>
      <c r="L742" s="34"/>
      <c r="M742" s="34"/>
      <c r="N742" s="34"/>
      <c r="O742" s="34"/>
      <c r="P742" s="34"/>
    </row>
    <row r="743" spans="1:16" ht="12.75">
      <c r="A743" s="34"/>
      <c r="B743" s="33"/>
      <c r="C743" s="34"/>
      <c r="D743" s="33"/>
      <c r="E743" s="34"/>
      <c r="F743" s="34"/>
      <c r="G743" s="34"/>
      <c r="H743" s="30"/>
      <c r="I743" s="34"/>
      <c r="J743" s="34"/>
      <c r="K743" s="34"/>
      <c r="L743" s="34"/>
      <c r="M743" s="34"/>
      <c r="N743" s="34"/>
      <c r="O743" s="34"/>
      <c r="P743" s="34"/>
    </row>
    <row r="744" spans="1:16" ht="12.75">
      <c r="A744" s="34"/>
      <c r="B744" s="33"/>
      <c r="C744" s="34"/>
      <c r="D744" s="33"/>
      <c r="E744" s="34"/>
      <c r="F744" s="34"/>
      <c r="G744" s="34"/>
      <c r="H744" s="30"/>
      <c r="I744" s="34"/>
      <c r="J744" s="34"/>
      <c r="K744" s="34"/>
      <c r="L744" s="34"/>
      <c r="M744" s="34"/>
      <c r="N744" s="34"/>
      <c r="O744" s="34"/>
      <c r="P744" s="34"/>
    </row>
    <row r="745" spans="1:16" ht="12.75">
      <c r="A745" s="34"/>
      <c r="B745" s="33"/>
      <c r="C745" s="34"/>
      <c r="D745" s="33"/>
      <c r="E745" s="34"/>
      <c r="F745" s="34"/>
      <c r="G745" s="34"/>
      <c r="H745" s="30"/>
      <c r="I745" s="34"/>
      <c r="J745" s="34"/>
      <c r="K745" s="34"/>
      <c r="L745" s="34"/>
      <c r="M745" s="34"/>
      <c r="N745" s="34"/>
      <c r="O745" s="34"/>
      <c r="P745" s="34"/>
    </row>
    <row r="746" spans="1:16" ht="12.75">
      <c r="A746" s="34"/>
      <c r="B746" s="33"/>
      <c r="C746" s="34"/>
      <c r="D746" s="33"/>
      <c r="E746" s="34"/>
      <c r="F746" s="34"/>
      <c r="G746" s="34"/>
      <c r="H746" s="30"/>
      <c r="I746" s="34"/>
      <c r="J746" s="34"/>
      <c r="K746" s="34"/>
      <c r="L746" s="34"/>
      <c r="M746" s="34"/>
      <c r="N746" s="34"/>
      <c r="O746" s="34"/>
      <c r="P746" s="34"/>
    </row>
    <row r="747" spans="1:16" ht="12.75">
      <c r="A747" s="34"/>
      <c r="B747" s="33"/>
      <c r="C747" s="34"/>
      <c r="D747" s="33"/>
      <c r="E747" s="34"/>
      <c r="F747" s="34"/>
      <c r="G747" s="34"/>
      <c r="H747" s="30"/>
      <c r="I747" s="34"/>
      <c r="J747" s="34"/>
      <c r="K747" s="34"/>
      <c r="L747" s="34"/>
      <c r="M747" s="34"/>
      <c r="N747" s="34"/>
      <c r="O747" s="34"/>
      <c r="P747" s="34"/>
    </row>
    <row r="748" spans="1:16" ht="12.75">
      <c r="A748" s="34"/>
      <c r="B748" s="33"/>
      <c r="C748" s="34"/>
      <c r="D748" s="33"/>
      <c r="E748" s="34"/>
      <c r="F748" s="34"/>
      <c r="G748" s="34"/>
      <c r="H748" s="30"/>
      <c r="I748" s="34"/>
      <c r="J748" s="34"/>
      <c r="K748" s="34"/>
      <c r="L748" s="34"/>
      <c r="M748" s="34"/>
      <c r="N748" s="34"/>
      <c r="O748" s="34"/>
      <c r="P748" s="34"/>
    </row>
    <row r="749" spans="1:16" ht="12.75">
      <c r="A749" s="34"/>
      <c r="B749" s="33"/>
      <c r="C749" s="34"/>
      <c r="D749" s="33"/>
      <c r="E749" s="34"/>
      <c r="F749" s="34"/>
      <c r="G749" s="34"/>
      <c r="H749" s="30"/>
      <c r="I749" s="34"/>
      <c r="J749" s="34"/>
      <c r="K749" s="34"/>
      <c r="L749" s="34"/>
      <c r="M749" s="34"/>
      <c r="N749" s="34"/>
      <c r="O749" s="34"/>
      <c r="P749" s="34"/>
    </row>
    <row r="750" spans="1:16" ht="12.75">
      <c r="A750" s="34"/>
      <c r="B750" s="33"/>
      <c r="C750" s="34"/>
      <c r="D750" s="33"/>
      <c r="E750" s="34"/>
      <c r="F750" s="34"/>
      <c r="G750" s="34"/>
      <c r="H750" s="30"/>
      <c r="I750" s="34"/>
      <c r="J750" s="34"/>
      <c r="K750" s="34"/>
      <c r="L750" s="34"/>
      <c r="M750" s="34"/>
      <c r="N750" s="34"/>
      <c r="O750" s="34"/>
      <c r="P750" s="34"/>
    </row>
    <row r="751" spans="1:16" ht="12.75">
      <c r="A751" s="34"/>
      <c r="B751" s="33"/>
      <c r="C751" s="34"/>
      <c r="D751" s="33"/>
      <c r="E751" s="34"/>
      <c r="F751" s="34"/>
      <c r="G751" s="34"/>
      <c r="H751" s="30"/>
      <c r="I751" s="34"/>
      <c r="J751" s="34"/>
      <c r="K751" s="34"/>
      <c r="L751" s="34"/>
      <c r="M751" s="34"/>
      <c r="N751" s="34"/>
      <c r="O751" s="34"/>
      <c r="P751" s="34"/>
    </row>
    <row r="752" spans="1:16" ht="12.75">
      <c r="A752" s="34"/>
      <c r="B752" s="33"/>
      <c r="C752" s="34"/>
      <c r="D752" s="33"/>
      <c r="E752" s="34"/>
      <c r="F752" s="34"/>
      <c r="G752" s="34"/>
      <c r="H752" s="30"/>
      <c r="I752" s="34"/>
      <c r="J752" s="34"/>
      <c r="K752" s="34"/>
      <c r="L752" s="34"/>
      <c r="M752" s="34"/>
      <c r="N752" s="34"/>
      <c r="O752" s="34"/>
      <c r="P752" s="34"/>
    </row>
    <row r="753" spans="1:16" ht="12.75">
      <c r="A753" s="34"/>
      <c r="B753" s="33"/>
      <c r="C753" s="34"/>
      <c r="D753" s="33"/>
      <c r="E753" s="34"/>
      <c r="F753" s="34"/>
      <c r="G753" s="34"/>
      <c r="H753" s="30"/>
      <c r="I753" s="34"/>
      <c r="J753" s="34"/>
      <c r="K753" s="34"/>
      <c r="L753" s="34"/>
      <c r="M753" s="34"/>
      <c r="N753" s="34"/>
      <c r="O753" s="34"/>
      <c r="P753" s="34"/>
    </row>
    <row r="754" spans="1:16" ht="12.75">
      <c r="A754" s="34"/>
      <c r="B754" s="33"/>
      <c r="C754" s="34"/>
      <c r="D754" s="33"/>
      <c r="E754" s="34"/>
      <c r="F754" s="34"/>
      <c r="G754" s="34"/>
      <c r="H754" s="30"/>
      <c r="I754" s="34"/>
      <c r="J754" s="34"/>
      <c r="K754" s="34"/>
      <c r="L754" s="34"/>
      <c r="M754" s="34"/>
      <c r="N754" s="34"/>
      <c r="O754" s="34"/>
      <c r="P754" s="34"/>
    </row>
    <row r="755" spans="1:16" ht="12.75">
      <c r="A755" s="34"/>
      <c r="B755" s="33"/>
      <c r="C755" s="34"/>
      <c r="D755" s="33"/>
      <c r="E755" s="34"/>
      <c r="F755" s="34"/>
      <c r="G755" s="34"/>
      <c r="H755" s="30"/>
      <c r="I755" s="34"/>
      <c r="J755" s="34"/>
      <c r="K755" s="34"/>
      <c r="L755" s="34"/>
      <c r="M755" s="34"/>
      <c r="N755" s="34"/>
      <c r="O755" s="34"/>
      <c r="P755" s="34"/>
    </row>
    <row r="756" spans="1:16" ht="12.75">
      <c r="A756" s="34"/>
      <c r="B756" s="33"/>
      <c r="C756" s="34"/>
      <c r="D756" s="33"/>
      <c r="E756" s="34"/>
      <c r="F756" s="34"/>
      <c r="G756" s="34"/>
      <c r="H756" s="30"/>
      <c r="I756" s="34"/>
      <c r="J756" s="34"/>
      <c r="K756" s="34"/>
      <c r="L756" s="34"/>
      <c r="M756" s="34"/>
      <c r="N756" s="34"/>
      <c r="O756" s="34"/>
      <c r="P756" s="34"/>
    </row>
    <row r="757" spans="1:16" ht="12.75">
      <c r="A757" s="34"/>
      <c r="B757" s="33"/>
      <c r="C757" s="34"/>
      <c r="D757" s="33"/>
      <c r="E757" s="34"/>
      <c r="F757" s="34"/>
      <c r="G757" s="34"/>
      <c r="H757" s="30"/>
      <c r="I757" s="34"/>
      <c r="J757" s="34"/>
      <c r="K757" s="34"/>
      <c r="L757" s="34"/>
      <c r="M757" s="34"/>
      <c r="N757" s="34"/>
      <c r="O757" s="34"/>
      <c r="P757" s="34"/>
    </row>
    <row r="758" spans="1:16" ht="12.75">
      <c r="A758" s="34"/>
      <c r="B758" s="33"/>
      <c r="C758" s="34"/>
      <c r="D758" s="33"/>
      <c r="E758" s="34"/>
      <c r="F758" s="34"/>
      <c r="G758" s="34"/>
      <c r="H758" s="30"/>
      <c r="I758" s="34"/>
      <c r="J758" s="34"/>
      <c r="K758" s="34"/>
      <c r="L758" s="34"/>
      <c r="M758" s="34"/>
      <c r="N758" s="34"/>
      <c r="O758" s="34"/>
      <c r="P758" s="34"/>
    </row>
    <row r="759" spans="1:16" ht="12.75">
      <c r="A759" s="34"/>
      <c r="B759" s="33"/>
      <c r="C759" s="34"/>
      <c r="D759" s="33"/>
      <c r="E759" s="34"/>
      <c r="F759" s="34"/>
      <c r="G759" s="34"/>
      <c r="H759" s="30"/>
      <c r="I759" s="34"/>
      <c r="J759" s="34"/>
      <c r="K759" s="34"/>
      <c r="L759" s="34"/>
      <c r="M759" s="34"/>
      <c r="N759" s="34"/>
      <c r="O759" s="34"/>
      <c r="P759" s="34"/>
    </row>
    <row r="760" spans="1:16" ht="12.75">
      <c r="A760" s="34"/>
      <c r="B760" s="33"/>
      <c r="C760" s="34"/>
      <c r="D760" s="33"/>
      <c r="E760" s="34"/>
      <c r="F760" s="34"/>
      <c r="G760" s="34"/>
      <c r="H760" s="30"/>
      <c r="I760" s="34"/>
      <c r="J760" s="34"/>
      <c r="K760" s="34"/>
      <c r="L760" s="34"/>
      <c r="M760" s="34"/>
      <c r="N760" s="34"/>
      <c r="O760" s="34"/>
      <c r="P760" s="34"/>
    </row>
    <row r="761" spans="1:16" ht="12.75">
      <c r="A761" s="34"/>
      <c r="B761" s="33"/>
      <c r="C761" s="34"/>
      <c r="D761" s="33"/>
      <c r="E761" s="34"/>
      <c r="F761" s="34"/>
      <c r="G761" s="34"/>
      <c r="H761" s="30"/>
      <c r="I761" s="34"/>
      <c r="J761" s="34"/>
      <c r="K761" s="34"/>
      <c r="L761" s="34"/>
      <c r="M761" s="34"/>
      <c r="N761" s="34"/>
      <c r="O761" s="34"/>
      <c r="P761" s="34"/>
    </row>
    <row r="762" spans="1:16" ht="12.75">
      <c r="A762" s="34"/>
      <c r="B762" s="33"/>
      <c r="C762" s="34"/>
      <c r="D762" s="33"/>
      <c r="E762" s="34"/>
      <c r="F762" s="34"/>
      <c r="G762" s="34"/>
      <c r="H762" s="30"/>
      <c r="I762" s="34"/>
      <c r="J762" s="34"/>
      <c r="K762" s="34"/>
      <c r="L762" s="34"/>
      <c r="M762" s="34"/>
      <c r="N762" s="34"/>
      <c r="O762" s="34"/>
      <c r="P762" s="34"/>
    </row>
    <row r="763" spans="1:16" ht="12.75">
      <c r="A763" s="34"/>
      <c r="B763" s="33"/>
      <c r="C763" s="34"/>
      <c r="D763" s="33"/>
      <c r="E763" s="34"/>
      <c r="F763" s="34"/>
      <c r="G763" s="34"/>
      <c r="H763" s="30"/>
      <c r="I763" s="34"/>
      <c r="J763" s="34"/>
      <c r="K763" s="34"/>
      <c r="L763" s="34"/>
      <c r="M763" s="34"/>
      <c r="N763" s="34"/>
      <c r="O763" s="34"/>
      <c r="P763" s="34"/>
    </row>
    <row r="764" spans="1:16" ht="12.75">
      <c r="A764" s="34"/>
      <c r="B764" s="33"/>
      <c r="C764" s="34"/>
      <c r="D764" s="33"/>
      <c r="E764" s="34"/>
      <c r="F764" s="34"/>
      <c r="G764" s="34"/>
      <c r="H764" s="30"/>
      <c r="I764" s="34"/>
      <c r="J764" s="34"/>
      <c r="K764" s="34"/>
      <c r="L764" s="34"/>
      <c r="M764" s="34"/>
      <c r="N764" s="34"/>
      <c r="O764" s="34"/>
      <c r="P764" s="34"/>
    </row>
    <row r="765" spans="1:16" ht="12.75">
      <c r="A765" s="34"/>
      <c r="B765" s="33"/>
      <c r="C765" s="34"/>
      <c r="D765" s="33"/>
      <c r="E765" s="34"/>
      <c r="F765" s="34"/>
      <c r="G765" s="34"/>
      <c r="H765" s="30"/>
      <c r="I765" s="34"/>
      <c r="J765" s="34"/>
      <c r="K765" s="34"/>
      <c r="L765" s="34"/>
      <c r="M765" s="34"/>
      <c r="N765" s="34"/>
      <c r="O765" s="34"/>
      <c r="P765" s="34"/>
    </row>
    <row r="766" spans="1:16" ht="12.75">
      <c r="A766" s="34"/>
      <c r="B766" s="33"/>
      <c r="C766" s="34"/>
      <c r="D766" s="33"/>
      <c r="E766" s="34"/>
      <c r="F766" s="34"/>
      <c r="G766" s="34"/>
      <c r="H766" s="30"/>
      <c r="I766" s="34"/>
      <c r="J766" s="34"/>
      <c r="K766" s="34"/>
      <c r="L766" s="34"/>
      <c r="M766" s="34"/>
      <c r="N766" s="34"/>
      <c r="O766" s="34"/>
      <c r="P766" s="34"/>
    </row>
    <row r="767" spans="1:16" ht="12.75">
      <c r="A767" s="34"/>
      <c r="B767" s="33"/>
      <c r="C767" s="34"/>
      <c r="D767" s="33"/>
      <c r="E767" s="34"/>
      <c r="F767" s="34"/>
      <c r="G767" s="34"/>
      <c r="H767" s="30"/>
      <c r="I767" s="34"/>
      <c r="J767" s="34"/>
      <c r="K767" s="34"/>
      <c r="L767" s="34"/>
      <c r="M767" s="34"/>
      <c r="N767" s="34"/>
      <c r="O767" s="34"/>
      <c r="P767" s="34"/>
    </row>
    <row r="768" spans="1:16" ht="12.75">
      <c r="A768" s="34"/>
      <c r="B768" s="33"/>
      <c r="C768" s="34"/>
      <c r="D768" s="33"/>
      <c r="E768" s="34"/>
      <c r="F768" s="34"/>
      <c r="G768" s="34"/>
      <c r="H768" s="30"/>
      <c r="I768" s="34"/>
      <c r="J768" s="34"/>
      <c r="K768" s="34"/>
      <c r="L768" s="34"/>
      <c r="M768" s="34"/>
      <c r="N768" s="34"/>
      <c r="O768" s="34"/>
      <c r="P768" s="34"/>
    </row>
    <row r="769" spans="1:16" ht="12.75">
      <c r="A769" s="34"/>
      <c r="B769" s="33"/>
      <c r="C769" s="34"/>
      <c r="D769" s="33"/>
      <c r="E769" s="34"/>
      <c r="F769" s="34"/>
      <c r="G769" s="34"/>
      <c r="H769" s="30"/>
      <c r="I769" s="34"/>
      <c r="J769" s="34"/>
      <c r="K769" s="34"/>
      <c r="L769" s="34"/>
      <c r="M769" s="34"/>
      <c r="N769" s="34"/>
      <c r="O769" s="34"/>
      <c r="P769" s="34"/>
    </row>
    <row r="770" spans="1:16" ht="12.75">
      <c r="A770" s="34"/>
      <c r="B770" s="33"/>
      <c r="C770" s="34"/>
      <c r="D770" s="33"/>
      <c r="E770" s="34"/>
      <c r="F770" s="34"/>
      <c r="G770" s="34"/>
      <c r="H770" s="30"/>
      <c r="I770" s="34"/>
      <c r="J770" s="34"/>
      <c r="K770" s="34"/>
      <c r="L770" s="34"/>
      <c r="M770" s="34"/>
      <c r="N770" s="34"/>
      <c r="O770" s="34"/>
      <c r="P770" s="34"/>
    </row>
    <row r="771" spans="1:16" ht="12.75">
      <c r="A771" s="34"/>
      <c r="B771" s="33"/>
      <c r="C771" s="34"/>
      <c r="D771" s="33"/>
      <c r="E771" s="34"/>
      <c r="F771" s="34"/>
      <c r="G771" s="34"/>
      <c r="H771" s="30"/>
      <c r="I771" s="34"/>
      <c r="J771" s="34"/>
      <c r="K771" s="34"/>
      <c r="L771" s="34"/>
      <c r="M771" s="34"/>
      <c r="N771" s="34"/>
      <c r="O771" s="34"/>
      <c r="P771" s="34"/>
    </row>
    <row r="772" spans="1:16" ht="12.75">
      <c r="A772" s="34"/>
      <c r="B772" s="33"/>
      <c r="C772" s="34"/>
      <c r="D772" s="33"/>
      <c r="E772" s="34"/>
      <c r="F772" s="34"/>
      <c r="G772" s="34"/>
      <c r="H772" s="30"/>
      <c r="I772" s="34"/>
      <c r="J772" s="34"/>
      <c r="K772" s="34"/>
      <c r="L772" s="34"/>
      <c r="M772" s="34"/>
      <c r="N772" s="34"/>
      <c r="O772" s="34"/>
      <c r="P772" s="34"/>
    </row>
    <row r="773" spans="1:16" ht="12.75">
      <c r="A773" s="34"/>
      <c r="B773" s="33"/>
      <c r="C773" s="34"/>
      <c r="D773" s="33"/>
      <c r="E773" s="34"/>
      <c r="F773" s="34"/>
      <c r="G773" s="34"/>
      <c r="H773" s="30"/>
      <c r="I773" s="34"/>
      <c r="J773" s="34"/>
      <c r="K773" s="34"/>
      <c r="L773" s="34"/>
      <c r="M773" s="34"/>
      <c r="N773" s="34"/>
      <c r="O773" s="34"/>
      <c r="P773" s="34"/>
    </row>
    <row r="774" spans="1:16" ht="12.75">
      <c r="A774" s="34"/>
      <c r="B774" s="33"/>
      <c r="C774" s="34"/>
      <c r="D774" s="33"/>
      <c r="E774" s="34"/>
      <c r="F774" s="34"/>
      <c r="G774" s="34"/>
      <c r="H774" s="30"/>
      <c r="I774" s="34"/>
      <c r="J774" s="34"/>
      <c r="K774" s="34"/>
      <c r="L774" s="34"/>
      <c r="M774" s="34"/>
      <c r="N774" s="34"/>
      <c r="O774" s="34"/>
      <c r="P774" s="34"/>
    </row>
    <row r="775" spans="1:16" ht="12.75">
      <c r="A775" s="34"/>
      <c r="B775" s="33"/>
      <c r="C775" s="34"/>
      <c r="D775" s="33"/>
      <c r="E775" s="34"/>
      <c r="F775" s="34"/>
      <c r="G775" s="34"/>
      <c r="H775" s="30"/>
      <c r="I775" s="34"/>
      <c r="J775" s="34"/>
      <c r="K775" s="34"/>
      <c r="L775" s="34"/>
      <c r="M775" s="34"/>
      <c r="N775" s="34"/>
      <c r="O775" s="34"/>
      <c r="P775" s="34"/>
    </row>
    <row r="776" spans="1:16" ht="12.75">
      <c r="A776" s="34"/>
      <c r="B776" s="33"/>
      <c r="C776" s="34"/>
      <c r="D776" s="33"/>
      <c r="E776" s="34"/>
      <c r="F776" s="34"/>
      <c r="G776" s="34"/>
      <c r="H776" s="30"/>
      <c r="I776" s="34"/>
      <c r="J776" s="34"/>
      <c r="K776" s="34"/>
      <c r="L776" s="34"/>
      <c r="M776" s="34"/>
      <c r="N776" s="34"/>
      <c r="O776" s="34"/>
      <c r="P776" s="34"/>
    </row>
    <row r="777" spans="1:16" ht="12.75">
      <c r="A777" s="34"/>
      <c r="B777" s="33"/>
      <c r="C777" s="34"/>
      <c r="D777" s="33"/>
      <c r="E777" s="34"/>
      <c r="F777" s="34"/>
      <c r="G777" s="34"/>
      <c r="H777" s="30"/>
      <c r="I777" s="34"/>
      <c r="J777" s="34"/>
      <c r="K777" s="34"/>
      <c r="L777" s="34"/>
      <c r="M777" s="34"/>
      <c r="N777" s="34"/>
      <c r="O777" s="34"/>
      <c r="P777" s="34"/>
    </row>
    <row r="778" spans="1:16" ht="12.75">
      <c r="A778" s="34"/>
      <c r="B778" s="33"/>
      <c r="C778" s="34"/>
      <c r="D778" s="33"/>
      <c r="E778" s="34"/>
      <c r="F778" s="34"/>
      <c r="G778" s="34"/>
      <c r="H778" s="30"/>
      <c r="I778" s="34"/>
      <c r="J778" s="34"/>
      <c r="K778" s="34"/>
      <c r="L778" s="34"/>
      <c r="M778" s="34"/>
      <c r="N778" s="34"/>
      <c r="O778" s="34"/>
      <c r="P778" s="34"/>
    </row>
    <row r="779" spans="1:16" ht="12.75">
      <c r="A779" s="34"/>
      <c r="B779" s="33"/>
      <c r="C779" s="34"/>
      <c r="D779" s="33"/>
      <c r="E779" s="34"/>
      <c r="F779" s="34"/>
      <c r="G779" s="34"/>
      <c r="H779" s="30"/>
      <c r="I779" s="34"/>
      <c r="J779" s="34"/>
      <c r="K779" s="34"/>
      <c r="L779" s="34"/>
      <c r="M779" s="34"/>
      <c r="N779" s="34"/>
      <c r="O779" s="34"/>
      <c r="P779" s="34"/>
    </row>
    <row r="780" spans="1:16" ht="12.75">
      <c r="A780" s="34"/>
      <c r="B780" s="33"/>
      <c r="C780" s="34"/>
      <c r="D780" s="33"/>
      <c r="E780" s="34"/>
      <c r="F780" s="34"/>
      <c r="G780" s="34"/>
      <c r="H780" s="30"/>
      <c r="I780" s="34"/>
      <c r="J780" s="34"/>
      <c r="K780" s="34"/>
      <c r="L780" s="34"/>
      <c r="M780" s="34"/>
      <c r="N780" s="34"/>
      <c r="O780" s="34"/>
      <c r="P780" s="34"/>
    </row>
    <row r="781" spans="1:16" ht="12.75">
      <c r="A781" s="34"/>
      <c r="B781" s="33"/>
      <c r="C781" s="34"/>
      <c r="D781" s="33"/>
      <c r="E781" s="34"/>
      <c r="F781" s="34"/>
      <c r="G781" s="34"/>
      <c r="H781" s="30"/>
      <c r="I781" s="34"/>
      <c r="J781" s="34"/>
      <c r="K781" s="34"/>
      <c r="L781" s="34"/>
      <c r="M781" s="34"/>
      <c r="N781" s="34"/>
      <c r="O781" s="34"/>
      <c r="P781" s="34"/>
    </row>
    <row r="782" spans="1:16" ht="12.75">
      <c r="A782" s="34"/>
      <c r="B782" s="33"/>
      <c r="C782" s="34"/>
      <c r="D782" s="33"/>
      <c r="E782" s="34"/>
      <c r="F782" s="34"/>
      <c r="G782" s="34"/>
      <c r="H782" s="30"/>
      <c r="I782" s="34"/>
      <c r="J782" s="34"/>
      <c r="K782" s="34"/>
      <c r="L782" s="34"/>
      <c r="M782" s="34"/>
      <c r="N782" s="34"/>
      <c r="O782" s="34"/>
      <c r="P782" s="34"/>
    </row>
    <row r="783" spans="1:16" ht="12.75">
      <c r="A783" s="34"/>
      <c r="B783" s="33"/>
      <c r="C783" s="34"/>
      <c r="D783" s="33"/>
      <c r="E783" s="34"/>
      <c r="F783" s="34"/>
      <c r="G783" s="34"/>
      <c r="H783" s="30"/>
      <c r="I783" s="34"/>
      <c r="J783" s="34"/>
      <c r="K783" s="34"/>
      <c r="L783" s="34"/>
      <c r="M783" s="34"/>
      <c r="N783" s="34"/>
      <c r="O783" s="34"/>
      <c r="P783" s="34"/>
    </row>
    <row r="784" spans="1:16" ht="12.75">
      <c r="A784" s="34"/>
      <c r="B784" s="33"/>
      <c r="C784" s="34"/>
      <c r="D784" s="33"/>
      <c r="E784" s="34"/>
      <c r="F784" s="34"/>
      <c r="G784" s="34"/>
      <c r="H784" s="30"/>
      <c r="I784" s="34"/>
      <c r="J784" s="34"/>
      <c r="K784" s="34"/>
      <c r="L784" s="34"/>
      <c r="M784" s="34"/>
      <c r="N784" s="34"/>
      <c r="O784" s="34"/>
      <c r="P784" s="34"/>
    </row>
    <row r="785" spans="1:16" ht="12.75">
      <c r="A785" s="34"/>
      <c r="B785" s="33"/>
      <c r="C785" s="34"/>
      <c r="D785" s="33"/>
      <c r="E785" s="34"/>
      <c r="F785" s="34"/>
      <c r="G785" s="34"/>
      <c r="H785" s="30"/>
      <c r="I785" s="34"/>
      <c r="J785" s="34"/>
      <c r="K785" s="34"/>
      <c r="L785" s="34"/>
      <c r="M785" s="34"/>
      <c r="N785" s="34"/>
      <c r="O785" s="34"/>
      <c r="P785" s="34"/>
    </row>
    <row r="786" spans="1:16" ht="12.75">
      <c r="A786" s="34"/>
      <c r="B786" s="33"/>
      <c r="C786" s="34"/>
      <c r="D786" s="33"/>
      <c r="E786" s="34"/>
      <c r="F786" s="34"/>
      <c r="G786" s="34"/>
      <c r="H786" s="30"/>
      <c r="I786" s="34"/>
      <c r="J786" s="34"/>
      <c r="K786" s="34"/>
      <c r="L786" s="34"/>
      <c r="M786" s="34"/>
      <c r="N786" s="34"/>
      <c r="O786" s="34"/>
      <c r="P786" s="34"/>
    </row>
    <row r="787" spans="1:16" ht="12.75">
      <c r="A787" s="34"/>
      <c r="B787" s="33"/>
      <c r="C787" s="34"/>
      <c r="D787" s="33"/>
      <c r="E787" s="34"/>
      <c r="F787" s="34"/>
      <c r="G787" s="34"/>
      <c r="H787" s="30"/>
      <c r="I787" s="34"/>
      <c r="J787" s="34"/>
      <c r="K787" s="34"/>
      <c r="L787" s="34"/>
      <c r="M787" s="34"/>
      <c r="N787" s="34"/>
      <c r="O787" s="34"/>
      <c r="P787" s="34"/>
    </row>
    <row r="788" spans="1:16" ht="12.75">
      <c r="A788" s="34"/>
      <c r="B788" s="33"/>
      <c r="C788" s="34"/>
      <c r="D788" s="33"/>
      <c r="E788" s="34"/>
      <c r="F788" s="34"/>
      <c r="G788" s="34"/>
      <c r="H788" s="30"/>
      <c r="I788" s="34"/>
      <c r="J788" s="34"/>
      <c r="K788" s="34"/>
      <c r="L788" s="34"/>
      <c r="M788" s="34"/>
      <c r="N788" s="34"/>
      <c r="O788" s="34"/>
      <c r="P788" s="34"/>
    </row>
    <row r="789" spans="1:16" ht="12.75">
      <c r="A789" s="34"/>
      <c r="B789" s="33"/>
      <c r="C789" s="34"/>
      <c r="D789" s="33"/>
      <c r="E789" s="34"/>
      <c r="F789" s="34"/>
      <c r="G789" s="34"/>
      <c r="H789" s="30"/>
      <c r="I789" s="34"/>
      <c r="J789" s="34"/>
      <c r="K789" s="34"/>
      <c r="L789" s="34"/>
      <c r="M789" s="34"/>
      <c r="N789" s="34"/>
      <c r="O789" s="34"/>
      <c r="P789" s="34"/>
    </row>
    <row r="790" spans="1:16" ht="12.75">
      <c r="A790" s="34"/>
      <c r="B790" s="33"/>
      <c r="C790" s="34"/>
      <c r="D790" s="33"/>
      <c r="E790" s="34"/>
      <c r="F790" s="34"/>
      <c r="G790" s="34"/>
      <c r="H790" s="30"/>
      <c r="I790" s="34"/>
      <c r="J790" s="34"/>
      <c r="K790" s="34"/>
      <c r="L790" s="34"/>
      <c r="M790" s="34"/>
      <c r="N790" s="34"/>
      <c r="O790" s="34"/>
      <c r="P790" s="34"/>
    </row>
    <row r="791" spans="1:16" ht="12.75">
      <c r="A791" s="34"/>
      <c r="B791" s="33"/>
      <c r="C791" s="34"/>
      <c r="D791" s="33"/>
      <c r="E791" s="34"/>
      <c r="F791" s="34"/>
      <c r="G791" s="34"/>
      <c r="H791" s="30"/>
      <c r="I791" s="34"/>
      <c r="J791" s="34"/>
      <c r="K791" s="34"/>
      <c r="L791" s="34"/>
      <c r="M791" s="34"/>
      <c r="N791" s="34"/>
      <c r="O791" s="34"/>
      <c r="P791" s="34"/>
    </row>
    <row r="792" spans="1:16" ht="12.75">
      <c r="A792" s="34"/>
      <c r="B792" s="33"/>
      <c r="C792" s="34"/>
      <c r="D792" s="33"/>
      <c r="E792" s="34"/>
      <c r="F792" s="34"/>
      <c r="G792" s="34"/>
      <c r="H792" s="30"/>
      <c r="I792" s="34"/>
      <c r="J792" s="34"/>
      <c r="K792" s="34"/>
      <c r="L792" s="34"/>
      <c r="M792" s="34"/>
      <c r="N792" s="34"/>
      <c r="O792" s="34"/>
      <c r="P792" s="34"/>
    </row>
    <row r="793" spans="1:16" ht="12.75">
      <c r="A793" s="34"/>
      <c r="B793" s="33"/>
      <c r="C793" s="34"/>
      <c r="D793" s="33"/>
      <c r="E793" s="34"/>
      <c r="F793" s="34"/>
      <c r="G793" s="34"/>
      <c r="H793" s="30"/>
      <c r="I793" s="34"/>
      <c r="J793" s="34"/>
      <c r="K793" s="34"/>
      <c r="L793" s="34"/>
      <c r="M793" s="34"/>
      <c r="N793" s="34"/>
      <c r="O793" s="34"/>
      <c r="P793" s="34"/>
    </row>
    <row r="794" spans="1:16" ht="12.75">
      <c r="A794" s="34"/>
      <c r="B794" s="33"/>
      <c r="C794" s="34"/>
      <c r="D794" s="33"/>
      <c r="E794" s="34"/>
      <c r="F794" s="34"/>
      <c r="G794" s="34"/>
      <c r="H794" s="30"/>
      <c r="I794" s="34"/>
      <c r="J794" s="34"/>
      <c r="K794" s="34"/>
      <c r="L794" s="34"/>
      <c r="M794" s="34"/>
      <c r="N794" s="34"/>
      <c r="O794" s="34"/>
      <c r="P794" s="34"/>
    </row>
    <row r="795" spans="1:16" ht="12.75">
      <c r="A795" s="34"/>
      <c r="B795" s="33"/>
      <c r="C795" s="34"/>
      <c r="D795" s="33"/>
      <c r="E795" s="34"/>
      <c r="F795" s="34"/>
      <c r="G795" s="34"/>
      <c r="H795" s="30"/>
      <c r="I795" s="34"/>
      <c r="J795" s="34"/>
      <c r="K795" s="34"/>
      <c r="L795" s="34"/>
      <c r="M795" s="34"/>
      <c r="N795" s="34"/>
      <c r="O795" s="34"/>
      <c r="P795" s="34"/>
    </row>
    <row r="796" spans="1:16" ht="12.75">
      <c r="A796" s="34"/>
      <c r="B796" s="33"/>
      <c r="C796" s="34"/>
      <c r="D796" s="33"/>
      <c r="E796" s="34"/>
      <c r="F796" s="34"/>
      <c r="G796" s="34"/>
      <c r="H796" s="30"/>
      <c r="I796" s="34"/>
      <c r="J796" s="34"/>
      <c r="K796" s="34"/>
      <c r="L796" s="34"/>
      <c r="M796" s="34"/>
      <c r="N796" s="34"/>
      <c r="O796" s="34"/>
      <c r="P796" s="34"/>
    </row>
    <row r="797" spans="1:16" ht="12.75">
      <c r="A797" s="34"/>
      <c r="B797" s="33"/>
      <c r="C797" s="34"/>
      <c r="D797" s="33"/>
      <c r="E797" s="34"/>
      <c r="F797" s="34"/>
      <c r="G797" s="34"/>
      <c r="H797" s="30"/>
      <c r="I797" s="34"/>
      <c r="J797" s="34"/>
      <c r="K797" s="34"/>
      <c r="L797" s="34"/>
      <c r="M797" s="34"/>
      <c r="N797" s="34"/>
      <c r="O797" s="34"/>
      <c r="P797" s="34"/>
    </row>
    <row r="798" spans="1:16" ht="12.75">
      <c r="A798" s="34"/>
      <c r="B798" s="33"/>
      <c r="C798" s="34"/>
      <c r="D798" s="33"/>
      <c r="E798" s="34"/>
      <c r="F798" s="34"/>
      <c r="G798" s="34"/>
      <c r="H798" s="30"/>
      <c r="I798" s="34"/>
      <c r="J798" s="34"/>
      <c r="K798" s="34"/>
      <c r="L798" s="34"/>
      <c r="M798" s="34"/>
      <c r="N798" s="34"/>
      <c r="O798" s="34"/>
      <c r="P798" s="34"/>
    </row>
    <row r="799" spans="1:16" ht="12.75">
      <c r="A799" s="34"/>
      <c r="B799" s="33"/>
      <c r="C799" s="34"/>
      <c r="D799" s="33"/>
      <c r="E799" s="34"/>
      <c r="F799" s="34"/>
      <c r="G799" s="34"/>
      <c r="H799" s="30"/>
      <c r="I799" s="34"/>
      <c r="J799" s="34"/>
      <c r="K799" s="34"/>
      <c r="L799" s="34"/>
      <c r="M799" s="34"/>
      <c r="N799" s="34"/>
      <c r="O799" s="34"/>
      <c r="P799" s="34"/>
    </row>
    <row r="800" spans="1:16" ht="12.75">
      <c r="A800" s="34"/>
      <c r="B800" s="33"/>
      <c r="C800" s="34"/>
      <c r="D800" s="33"/>
      <c r="E800" s="34"/>
      <c r="F800" s="34"/>
      <c r="G800" s="34"/>
      <c r="H800" s="30"/>
      <c r="I800" s="34"/>
      <c r="J800" s="34"/>
      <c r="K800" s="34"/>
      <c r="L800" s="34"/>
      <c r="M800" s="34"/>
      <c r="N800" s="34"/>
      <c r="O800" s="34"/>
      <c r="P800" s="34"/>
    </row>
    <row r="801" spans="1:16" ht="12.75">
      <c r="A801" s="34"/>
      <c r="B801" s="33"/>
      <c r="C801" s="34"/>
      <c r="D801" s="33"/>
      <c r="E801" s="34"/>
      <c r="F801" s="34"/>
      <c r="G801" s="34"/>
      <c r="H801" s="30"/>
      <c r="I801" s="34"/>
      <c r="J801" s="34"/>
      <c r="K801" s="34"/>
      <c r="L801" s="34"/>
      <c r="M801" s="34"/>
      <c r="N801" s="34"/>
      <c r="O801" s="34"/>
      <c r="P801" s="34"/>
    </row>
    <row r="802" spans="1:16" ht="12.75">
      <c r="A802" s="34"/>
      <c r="B802" s="33"/>
      <c r="C802" s="34"/>
      <c r="D802" s="33"/>
      <c r="E802" s="34"/>
      <c r="F802" s="34"/>
      <c r="G802" s="34"/>
      <c r="H802" s="30"/>
      <c r="I802" s="34"/>
      <c r="J802" s="34"/>
      <c r="K802" s="34"/>
      <c r="L802" s="34"/>
      <c r="M802" s="34"/>
      <c r="N802" s="34"/>
      <c r="O802" s="34"/>
      <c r="P802" s="34"/>
    </row>
    <row r="803" spans="1:16" ht="12.75">
      <c r="A803" s="34"/>
      <c r="B803" s="33"/>
      <c r="C803" s="34"/>
      <c r="D803" s="33"/>
      <c r="E803" s="34"/>
      <c r="F803" s="34"/>
      <c r="G803" s="34"/>
      <c r="H803" s="30"/>
      <c r="I803" s="34"/>
      <c r="J803" s="34"/>
      <c r="K803" s="34"/>
      <c r="L803" s="34"/>
      <c r="M803" s="34"/>
      <c r="N803" s="34"/>
      <c r="O803" s="34"/>
      <c r="P803" s="34"/>
    </row>
    <row r="804" spans="1:16" ht="12.75">
      <c r="A804" s="34"/>
      <c r="B804" s="33"/>
      <c r="C804" s="34"/>
      <c r="D804" s="33"/>
      <c r="E804" s="34"/>
      <c r="F804" s="34"/>
      <c r="G804" s="34"/>
      <c r="H804" s="30"/>
      <c r="I804" s="34"/>
      <c r="J804" s="34"/>
      <c r="K804" s="34"/>
      <c r="L804" s="34"/>
      <c r="M804" s="34"/>
      <c r="N804" s="34"/>
      <c r="O804" s="34"/>
      <c r="P804" s="34"/>
    </row>
    <row r="805" spans="1:16" ht="12.75">
      <c r="A805" s="34"/>
      <c r="B805" s="33"/>
      <c r="C805" s="34"/>
      <c r="D805" s="33"/>
      <c r="E805" s="34"/>
      <c r="F805" s="34"/>
      <c r="G805" s="34"/>
      <c r="H805" s="30"/>
      <c r="I805" s="34"/>
      <c r="J805" s="34"/>
      <c r="K805" s="34"/>
      <c r="L805" s="34"/>
      <c r="M805" s="34"/>
      <c r="N805" s="34"/>
      <c r="O805" s="34"/>
      <c r="P805" s="34"/>
    </row>
    <row r="806" spans="1:16" ht="12.75">
      <c r="A806" s="34"/>
      <c r="B806" s="33"/>
      <c r="C806" s="34"/>
      <c r="D806" s="33"/>
      <c r="E806" s="34"/>
      <c r="F806" s="34"/>
      <c r="G806" s="34"/>
      <c r="H806" s="30"/>
      <c r="I806" s="34"/>
      <c r="J806" s="34"/>
      <c r="K806" s="34"/>
      <c r="L806" s="34"/>
      <c r="M806" s="34"/>
      <c r="N806" s="34"/>
      <c r="O806" s="34"/>
      <c r="P806" s="34"/>
    </row>
    <row r="807" spans="1:16" ht="12.75">
      <c r="A807" s="34"/>
      <c r="B807" s="33"/>
      <c r="C807" s="34"/>
      <c r="D807" s="33"/>
      <c r="E807" s="34"/>
      <c r="F807" s="34"/>
      <c r="G807" s="34"/>
      <c r="H807" s="30"/>
      <c r="I807" s="34"/>
      <c r="J807" s="34"/>
      <c r="K807" s="34"/>
      <c r="L807" s="34"/>
      <c r="M807" s="34"/>
      <c r="N807" s="34"/>
      <c r="O807" s="34"/>
      <c r="P807" s="34"/>
    </row>
    <row r="808" spans="1:16" ht="12.75">
      <c r="A808" s="34"/>
      <c r="B808" s="33"/>
      <c r="C808" s="34"/>
      <c r="D808" s="33"/>
      <c r="E808" s="34"/>
      <c r="F808" s="34"/>
      <c r="G808" s="34"/>
      <c r="H808" s="30"/>
      <c r="I808" s="34"/>
      <c r="J808" s="34"/>
      <c r="K808" s="34"/>
      <c r="L808" s="34"/>
      <c r="M808" s="34"/>
      <c r="N808" s="34"/>
      <c r="O808" s="34"/>
      <c r="P808" s="34"/>
    </row>
    <row r="809" spans="1:16" ht="12.75">
      <c r="A809" s="34"/>
      <c r="B809" s="33"/>
      <c r="C809" s="34"/>
      <c r="D809" s="33"/>
      <c r="E809" s="34"/>
      <c r="F809" s="34"/>
      <c r="G809" s="34"/>
      <c r="H809" s="30"/>
      <c r="I809" s="34"/>
      <c r="J809" s="34"/>
      <c r="K809" s="34"/>
      <c r="L809" s="34"/>
      <c r="M809" s="34"/>
      <c r="N809" s="34"/>
      <c r="O809" s="34"/>
      <c r="P809" s="34"/>
    </row>
    <row r="810" spans="1:16" ht="12.75">
      <c r="A810" s="34"/>
      <c r="B810" s="33"/>
      <c r="C810" s="34"/>
      <c r="D810" s="33"/>
      <c r="E810" s="34"/>
      <c r="F810" s="34"/>
      <c r="G810" s="34"/>
      <c r="H810" s="30"/>
      <c r="I810" s="34"/>
      <c r="J810" s="34"/>
      <c r="K810" s="34"/>
      <c r="L810" s="34"/>
      <c r="M810" s="34"/>
      <c r="N810" s="34"/>
      <c r="O810" s="34"/>
      <c r="P810" s="34"/>
    </row>
    <row r="811" spans="1:16" ht="12.75">
      <c r="A811" s="34"/>
      <c r="B811" s="33"/>
      <c r="C811" s="34"/>
      <c r="D811" s="33"/>
      <c r="E811" s="34"/>
      <c r="F811" s="34"/>
      <c r="G811" s="34"/>
      <c r="H811" s="30"/>
      <c r="I811" s="34"/>
      <c r="J811" s="34"/>
      <c r="K811" s="34"/>
      <c r="L811" s="34"/>
      <c r="M811" s="34"/>
      <c r="N811" s="34"/>
      <c r="O811" s="34"/>
      <c r="P811" s="34"/>
    </row>
    <row r="812" spans="1:16" ht="12.75">
      <c r="A812" s="34"/>
      <c r="B812" s="33"/>
      <c r="C812" s="34"/>
      <c r="D812" s="33"/>
      <c r="E812" s="34"/>
      <c r="F812" s="34"/>
      <c r="G812" s="34"/>
      <c r="H812" s="30"/>
      <c r="I812" s="34"/>
      <c r="J812" s="34"/>
      <c r="K812" s="34"/>
      <c r="L812" s="34"/>
      <c r="M812" s="34"/>
      <c r="N812" s="34"/>
      <c r="O812" s="34"/>
      <c r="P812" s="34"/>
    </row>
    <row r="813" spans="1:16" ht="12.75">
      <c r="A813" s="34"/>
      <c r="B813" s="33"/>
      <c r="C813" s="34"/>
      <c r="D813" s="33"/>
      <c r="E813" s="34"/>
      <c r="F813" s="34"/>
      <c r="G813" s="34"/>
      <c r="H813" s="30"/>
      <c r="I813" s="34"/>
      <c r="J813" s="34"/>
      <c r="K813" s="34"/>
      <c r="L813" s="34"/>
      <c r="M813" s="34"/>
      <c r="N813" s="34"/>
      <c r="O813" s="34"/>
      <c r="P813" s="34"/>
    </row>
    <row r="814" spans="1:16" ht="12.75">
      <c r="A814" s="34"/>
      <c r="B814" s="33"/>
      <c r="C814" s="34"/>
      <c r="D814" s="33"/>
      <c r="E814" s="34"/>
      <c r="F814" s="34"/>
      <c r="G814" s="34"/>
      <c r="H814" s="30"/>
      <c r="I814" s="34"/>
      <c r="J814" s="34"/>
      <c r="K814" s="34"/>
      <c r="L814" s="34"/>
      <c r="M814" s="34"/>
      <c r="N814" s="34"/>
      <c r="O814" s="34"/>
      <c r="P814" s="34"/>
    </row>
    <row r="815" spans="1:16" ht="12.75">
      <c r="A815" s="34"/>
      <c r="B815" s="33"/>
      <c r="C815" s="34"/>
      <c r="D815" s="33"/>
      <c r="E815" s="34"/>
      <c r="F815" s="34"/>
      <c r="G815" s="34"/>
      <c r="H815" s="30"/>
      <c r="I815" s="34"/>
      <c r="J815" s="34"/>
      <c r="K815" s="34"/>
      <c r="L815" s="34"/>
      <c r="M815" s="34"/>
      <c r="N815" s="34"/>
      <c r="O815" s="34"/>
      <c r="P815" s="34"/>
    </row>
    <row r="816" spans="1:16" ht="12.75">
      <c r="A816" s="34"/>
      <c r="B816" s="33"/>
      <c r="C816" s="34"/>
      <c r="D816" s="33"/>
      <c r="E816" s="34"/>
      <c r="F816" s="34"/>
      <c r="G816" s="34"/>
      <c r="H816" s="30"/>
      <c r="I816" s="34"/>
      <c r="J816" s="34"/>
      <c r="K816" s="34"/>
      <c r="L816" s="34"/>
      <c r="M816" s="34"/>
      <c r="N816" s="34"/>
      <c r="O816" s="34"/>
      <c r="P816" s="34"/>
    </row>
    <row r="817" spans="1:16" ht="12.75">
      <c r="A817" s="34"/>
      <c r="B817" s="33"/>
      <c r="C817" s="34"/>
      <c r="D817" s="33"/>
      <c r="E817" s="34"/>
      <c r="F817" s="34"/>
      <c r="G817" s="34"/>
      <c r="H817" s="30"/>
      <c r="I817" s="34"/>
      <c r="J817" s="34"/>
      <c r="K817" s="34"/>
      <c r="L817" s="34"/>
      <c r="M817" s="34"/>
      <c r="N817" s="34"/>
      <c r="O817" s="34"/>
      <c r="P817" s="34"/>
    </row>
    <row r="818" spans="1:16" ht="12.75">
      <c r="A818" s="34"/>
      <c r="B818" s="33"/>
      <c r="C818" s="34"/>
      <c r="D818" s="33"/>
      <c r="E818" s="34"/>
      <c r="F818" s="34"/>
      <c r="G818" s="34"/>
      <c r="H818" s="30"/>
      <c r="I818" s="34"/>
      <c r="J818" s="34"/>
      <c r="K818" s="34"/>
      <c r="L818" s="34"/>
      <c r="M818" s="34"/>
      <c r="N818" s="34"/>
      <c r="O818" s="34"/>
      <c r="P818" s="34"/>
    </row>
    <row r="819" spans="1:16" ht="12.75">
      <c r="A819" s="34"/>
      <c r="B819" s="33"/>
      <c r="C819" s="34"/>
      <c r="D819" s="33"/>
      <c r="E819" s="34"/>
      <c r="F819" s="34"/>
      <c r="G819" s="34"/>
      <c r="H819" s="30"/>
      <c r="I819" s="34"/>
      <c r="J819" s="34"/>
      <c r="K819" s="34"/>
      <c r="L819" s="34"/>
      <c r="M819" s="34"/>
      <c r="N819" s="34"/>
      <c r="O819" s="34"/>
      <c r="P819" s="34"/>
    </row>
    <row r="820" spans="1:16" ht="12.75">
      <c r="A820" s="34"/>
      <c r="B820" s="33"/>
      <c r="C820" s="34"/>
      <c r="D820" s="33"/>
      <c r="E820" s="34"/>
      <c r="F820" s="34"/>
      <c r="G820" s="34"/>
      <c r="H820" s="30"/>
      <c r="I820" s="34"/>
      <c r="J820" s="34"/>
      <c r="K820" s="34"/>
      <c r="L820" s="34"/>
      <c r="M820" s="34"/>
      <c r="N820" s="34"/>
      <c r="O820" s="34"/>
      <c r="P820" s="34"/>
    </row>
    <row r="821" spans="1:16" ht="12.75">
      <c r="A821" s="34"/>
      <c r="B821" s="33"/>
      <c r="C821" s="34"/>
      <c r="D821" s="33"/>
      <c r="E821" s="34"/>
      <c r="F821" s="34"/>
      <c r="G821" s="34"/>
      <c r="H821" s="30"/>
      <c r="I821" s="34"/>
      <c r="J821" s="34"/>
      <c r="K821" s="34"/>
      <c r="L821" s="34"/>
      <c r="M821" s="34"/>
      <c r="N821" s="34"/>
      <c r="O821" s="34"/>
      <c r="P821" s="34"/>
    </row>
    <row r="822" spans="1:16" ht="12.75">
      <c r="A822" s="34"/>
      <c r="B822" s="33"/>
      <c r="C822" s="34"/>
      <c r="D822" s="33"/>
      <c r="E822" s="34"/>
      <c r="F822" s="34"/>
      <c r="G822" s="34"/>
      <c r="H822" s="30"/>
      <c r="I822" s="34"/>
      <c r="J822" s="34"/>
      <c r="K822" s="34"/>
      <c r="L822" s="34"/>
      <c r="M822" s="34"/>
      <c r="N822" s="34"/>
      <c r="O822" s="34"/>
      <c r="P822" s="34"/>
    </row>
    <row r="823" spans="1:16" ht="12.75">
      <c r="A823" s="34"/>
      <c r="B823" s="33"/>
      <c r="C823" s="34"/>
      <c r="D823" s="33"/>
      <c r="E823" s="34"/>
      <c r="F823" s="34"/>
      <c r="G823" s="34"/>
      <c r="H823" s="30"/>
      <c r="I823" s="34"/>
      <c r="J823" s="34"/>
      <c r="K823" s="34"/>
      <c r="L823" s="34"/>
      <c r="M823" s="34"/>
      <c r="N823" s="34"/>
      <c r="O823" s="34"/>
      <c r="P823" s="34"/>
    </row>
    <row r="824" spans="1:16" ht="12.75">
      <c r="A824" s="34"/>
      <c r="B824" s="33"/>
      <c r="C824" s="34"/>
      <c r="D824" s="33"/>
      <c r="E824" s="34"/>
      <c r="F824" s="34"/>
      <c r="G824" s="34"/>
      <c r="H824" s="30"/>
      <c r="I824" s="34"/>
      <c r="J824" s="34"/>
      <c r="K824" s="34"/>
      <c r="L824" s="34"/>
      <c r="M824" s="34"/>
      <c r="N824" s="34"/>
      <c r="O824" s="34"/>
      <c r="P824" s="34"/>
    </row>
    <row r="825" spans="1:16" ht="12.75">
      <c r="A825" s="34"/>
      <c r="B825" s="33"/>
      <c r="C825" s="34"/>
      <c r="D825" s="33"/>
      <c r="E825" s="34"/>
      <c r="F825" s="34"/>
      <c r="G825" s="34"/>
      <c r="H825" s="30"/>
      <c r="I825" s="34"/>
      <c r="J825" s="34"/>
      <c r="K825" s="34"/>
      <c r="L825" s="34"/>
      <c r="M825" s="34"/>
      <c r="N825" s="34"/>
      <c r="O825" s="34"/>
      <c r="P825" s="34"/>
    </row>
    <row r="826" spans="1:16" ht="12.75">
      <c r="A826" s="34"/>
      <c r="B826" s="33"/>
      <c r="C826" s="34"/>
      <c r="D826" s="33"/>
      <c r="E826" s="34"/>
      <c r="F826" s="34"/>
      <c r="G826" s="34"/>
      <c r="H826" s="30"/>
      <c r="I826" s="34"/>
      <c r="J826" s="34"/>
      <c r="K826" s="34"/>
      <c r="L826" s="34"/>
      <c r="M826" s="34"/>
      <c r="N826" s="34"/>
      <c r="O826" s="34"/>
      <c r="P826" s="34"/>
    </row>
    <row r="827" spans="1:16" ht="12.75">
      <c r="A827" s="34"/>
      <c r="B827" s="33"/>
      <c r="C827" s="34"/>
      <c r="D827" s="33"/>
      <c r="E827" s="34"/>
      <c r="F827" s="34"/>
      <c r="G827" s="34"/>
      <c r="H827" s="30"/>
      <c r="I827" s="34"/>
      <c r="J827" s="34"/>
      <c r="K827" s="34"/>
      <c r="L827" s="34"/>
      <c r="M827" s="34"/>
      <c r="N827" s="34"/>
      <c r="O827" s="34"/>
      <c r="P827" s="34"/>
    </row>
    <row r="828" spans="1:16" ht="12.75">
      <c r="A828" s="34"/>
      <c r="B828" s="33"/>
      <c r="C828" s="34"/>
      <c r="D828" s="33"/>
      <c r="E828" s="34"/>
      <c r="F828" s="34"/>
      <c r="G828" s="34"/>
      <c r="H828" s="30"/>
      <c r="I828" s="34"/>
      <c r="J828" s="34"/>
      <c r="K828" s="34"/>
      <c r="L828" s="34"/>
      <c r="M828" s="34"/>
      <c r="N828" s="34"/>
      <c r="O828" s="34"/>
      <c r="P828" s="34"/>
    </row>
    <row r="829" spans="1:16" ht="12.75">
      <c r="A829" s="34"/>
      <c r="B829" s="33"/>
      <c r="C829" s="34"/>
      <c r="D829" s="33"/>
      <c r="E829" s="34"/>
      <c r="F829" s="34"/>
      <c r="G829" s="34"/>
      <c r="H829" s="30"/>
      <c r="I829" s="34"/>
      <c r="J829" s="34"/>
      <c r="K829" s="34"/>
      <c r="L829" s="34"/>
      <c r="M829" s="34"/>
      <c r="N829" s="34"/>
      <c r="O829" s="34"/>
      <c r="P829" s="34"/>
    </row>
    <row r="830" spans="1:16" ht="12.75">
      <c r="A830" s="34"/>
      <c r="B830" s="33"/>
      <c r="C830" s="34"/>
      <c r="D830" s="33"/>
      <c r="E830" s="34"/>
      <c r="F830" s="34"/>
      <c r="G830" s="34"/>
      <c r="H830" s="30"/>
      <c r="I830" s="34"/>
      <c r="J830" s="34"/>
      <c r="K830" s="34"/>
      <c r="L830" s="34"/>
      <c r="M830" s="34"/>
      <c r="N830" s="34"/>
      <c r="O830" s="34"/>
      <c r="P830" s="34"/>
    </row>
    <row r="831" spans="1:16" ht="12.75">
      <c r="A831" s="34"/>
      <c r="B831" s="33"/>
      <c r="C831" s="34"/>
      <c r="D831" s="33"/>
      <c r="E831" s="34"/>
      <c r="F831" s="34"/>
      <c r="G831" s="34"/>
      <c r="H831" s="30"/>
      <c r="I831" s="34"/>
      <c r="J831" s="34"/>
      <c r="K831" s="34"/>
      <c r="L831" s="34"/>
      <c r="M831" s="34"/>
      <c r="N831" s="34"/>
      <c r="O831" s="34"/>
      <c r="P831" s="34"/>
    </row>
    <row r="832" spans="1:16" ht="12.75">
      <c r="A832" s="34"/>
      <c r="B832" s="33"/>
      <c r="C832" s="34"/>
      <c r="D832" s="33"/>
      <c r="E832" s="34"/>
      <c r="F832" s="34"/>
      <c r="G832" s="34"/>
      <c r="H832" s="30"/>
      <c r="I832" s="34"/>
      <c r="J832" s="34"/>
      <c r="K832" s="34"/>
      <c r="L832" s="34"/>
      <c r="M832" s="34"/>
      <c r="N832" s="34"/>
      <c r="O832" s="34"/>
      <c r="P832" s="34"/>
    </row>
    <row r="833" spans="1:16" ht="12.75">
      <c r="A833" s="34"/>
      <c r="B833" s="33"/>
      <c r="C833" s="34"/>
      <c r="D833" s="33"/>
      <c r="E833" s="34"/>
      <c r="F833" s="34"/>
      <c r="G833" s="34"/>
      <c r="H833" s="30"/>
      <c r="I833" s="34"/>
      <c r="J833" s="34"/>
      <c r="K833" s="34"/>
      <c r="L833" s="34"/>
      <c r="M833" s="34"/>
      <c r="N833" s="34"/>
      <c r="O833" s="34"/>
      <c r="P833" s="34"/>
    </row>
    <row r="834" spans="1:16" ht="12.75">
      <c r="A834" s="34"/>
      <c r="B834" s="33"/>
      <c r="C834" s="34"/>
      <c r="D834" s="33"/>
      <c r="E834" s="34"/>
      <c r="F834" s="34"/>
      <c r="G834" s="34"/>
      <c r="H834" s="30"/>
      <c r="I834" s="34"/>
      <c r="J834" s="34"/>
      <c r="K834" s="34"/>
      <c r="L834" s="34"/>
      <c r="M834" s="34"/>
      <c r="N834" s="34"/>
      <c r="O834" s="34"/>
      <c r="P834" s="34"/>
    </row>
    <row r="835" spans="1:16" ht="12.75">
      <c r="A835" s="34"/>
      <c r="B835" s="33"/>
      <c r="C835" s="34"/>
      <c r="D835" s="33"/>
      <c r="E835" s="34"/>
      <c r="F835" s="34"/>
      <c r="G835" s="34"/>
      <c r="H835" s="30"/>
      <c r="I835" s="34"/>
      <c r="J835" s="34"/>
      <c r="K835" s="34"/>
      <c r="L835" s="34"/>
      <c r="M835" s="34"/>
      <c r="N835" s="34"/>
      <c r="O835" s="34"/>
      <c r="P835" s="34"/>
    </row>
    <row r="836" spans="1:16" ht="12.75">
      <c r="A836" s="34"/>
      <c r="B836" s="33"/>
      <c r="C836" s="34"/>
      <c r="D836" s="33"/>
      <c r="E836" s="34"/>
      <c r="F836" s="34"/>
      <c r="G836" s="34"/>
      <c r="H836" s="30"/>
      <c r="I836" s="34"/>
      <c r="J836" s="34"/>
      <c r="K836" s="34"/>
      <c r="L836" s="34"/>
      <c r="M836" s="34"/>
      <c r="N836" s="34"/>
      <c r="O836" s="34"/>
      <c r="P836" s="34"/>
    </row>
    <row r="837" spans="1:16" ht="12.75">
      <c r="A837" s="34"/>
      <c r="B837" s="33"/>
      <c r="C837" s="34"/>
      <c r="D837" s="33"/>
      <c r="E837" s="34"/>
      <c r="F837" s="34"/>
      <c r="G837" s="34"/>
      <c r="H837" s="30"/>
      <c r="I837" s="34"/>
      <c r="J837" s="34"/>
      <c r="K837" s="34"/>
      <c r="L837" s="34"/>
      <c r="M837" s="34"/>
      <c r="N837" s="34"/>
      <c r="O837" s="34"/>
      <c r="P837" s="34"/>
    </row>
    <row r="838" spans="1:16" ht="12.75">
      <c r="A838" s="34"/>
      <c r="B838" s="33"/>
      <c r="C838" s="34"/>
      <c r="D838" s="33"/>
      <c r="E838" s="34"/>
      <c r="F838" s="34"/>
      <c r="G838" s="34"/>
      <c r="H838" s="30"/>
      <c r="I838" s="34"/>
      <c r="J838" s="34"/>
      <c r="K838" s="34"/>
      <c r="L838" s="34"/>
      <c r="M838" s="34"/>
      <c r="N838" s="34"/>
      <c r="O838" s="34"/>
      <c r="P838" s="34"/>
    </row>
    <row r="839" spans="1:16" ht="12.75">
      <c r="A839" s="34"/>
      <c r="B839" s="33"/>
      <c r="C839" s="34"/>
      <c r="D839" s="33"/>
      <c r="E839" s="34"/>
      <c r="F839" s="34"/>
      <c r="G839" s="34"/>
      <c r="H839" s="30"/>
      <c r="I839" s="34"/>
      <c r="J839" s="34"/>
      <c r="K839" s="34"/>
      <c r="L839" s="34"/>
      <c r="M839" s="34"/>
      <c r="N839" s="34"/>
      <c r="O839" s="34"/>
      <c r="P839" s="34"/>
    </row>
    <row r="840" spans="1:16" ht="12.75">
      <c r="A840" s="34"/>
      <c r="B840" s="33"/>
      <c r="C840" s="34"/>
      <c r="D840" s="33"/>
      <c r="E840" s="34"/>
      <c r="F840" s="34"/>
      <c r="G840" s="34"/>
      <c r="H840" s="30"/>
      <c r="I840" s="34"/>
      <c r="J840" s="34"/>
      <c r="K840" s="34"/>
      <c r="L840" s="34"/>
      <c r="M840" s="34"/>
      <c r="N840" s="34"/>
      <c r="O840" s="34"/>
      <c r="P840" s="34"/>
    </row>
    <row r="841" spans="1:16" ht="12.75">
      <c r="A841" s="34"/>
      <c r="B841" s="33"/>
      <c r="C841" s="34"/>
      <c r="D841" s="33"/>
      <c r="E841" s="34"/>
      <c r="F841" s="34"/>
      <c r="G841" s="34"/>
      <c r="H841" s="30"/>
      <c r="I841" s="34"/>
      <c r="J841" s="34"/>
      <c r="K841" s="34"/>
      <c r="L841" s="34"/>
      <c r="M841" s="34"/>
      <c r="N841" s="34"/>
      <c r="O841" s="34"/>
      <c r="P841" s="34"/>
    </row>
    <row r="842" spans="1:16" ht="12.75">
      <c r="A842" s="34"/>
      <c r="B842" s="33"/>
      <c r="C842" s="34"/>
      <c r="D842" s="33"/>
      <c r="E842" s="34"/>
      <c r="F842" s="34"/>
      <c r="G842" s="34"/>
      <c r="H842" s="30"/>
      <c r="I842" s="34"/>
      <c r="J842" s="34"/>
      <c r="K842" s="34"/>
      <c r="L842" s="34"/>
      <c r="M842" s="34"/>
      <c r="N842" s="34"/>
      <c r="O842" s="34"/>
      <c r="P842" s="34"/>
    </row>
    <row r="843" spans="1:16" ht="12.75">
      <c r="A843" s="34"/>
      <c r="B843" s="33"/>
      <c r="C843" s="34"/>
      <c r="D843" s="33"/>
      <c r="E843" s="34"/>
      <c r="F843" s="34"/>
      <c r="G843" s="34"/>
      <c r="H843" s="30"/>
      <c r="I843" s="34"/>
      <c r="J843" s="34"/>
      <c r="K843" s="34"/>
      <c r="L843" s="34"/>
      <c r="M843" s="34"/>
      <c r="N843" s="34"/>
      <c r="O843" s="34"/>
      <c r="P843" s="34"/>
    </row>
    <row r="844" spans="1:16" ht="12.75">
      <c r="A844" s="34"/>
      <c r="B844" s="33"/>
      <c r="C844" s="34"/>
      <c r="D844" s="33"/>
      <c r="E844" s="34"/>
      <c r="F844" s="34"/>
      <c r="G844" s="34"/>
      <c r="H844" s="30"/>
      <c r="I844" s="34"/>
      <c r="J844" s="34"/>
      <c r="K844" s="34"/>
      <c r="L844" s="34"/>
      <c r="M844" s="34"/>
      <c r="N844" s="34"/>
      <c r="O844" s="34"/>
      <c r="P844" s="34"/>
    </row>
    <row r="845" spans="1:16" ht="12.75">
      <c r="A845" s="34"/>
      <c r="B845" s="33"/>
      <c r="C845" s="34"/>
      <c r="D845" s="33"/>
      <c r="E845" s="34"/>
      <c r="F845" s="34"/>
      <c r="G845" s="34"/>
      <c r="H845" s="30"/>
      <c r="I845" s="34"/>
      <c r="J845" s="34"/>
      <c r="K845" s="34"/>
      <c r="L845" s="34"/>
      <c r="M845" s="34"/>
      <c r="N845" s="34"/>
      <c r="O845" s="34"/>
      <c r="P845" s="34"/>
    </row>
    <row r="846" spans="1:16" ht="12.75">
      <c r="A846" s="34"/>
      <c r="B846" s="33"/>
      <c r="C846" s="34"/>
      <c r="D846" s="33"/>
      <c r="E846" s="34"/>
      <c r="F846" s="34"/>
      <c r="G846" s="34"/>
      <c r="H846" s="30"/>
      <c r="I846" s="34"/>
      <c r="J846" s="34"/>
      <c r="K846" s="34"/>
      <c r="L846" s="34"/>
      <c r="M846" s="34"/>
      <c r="N846" s="34"/>
      <c r="O846" s="34"/>
      <c r="P846" s="34"/>
    </row>
    <row r="847" spans="1:16" ht="12.75">
      <c r="A847" s="34"/>
      <c r="B847" s="33"/>
      <c r="C847" s="34"/>
      <c r="D847" s="33"/>
      <c r="E847" s="34"/>
      <c r="F847" s="34"/>
      <c r="G847" s="34"/>
      <c r="H847" s="30"/>
      <c r="I847" s="34"/>
      <c r="J847" s="34"/>
      <c r="K847" s="34"/>
      <c r="L847" s="34"/>
      <c r="M847" s="34"/>
      <c r="N847" s="34"/>
      <c r="O847" s="34"/>
      <c r="P847" s="34"/>
    </row>
    <row r="848" spans="1:16" ht="12.75">
      <c r="A848" s="34"/>
      <c r="B848" s="33"/>
      <c r="C848" s="34"/>
      <c r="D848" s="33"/>
      <c r="E848" s="34"/>
      <c r="F848" s="34"/>
      <c r="G848" s="34"/>
      <c r="H848" s="30"/>
      <c r="I848" s="34"/>
      <c r="J848" s="34"/>
      <c r="K848" s="34"/>
      <c r="L848" s="34"/>
      <c r="M848" s="34"/>
      <c r="N848" s="34"/>
      <c r="O848" s="34"/>
      <c r="P848" s="34"/>
    </row>
    <row r="849" spans="1:16" ht="12.75">
      <c r="A849" s="34"/>
      <c r="B849" s="33"/>
      <c r="C849" s="34"/>
      <c r="D849" s="33"/>
      <c r="E849" s="34"/>
      <c r="F849" s="34"/>
      <c r="G849" s="34"/>
      <c r="H849" s="30"/>
      <c r="I849" s="34"/>
      <c r="J849" s="34"/>
      <c r="K849" s="34"/>
      <c r="L849" s="34"/>
      <c r="M849" s="34"/>
      <c r="N849" s="34"/>
      <c r="O849" s="34"/>
      <c r="P849" s="34"/>
    </row>
    <row r="850" spans="1:16" ht="12.75">
      <c r="A850" s="34"/>
      <c r="B850" s="33"/>
      <c r="C850" s="34"/>
      <c r="D850" s="33"/>
      <c r="E850" s="34"/>
      <c r="F850" s="34"/>
      <c r="G850" s="34"/>
      <c r="H850" s="30"/>
      <c r="I850" s="34"/>
      <c r="J850" s="34"/>
      <c r="K850" s="34"/>
      <c r="L850" s="34"/>
      <c r="M850" s="34"/>
      <c r="N850" s="34"/>
      <c r="O850" s="34"/>
      <c r="P850" s="34"/>
    </row>
    <row r="851" spans="1:16" ht="12.75">
      <c r="A851" s="34"/>
      <c r="B851" s="33"/>
      <c r="C851" s="34"/>
      <c r="D851" s="33"/>
      <c r="E851" s="34"/>
      <c r="F851" s="34"/>
      <c r="G851" s="34"/>
      <c r="H851" s="30"/>
      <c r="I851" s="34"/>
      <c r="J851" s="34"/>
      <c r="K851" s="34"/>
      <c r="L851" s="34"/>
      <c r="M851" s="34"/>
      <c r="N851" s="34"/>
      <c r="O851" s="34"/>
      <c r="P851" s="34"/>
    </row>
    <row r="852" spans="1:16" ht="12.75">
      <c r="A852" s="34"/>
      <c r="B852" s="33"/>
      <c r="C852" s="34"/>
      <c r="D852" s="33"/>
      <c r="E852" s="34"/>
      <c r="F852" s="34"/>
      <c r="G852" s="34"/>
      <c r="H852" s="30"/>
      <c r="I852" s="34"/>
      <c r="J852" s="34"/>
      <c r="K852" s="34"/>
      <c r="L852" s="34"/>
      <c r="M852" s="34"/>
      <c r="N852" s="34"/>
      <c r="O852" s="34"/>
      <c r="P852" s="34"/>
    </row>
    <row r="853" spans="1:16" ht="12.75">
      <c r="A853" s="34"/>
      <c r="B853" s="33"/>
      <c r="C853" s="34"/>
      <c r="D853" s="33"/>
      <c r="E853" s="34"/>
      <c r="F853" s="34"/>
      <c r="G853" s="34"/>
      <c r="H853" s="30"/>
      <c r="I853" s="34"/>
      <c r="J853" s="34"/>
      <c r="K853" s="34"/>
      <c r="L853" s="34"/>
      <c r="M853" s="34"/>
      <c r="N853" s="34"/>
      <c r="O853" s="34"/>
      <c r="P853" s="34"/>
    </row>
    <row r="854" spans="1:16" ht="12.75">
      <c r="A854" s="34"/>
      <c r="B854" s="33"/>
      <c r="C854" s="34"/>
      <c r="D854" s="33"/>
      <c r="E854" s="34"/>
      <c r="F854" s="34"/>
      <c r="G854" s="34"/>
      <c r="H854" s="30"/>
      <c r="I854" s="34"/>
      <c r="J854" s="34"/>
      <c r="K854" s="34"/>
      <c r="L854" s="34"/>
      <c r="M854" s="34"/>
      <c r="N854" s="34"/>
      <c r="O854" s="34"/>
      <c r="P854" s="34"/>
    </row>
    <row r="855" spans="1:16" ht="12.75">
      <c r="A855" s="34"/>
      <c r="B855" s="33"/>
      <c r="C855" s="34"/>
      <c r="D855" s="33"/>
      <c r="E855" s="34"/>
      <c r="F855" s="34"/>
      <c r="G855" s="34"/>
      <c r="H855" s="30"/>
      <c r="I855" s="34"/>
      <c r="J855" s="34"/>
      <c r="K855" s="34"/>
      <c r="L855" s="34"/>
      <c r="M855" s="34"/>
      <c r="N855" s="34"/>
      <c r="O855" s="34"/>
      <c r="P855" s="34"/>
    </row>
    <row r="856" spans="1:16" ht="12.75">
      <c r="A856" s="34"/>
      <c r="B856" s="33"/>
      <c r="C856" s="34"/>
      <c r="D856" s="33"/>
      <c r="E856" s="34"/>
      <c r="F856" s="34"/>
      <c r="G856" s="34"/>
      <c r="H856" s="30"/>
      <c r="I856" s="34"/>
      <c r="J856" s="34"/>
      <c r="K856" s="34"/>
      <c r="L856" s="34"/>
      <c r="M856" s="34"/>
      <c r="N856" s="34"/>
      <c r="O856" s="34"/>
      <c r="P856" s="34"/>
    </row>
    <row r="857" spans="1:16" ht="12.75">
      <c r="A857" s="34"/>
      <c r="B857" s="33"/>
      <c r="C857" s="34"/>
      <c r="D857" s="33"/>
      <c r="E857" s="34"/>
      <c r="F857" s="34"/>
      <c r="G857" s="34"/>
      <c r="H857" s="30"/>
      <c r="I857" s="34"/>
      <c r="J857" s="34"/>
      <c r="K857" s="34"/>
      <c r="L857" s="34"/>
      <c r="M857" s="34"/>
      <c r="N857" s="34"/>
      <c r="O857" s="34"/>
      <c r="P857" s="34"/>
    </row>
    <row r="858" spans="1:16" ht="12.75">
      <c r="A858" s="34"/>
      <c r="B858" s="33"/>
      <c r="C858" s="34"/>
      <c r="D858" s="33"/>
      <c r="E858" s="34"/>
      <c r="F858" s="34"/>
      <c r="G858" s="34"/>
      <c r="H858" s="30"/>
      <c r="I858" s="34"/>
      <c r="J858" s="34"/>
      <c r="K858" s="34"/>
      <c r="L858" s="34"/>
      <c r="M858" s="34"/>
      <c r="N858" s="34"/>
      <c r="O858" s="34"/>
      <c r="P858" s="34"/>
    </row>
    <row r="859" spans="1:16" ht="12.75">
      <c r="A859" s="34"/>
      <c r="B859" s="33"/>
      <c r="C859" s="34"/>
      <c r="D859" s="33"/>
      <c r="E859" s="34"/>
      <c r="F859" s="34"/>
      <c r="G859" s="34"/>
      <c r="H859" s="30"/>
      <c r="I859" s="34"/>
      <c r="J859" s="34"/>
      <c r="K859" s="34"/>
      <c r="L859" s="34"/>
      <c r="M859" s="34"/>
      <c r="N859" s="34"/>
      <c r="O859" s="34"/>
      <c r="P859" s="34"/>
    </row>
    <row r="860" spans="1:16" ht="12.75">
      <c r="A860" s="34"/>
      <c r="B860" s="33"/>
      <c r="C860" s="34"/>
      <c r="D860" s="33"/>
      <c r="E860" s="34"/>
      <c r="F860" s="34"/>
      <c r="G860" s="34"/>
      <c r="H860" s="30"/>
      <c r="I860" s="34"/>
      <c r="J860" s="34"/>
      <c r="K860" s="34"/>
      <c r="L860" s="34"/>
      <c r="M860" s="34"/>
      <c r="N860" s="34"/>
      <c r="O860" s="34"/>
      <c r="P860" s="34"/>
    </row>
    <row r="861" spans="1:16" ht="12.75">
      <c r="A861" s="34"/>
      <c r="B861" s="33"/>
      <c r="C861" s="34"/>
      <c r="D861" s="33"/>
      <c r="E861" s="34"/>
      <c r="F861" s="34"/>
      <c r="G861" s="34"/>
      <c r="H861" s="30"/>
      <c r="I861" s="34"/>
      <c r="J861" s="34"/>
      <c r="K861" s="34"/>
      <c r="L861" s="34"/>
      <c r="M861" s="34"/>
      <c r="N861" s="34"/>
      <c r="O861" s="34"/>
      <c r="P861" s="34"/>
    </row>
    <row r="862" spans="1:16" ht="12.75">
      <c r="A862" s="34"/>
      <c r="B862" s="33"/>
      <c r="C862" s="34"/>
      <c r="D862" s="33"/>
      <c r="E862" s="34"/>
      <c r="F862" s="34"/>
      <c r="G862" s="34"/>
      <c r="H862" s="30"/>
      <c r="I862" s="34"/>
      <c r="J862" s="34"/>
      <c r="K862" s="34"/>
      <c r="L862" s="34"/>
      <c r="M862" s="34"/>
      <c r="N862" s="34"/>
      <c r="O862" s="34"/>
      <c r="P862" s="34"/>
    </row>
    <row r="863" spans="1:16" ht="12.75">
      <c r="A863" s="34"/>
      <c r="B863" s="33"/>
      <c r="C863" s="34"/>
      <c r="D863" s="33"/>
      <c r="E863" s="34"/>
      <c r="F863" s="34"/>
      <c r="G863" s="34"/>
      <c r="H863" s="30"/>
      <c r="I863" s="34"/>
      <c r="J863" s="34"/>
      <c r="K863" s="34"/>
      <c r="L863" s="34"/>
      <c r="M863" s="34"/>
      <c r="N863" s="34"/>
      <c r="O863" s="34"/>
      <c r="P863" s="34"/>
    </row>
    <row r="864" spans="1:16" ht="12.75">
      <c r="A864" s="34"/>
      <c r="B864" s="33"/>
      <c r="C864" s="34"/>
      <c r="D864" s="33"/>
      <c r="E864" s="34"/>
      <c r="F864" s="34"/>
      <c r="G864" s="34"/>
      <c r="H864" s="30"/>
      <c r="I864" s="34"/>
      <c r="J864" s="34"/>
      <c r="K864" s="34"/>
      <c r="L864" s="34"/>
      <c r="M864" s="34"/>
      <c r="N864" s="34"/>
      <c r="O864" s="34"/>
      <c r="P864" s="34"/>
    </row>
    <row r="865" spans="1:16" ht="12.75">
      <c r="A865" s="34"/>
      <c r="B865" s="33"/>
      <c r="C865" s="34"/>
      <c r="D865" s="33"/>
      <c r="E865" s="34"/>
      <c r="F865" s="34"/>
      <c r="G865" s="34"/>
      <c r="H865" s="30"/>
      <c r="I865" s="34"/>
      <c r="J865" s="34"/>
      <c r="K865" s="34"/>
      <c r="L865" s="34"/>
      <c r="M865" s="34"/>
      <c r="N865" s="34"/>
      <c r="O865" s="34"/>
      <c r="P865" s="34"/>
    </row>
    <row r="866" spans="1:16" ht="12.75">
      <c r="A866" s="34"/>
      <c r="B866" s="33"/>
      <c r="C866" s="34"/>
      <c r="D866" s="33"/>
      <c r="E866" s="34"/>
      <c r="F866" s="34"/>
      <c r="G866" s="34"/>
      <c r="H866" s="30"/>
      <c r="I866" s="34"/>
      <c r="J866" s="34"/>
      <c r="K866" s="34"/>
      <c r="L866" s="34"/>
      <c r="M866" s="34"/>
      <c r="N866" s="34"/>
      <c r="O866" s="34"/>
      <c r="P866" s="34"/>
    </row>
    <row r="867" spans="1:16" ht="12.75">
      <c r="A867" s="34"/>
      <c r="B867" s="33"/>
      <c r="C867" s="34"/>
      <c r="D867" s="33"/>
      <c r="E867" s="34"/>
      <c r="F867" s="34"/>
      <c r="G867" s="34"/>
      <c r="H867" s="30"/>
      <c r="I867" s="34"/>
      <c r="J867" s="34"/>
      <c r="K867" s="34"/>
      <c r="L867" s="34"/>
      <c r="M867" s="34"/>
      <c r="N867" s="34"/>
      <c r="O867" s="34"/>
      <c r="P867" s="34"/>
    </row>
    <row r="868" spans="1:16" ht="12.75">
      <c r="A868" s="34"/>
      <c r="B868" s="33"/>
      <c r="C868" s="34"/>
      <c r="D868" s="33"/>
      <c r="E868" s="34"/>
      <c r="F868" s="34"/>
      <c r="G868" s="34"/>
      <c r="H868" s="30"/>
      <c r="I868" s="34"/>
      <c r="J868" s="34"/>
      <c r="K868" s="34"/>
      <c r="L868" s="34"/>
      <c r="M868" s="34"/>
      <c r="N868" s="34"/>
      <c r="O868" s="34"/>
      <c r="P868" s="34"/>
    </row>
    <row r="869" spans="1:16" ht="12.75">
      <c r="A869" s="34"/>
      <c r="B869" s="33"/>
      <c r="C869" s="34"/>
      <c r="D869" s="33"/>
      <c r="E869" s="34"/>
      <c r="F869" s="34"/>
      <c r="G869" s="34"/>
      <c r="H869" s="30"/>
      <c r="I869" s="34"/>
      <c r="J869" s="34"/>
      <c r="K869" s="34"/>
      <c r="L869" s="34"/>
      <c r="M869" s="34"/>
      <c r="N869" s="34"/>
      <c r="O869" s="34"/>
      <c r="P869" s="34"/>
    </row>
    <row r="870" spans="1:16" ht="12.75">
      <c r="A870" s="34"/>
      <c r="B870" s="33"/>
      <c r="C870" s="34"/>
      <c r="D870" s="33"/>
      <c r="E870" s="34"/>
      <c r="F870" s="34"/>
      <c r="G870" s="34"/>
      <c r="H870" s="30"/>
      <c r="I870" s="34"/>
      <c r="J870" s="34"/>
      <c r="K870" s="34"/>
      <c r="L870" s="34"/>
      <c r="M870" s="34"/>
      <c r="N870" s="34"/>
      <c r="O870" s="34"/>
      <c r="P870" s="34"/>
    </row>
    <row r="871" spans="1:16" ht="12.75">
      <c r="A871" s="34"/>
      <c r="B871" s="33"/>
      <c r="C871" s="34"/>
      <c r="D871" s="33"/>
      <c r="E871" s="34"/>
      <c r="F871" s="34"/>
      <c r="G871" s="34"/>
      <c r="H871" s="30"/>
      <c r="I871" s="34"/>
      <c r="J871" s="34"/>
      <c r="K871" s="34"/>
      <c r="L871" s="34"/>
      <c r="M871" s="34"/>
      <c r="N871" s="34"/>
      <c r="O871" s="34"/>
      <c r="P871" s="34"/>
    </row>
    <row r="872" spans="1:16" ht="12.75">
      <c r="A872" s="34"/>
      <c r="B872" s="33"/>
      <c r="C872" s="34"/>
      <c r="D872" s="33"/>
      <c r="E872" s="34"/>
      <c r="F872" s="34"/>
      <c r="G872" s="34"/>
      <c r="H872" s="30"/>
      <c r="I872" s="34"/>
      <c r="J872" s="34"/>
      <c r="K872" s="34"/>
      <c r="L872" s="34"/>
      <c r="M872" s="34"/>
      <c r="N872" s="34"/>
      <c r="O872" s="34"/>
      <c r="P872" s="34"/>
    </row>
    <row r="873" spans="1:16" ht="12.75">
      <c r="A873" s="34"/>
      <c r="B873" s="33"/>
      <c r="C873" s="34"/>
      <c r="D873" s="33"/>
      <c r="E873" s="34"/>
      <c r="F873" s="34"/>
      <c r="G873" s="34"/>
      <c r="H873" s="30"/>
      <c r="I873" s="34"/>
      <c r="J873" s="34"/>
      <c r="K873" s="34"/>
      <c r="L873" s="34"/>
      <c r="M873" s="34"/>
      <c r="N873" s="34"/>
      <c r="O873" s="34"/>
      <c r="P873" s="34"/>
    </row>
    <row r="874" spans="1:16" ht="12.75">
      <c r="A874" s="34"/>
      <c r="B874" s="33"/>
      <c r="C874" s="34"/>
      <c r="D874" s="33"/>
      <c r="E874" s="34"/>
      <c r="F874" s="34"/>
      <c r="G874" s="34"/>
      <c r="H874" s="30"/>
      <c r="I874" s="34"/>
      <c r="J874" s="34"/>
      <c r="K874" s="34"/>
      <c r="L874" s="34"/>
      <c r="M874" s="34"/>
      <c r="N874" s="34"/>
      <c r="O874" s="34"/>
      <c r="P874" s="34"/>
    </row>
    <row r="875" spans="1:16" ht="12.75">
      <c r="A875" s="34"/>
      <c r="B875" s="33"/>
      <c r="C875" s="34"/>
      <c r="D875" s="33"/>
      <c r="E875" s="34"/>
      <c r="F875" s="34"/>
      <c r="G875" s="34"/>
      <c r="H875" s="30"/>
      <c r="I875" s="34"/>
      <c r="J875" s="34"/>
      <c r="K875" s="34"/>
      <c r="L875" s="34"/>
      <c r="M875" s="34"/>
      <c r="N875" s="34"/>
      <c r="O875" s="34"/>
      <c r="P875" s="34"/>
    </row>
    <row r="876" spans="1:16" ht="12.75">
      <c r="A876" s="34"/>
      <c r="B876" s="33"/>
      <c r="C876" s="34"/>
      <c r="D876" s="33"/>
      <c r="E876" s="34"/>
      <c r="F876" s="34"/>
      <c r="G876" s="34"/>
      <c r="H876" s="30"/>
      <c r="I876" s="34"/>
      <c r="J876" s="34"/>
      <c r="K876" s="34"/>
      <c r="L876" s="34"/>
      <c r="M876" s="34"/>
      <c r="N876" s="34"/>
      <c r="O876" s="34"/>
      <c r="P876" s="34"/>
    </row>
    <row r="877" spans="1:16" ht="12.75">
      <c r="A877" s="34"/>
      <c r="B877" s="33"/>
      <c r="C877" s="34"/>
      <c r="D877" s="33"/>
      <c r="E877" s="34"/>
      <c r="F877" s="34"/>
      <c r="G877" s="34"/>
      <c r="H877" s="30"/>
      <c r="I877" s="34"/>
      <c r="J877" s="34"/>
      <c r="K877" s="34"/>
      <c r="L877" s="34"/>
      <c r="M877" s="34"/>
      <c r="N877" s="34"/>
      <c r="O877" s="34"/>
      <c r="P877" s="34"/>
    </row>
    <row r="878" spans="1:16" ht="12.75">
      <c r="A878" s="34"/>
      <c r="B878" s="33"/>
      <c r="C878" s="34"/>
      <c r="D878" s="33"/>
      <c r="E878" s="34"/>
      <c r="F878" s="34"/>
      <c r="G878" s="34"/>
      <c r="H878" s="30"/>
      <c r="I878" s="34"/>
      <c r="J878" s="34"/>
      <c r="K878" s="34"/>
      <c r="L878" s="34"/>
      <c r="M878" s="34"/>
      <c r="N878" s="34"/>
      <c r="O878" s="34"/>
      <c r="P878" s="34"/>
    </row>
    <row r="879" spans="1:16" ht="12.75">
      <c r="A879" s="34"/>
      <c r="B879" s="33"/>
      <c r="C879" s="34"/>
      <c r="D879" s="33"/>
      <c r="E879" s="34"/>
      <c r="F879" s="34"/>
      <c r="G879" s="34"/>
      <c r="H879" s="30"/>
      <c r="I879" s="34"/>
      <c r="J879" s="34"/>
      <c r="K879" s="34"/>
      <c r="L879" s="34"/>
      <c r="M879" s="34"/>
      <c r="N879" s="34"/>
      <c r="O879" s="34"/>
      <c r="P879" s="34"/>
    </row>
    <row r="880" spans="1:16" ht="12.75">
      <c r="A880" s="34"/>
      <c r="B880" s="33"/>
      <c r="C880" s="34"/>
      <c r="D880" s="33"/>
      <c r="E880" s="34"/>
      <c r="F880" s="34"/>
      <c r="G880" s="34"/>
      <c r="H880" s="30"/>
      <c r="I880" s="34"/>
      <c r="J880" s="34"/>
      <c r="K880" s="34"/>
      <c r="L880" s="34"/>
      <c r="M880" s="34"/>
      <c r="N880" s="34"/>
      <c r="O880" s="34"/>
      <c r="P880" s="34"/>
    </row>
    <row r="881" spans="1:16" ht="12.75">
      <c r="A881" s="34"/>
      <c r="B881" s="33"/>
      <c r="C881" s="34"/>
      <c r="D881" s="33"/>
      <c r="E881" s="34"/>
      <c r="F881" s="34"/>
      <c r="G881" s="34"/>
      <c r="H881" s="30"/>
      <c r="I881" s="34"/>
      <c r="J881" s="34"/>
      <c r="K881" s="34"/>
      <c r="L881" s="34"/>
      <c r="M881" s="34"/>
      <c r="N881" s="34"/>
      <c r="O881" s="34"/>
      <c r="P881" s="34"/>
    </row>
    <row r="882" spans="1:16" ht="12.75">
      <c r="A882" s="34"/>
      <c r="B882" s="33"/>
      <c r="C882" s="34"/>
      <c r="D882" s="33"/>
      <c r="E882" s="34"/>
      <c r="F882" s="34"/>
      <c r="G882" s="34"/>
      <c r="H882" s="30"/>
      <c r="I882" s="34"/>
      <c r="J882" s="34"/>
      <c r="K882" s="34"/>
      <c r="L882" s="34"/>
      <c r="M882" s="34"/>
      <c r="N882" s="34"/>
      <c r="O882" s="34"/>
      <c r="P882" s="34"/>
    </row>
    <row r="883" spans="1:16" ht="12.75">
      <c r="A883" s="34"/>
      <c r="B883" s="33"/>
      <c r="C883" s="34"/>
      <c r="D883" s="33"/>
      <c r="E883" s="34"/>
      <c r="F883" s="34"/>
      <c r="G883" s="34"/>
      <c r="H883" s="30"/>
      <c r="I883" s="34"/>
      <c r="J883" s="34"/>
      <c r="K883" s="34"/>
      <c r="L883" s="34"/>
      <c r="M883" s="34"/>
      <c r="N883" s="34"/>
      <c r="O883" s="34"/>
      <c r="P883" s="34"/>
    </row>
    <row r="884" spans="1:16" ht="12.75">
      <c r="A884" s="34"/>
      <c r="B884" s="33"/>
      <c r="C884" s="34"/>
      <c r="D884" s="33"/>
      <c r="E884" s="34"/>
      <c r="F884" s="34"/>
      <c r="G884" s="34"/>
      <c r="H884" s="30"/>
      <c r="I884" s="34"/>
      <c r="J884" s="34"/>
      <c r="K884" s="34"/>
      <c r="L884" s="34"/>
      <c r="M884" s="34"/>
      <c r="N884" s="34"/>
      <c r="O884" s="34"/>
      <c r="P884" s="34"/>
    </row>
    <row r="885" spans="1:16" ht="12.75">
      <c r="A885" s="34"/>
      <c r="B885" s="33"/>
      <c r="C885" s="34"/>
      <c r="D885" s="33"/>
      <c r="E885" s="34"/>
      <c r="F885" s="34"/>
      <c r="G885" s="34"/>
      <c r="H885" s="30"/>
      <c r="I885" s="34"/>
      <c r="J885" s="34"/>
      <c r="K885" s="34"/>
      <c r="L885" s="34"/>
      <c r="M885" s="34"/>
      <c r="N885" s="34"/>
      <c r="O885" s="34"/>
      <c r="P885" s="34"/>
    </row>
    <row r="886" spans="1:16" ht="12.75">
      <c r="A886" s="34"/>
      <c r="B886" s="33"/>
      <c r="C886" s="34"/>
      <c r="D886" s="33"/>
      <c r="E886" s="34"/>
      <c r="F886" s="34"/>
      <c r="G886" s="34"/>
      <c r="H886" s="30"/>
      <c r="I886" s="34"/>
      <c r="J886" s="34"/>
      <c r="K886" s="34"/>
      <c r="L886" s="34"/>
      <c r="M886" s="34"/>
      <c r="N886" s="34"/>
      <c r="O886" s="34"/>
      <c r="P886" s="34"/>
    </row>
    <row r="887" spans="1:16" ht="12.75">
      <c r="A887" s="34"/>
      <c r="B887" s="33"/>
      <c r="C887" s="34"/>
      <c r="D887" s="33"/>
      <c r="E887" s="34"/>
      <c r="F887" s="34"/>
      <c r="G887" s="34"/>
      <c r="H887" s="30"/>
      <c r="I887" s="34"/>
      <c r="J887" s="34"/>
      <c r="K887" s="34"/>
      <c r="L887" s="34"/>
      <c r="M887" s="34"/>
      <c r="N887" s="34"/>
      <c r="O887" s="34"/>
      <c r="P887" s="34"/>
    </row>
    <row r="888" spans="1:16" ht="12.75">
      <c r="A888" s="34"/>
      <c r="B888" s="33"/>
      <c r="C888" s="34"/>
      <c r="D888" s="33"/>
      <c r="E888" s="34"/>
      <c r="F888" s="34"/>
      <c r="G888" s="34"/>
      <c r="H888" s="30"/>
      <c r="I888" s="34"/>
      <c r="J888" s="34"/>
      <c r="K888" s="34"/>
      <c r="L888" s="34"/>
      <c r="M888" s="34"/>
      <c r="N888" s="34"/>
      <c r="O888" s="34"/>
      <c r="P888" s="34"/>
    </row>
    <row r="889" spans="1:16" ht="12.75">
      <c r="A889" s="34"/>
      <c r="B889" s="33"/>
      <c r="C889" s="34"/>
      <c r="D889" s="33"/>
      <c r="E889" s="34"/>
      <c r="F889" s="34"/>
      <c r="G889" s="34"/>
      <c r="H889" s="30"/>
      <c r="I889" s="34"/>
      <c r="J889" s="34"/>
      <c r="K889" s="34"/>
      <c r="L889" s="34"/>
      <c r="M889" s="34"/>
      <c r="N889" s="34"/>
      <c r="O889" s="34"/>
      <c r="P889" s="34"/>
    </row>
    <row r="890" spans="1:16" ht="12.75">
      <c r="A890" s="34"/>
      <c r="B890" s="33"/>
      <c r="C890" s="34"/>
      <c r="D890" s="33"/>
      <c r="E890" s="34"/>
      <c r="F890" s="34"/>
      <c r="G890" s="34"/>
      <c r="H890" s="30"/>
      <c r="I890" s="34"/>
      <c r="J890" s="34"/>
      <c r="K890" s="34"/>
      <c r="L890" s="34"/>
      <c r="M890" s="34"/>
      <c r="N890" s="34"/>
      <c r="O890" s="34"/>
      <c r="P890" s="34"/>
    </row>
    <row r="891" spans="1:16" ht="12.75">
      <c r="A891" s="34"/>
      <c r="B891" s="33"/>
      <c r="C891" s="34"/>
      <c r="D891" s="33"/>
      <c r="E891" s="34"/>
      <c r="F891" s="34"/>
      <c r="G891" s="34"/>
      <c r="H891" s="30"/>
      <c r="I891" s="34"/>
      <c r="J891" s="34"/>
      <c r="K891" s="34"/>
      <c r="L891" s="34"/>
      <c r="M891" s="34"/>
      <c r="N891" s="34"/>
      <c r="O891" s="34"/>
      <c r="P891" s="34"/>
    </row>
    <row r="892" spans="1:16" ht="12.75">
      <c r="A892" s="34"/>
      <c r="B892" s="33"/>
      <c r="C892" s="34"/>
      <c r="D892" s="33"/>
      <c r="E892" s="34"/>
      <c r="F892" s="34"/>
      <c r="G892" s="34"/>
      <c r="H892" s="30"/>
      <c r="I892" s="34"/>
      <c r="J892" s="34"/>
      <c r="K892" s="34"/>
      <c r="L892" s="34"/>
      <c r="M892" s="34"/>
      <c r="N892" s="34"/>
      <c r="O892" s="34"/>
      <c r="P892" s="34"/>
    </row>
    <row r="893" spans="1:16" ht="12.75">
      <c r="A893" s="34"/>
      <c r="B893" s="33"/>
      <c r="C893" s="34"/>
      <c r="D893" s="33"/>
      <c r="E893" s="34"/>
      <c r="F893" s="34"/>
      <c r="G893" s="34"/>
      <c r="H893" s="30"/>
      <c r="I893" s="34"/>
      <c r="J893" s="34"/>
      <c r="K893" s="34"/>
      <c r="L893" s="34"/>
      <c r="M893" s="34"/>
      <c r="N893" s="34"/>
      <c r="O893" s="34"/>
      <c r="P893" s="34"/>
    </row>
    <row r="894" spans="1:16" ht="12.75">
      <c r="A894" s="34"/>
      <c r="B894" s="33"/>
      <c r="C894" s="34"/>
      <c r="D894" s="33"/>
      <c r="E894" s="34"/>
      <c r="F894" s="34"/>
      <c r="G894" s="34"/>
      <c r="H894" s="30"/>
      <c r="I894" s="34"/>
      <c r="J894" s="34"/>
      <c r="K894" s="34"/>
      <c r="L894" s="34"/>
      <c r="M894" s="34"/>
      <c r="N894" s="34"/>
      <c r="O894" s="34"/>
      <c r="P894" s="34"/>
    </row>
    <row r="895" spans="1:16" ht="12.75">
      <c r="A895" s="34"/>
      <c r="B895" s="33"/>
      <c r="C895" s="34"/>
      <c r="D895" s="33"/>
      <c r="E895" s="34"/>
      <c r="F895" s="34"/>
      <c r="G895" s="34"/>
      <c r="H895" s="30"/>
      <c r="I895" s="34"/>
      <c r="J895" s="34"/>
      <c r="K895" s="34"/>
      <c r="L895" s="34"/>
      <c r="M895" s="34"/>
      <c r="N895" s="34"/>
      <c r="O895" s="34"/>
      <c r="P895" s="34"/>
    </row>
    <row r="896" spans="1:16" ht="12.75">
      <c r="A896" s="34"/>
      <c r="B896" s="33"/>
      <c r="C896" s="34"/>
      <c r="D896" s="33"/>
      <c r="E896" s="34"/>
      <c r="F896" s="34"/>
      <c r="G896" s="34"/>
      <c r="H896" s="30"/>
      <c r="I896" s="34"/>
      <c r="J896" s="34"/>
      <c r="K896" s="34"/>
      <c r="L896" s="34"/>
      <c r="M896" s="34"/>
      <c r="N896" s="34"/>
      <c r="O896" s="34"/>
      <c r="P896" s="34"/>
    </row>
    <row r="897" spans="1:16" ht="12.75">
      <c r="A897" s="34"/>
      <c r="B897" s="33"/>
      <c r="C897" s="34"/>
      <c r="D897" s="33"/>
      <c r="E897" s="34"/>
      <c r="F897" s="34"/>
      <c r="G897" s="34"/>
      <c r="H897" s="30"/>
      <c r="I897" s="34"/>
      <c r="J897" s="34"/>
      <c r="K897" s="34"/>
      <c r="L897" s="34"/>
      <c r="M897" s="34"/>
      <c r="N897" s="34"/>
      <c r="O897" s="34"/>
      <c r="P897" s="34"/>
    </row>
    <row r="898" spans="1:16" ht="12.75">
      <c r="A898" s="34"/>
      <c r="B898" s="33"/>
      <c r="C898" s="34"/>
      <c r="D898" s="33"/>
      <c r="E898" s="34"/>
      <c r="F898" s="34"/>
      <c r="G898" s="34"/>
      <c r="H898" s="30"/>
      <c r="I898" s="34"/>
      <c r="J898" s="34"/>
      <c r="K898" s="34"/>
      <c r="L898" s="34"/>
      <c r="M898" s="34"/>
      <c r="N898" s="34"/>
      <c r="O898" s="34"/>
      <c r="P898" s="34"/>
    </row>
    <row r="899" spans="1:16" ht="12.75">
      <c r="A899" s="34"/>
      <c r="B899" s="33"/>
      <c r="C899" s="34"/>
      <c r="D899" s="33"/>
      <c r="E899" s="34"/>
      <c r="F899" s="34"/>
      <c r="G899" s="34"/>
      <c r="H899" s="30"/>
      <c r="I899" s="34"/>
      <c r="J899" s="34"/>
      <c r="K899" s="34"/>
      <c r="L899" s="34"/>
      <c r="M899" s="34"/>
      <c r="N899" s="34"/>
      <c r="O899" s="34"/>
      <c r="P899" s="34"/>
    </row>
    <row r="900" spans="1:16" ht="12.75">
      <c r="A900" s="34"/>
      <c r="B900" s="33"/>
      <c r="C900" s="34"/>
      <c r="D900" s="33"/>
      <c r="E900" s="34"/>
      <c r="F900" s="34"/>
      <c r="G900" s="34"/>
      <c r="H900" s="30"/>
      <c r="I900" s="34"/>
      <c r="J900" s="34"/>
      <c r="K900" s="34"/>
      <c r="L900" s="34"/>
      <c r="M900" s="34"/>
      <c r="N900" s="34"/>
      <c r="O900" s="34"/>
      <c r="P900" s="34"/>
    </row>
    <row r="901" spans="1:16" ht="12.75">
      <c r="A901" s="34"/>
      <c r="B901" s="33"/>
      <c r="C901" s="34"/>
      <c r="D901" s="33"/>
      <c r="E901" s="34"/>
      <c r="F901" s="34"/>
      <c r="G901" s="34"/>
      <c r="H901" s="30"/>
      <c r="I901" s="34"/>
      <c r="J901" s="34"/>
      <c r="K901" s="34"/>
      <c r="L901" s="34"/>
      <c r="M901" s="34"/>
      <c r="N901" s="34"/>
      <c r="O901" s="34"/>
      <c r="P901" s="34"/>
    </row>
    <row r="902" spans="1:16" ht="12.75">
      <c r="A902" s="34"/>
      <c r="B902" s="33"/>
      <c r="C902" s="34"/>
      <c r="D902" s="33"/>
      <c r="E902" s="34"/>
      <c r="F902" s="34"/>
      <c r="G902" s="34"/>
      <c r="H902" s="30"/>
      <c r="I902" s="34"/>
      <c r="J902" s="34"/>
      <c r="K902" s="34"/>
      <c r="L902" s="34"/>
      <c r="M902" s="34"/>
      <c r="N902" s="34"/>
      <c r="O902" s="34"/>
      <c r="P902" s="34"/>
    </row>
    <row r="903" spans="1:16" ht="12.75">
      <c r="A903" s="34"/>
      <c r="B903" s="33"/>
      <c r="C903" s="34"/>
      <c r="D903" s="33"/>
      <c r="E903" s="34"/>
      <c r="F903" s="34"/>
      <c r="G903" s="34"/>
      <c r="H903" s="30"/>
      <c r="I903" s="34"/>
      <c r="J903" s="34"/>
      <c r="K903" s="34"/>
      <c r="L903" s="34"/>
      <c r="M903" s="34"/>
      <c r="N903" s="34"/>
      <c r="O903" s="34"/>
      <c r="P903" s="34"/>
    </row>
    <row r="904" spans="1:16" ht="12.75">
      <c r="A904" s="34"/>
      <c r="B904" s="33"/>
      <c r="C904" s="34"/>
      <c r="D904" s="33"/>
      <c r="E904" s="34"/>
      <c r="F904" s="34"/>
      <c r="G904" s="34"/>
      <c r="H904" s="30"/>
      <c r="I904" s="34"/>
      <c r="J904" s="34"/>
      <c r="K904" s="34"/>
      <c r="L904" s="34"/>
      <c r="M904" s="34"/>
      <c r="N904" s="34"/>
      <c r="O904" s="34"/>
      <c r="P904" s="34"/>
    </row>
    <row r="905" spans="1:16" ht="12.75">
      <c r="A905" s="34"/>
      <c r="B905" s="33"/>
      <c r="C905" s="34"/>
      <c r="D905" s="33"/>
      <c r="E905" s="34"/>
      <c r="F905" s="34"/>
      <c r="G905" s="34"/>
      <c r="H905" s="30"/>
      <c r="I905" s="34"/>
      <c r="J905" s="34"/>
      <c r="K905" s="34"/>
      <c r="L905" s="34"/>
      <c r="M905" s="34"/>
      <c r="N905" s="34"/>
      <c r="O905" s="34"/>
      <c r="P905" s="34"/>
    </row>
    <row r="906" spans="1:16" ht="12.75">
      <c r="A906" s="34"/>
      <c r="B906" s="33"/>
      <c r="C906" s="34"/>
      <c r="D906" s="33"/>
      <c r="E906" s="34"/>
      <c r="F906" s="34"/>
      <c r="G906" s="34"/>
      <c r="H906" s="30"/>
      <c r="I906" s="34"/>
      <c r="J906" s="34"/>
      <c r="K906" s="34"/>
      <c r="L906" s="34"/>
      <c r="M906" s="34"/>
      <c r="N906" s="34"/>
      <c r="O906" s="34"/>
      <c r="P906" s="34"/>
    </row>
    <row r="907" spans="1:16" ht="12.75">
      <c r="A907" s="34"/>
      <c r="B907" s="33"/>
      <c r="C907" s="34"/>
      <c r="D907" s="33"/>
      <c r="E907" s="34"/>
      <c r="F907" s="34"/>
      <c r="G907" s="34"/>
      <c r="H907" s="30"/>
      <c r="I907" s="34"/>
      <c r="J907" s="34"/>
      <c r="K907" s="34"/>
      <c r="L907" s="34"/>
      <c r="M907" s="34"/>
      <c r="N907" s="34"/>
      <c r="O907" s="34"/>
      <c r="P907" s="34"/>
    </row>
    <row r="908" spans="1:16" ht="12.75">
      <c r="A908" s="34"/>
      <c r="B908" s="33"/>
      <c r="C908" s="34"/>
      <c r="D908" s="33"/>
      <c r="E908" s="34"/>
      <c r="F908" s="34"/>
      <c r="G908" s="34"/>
      <c r="H908" s="30"/>
      <c r="I908" s="34"/>
      <c r="J908" s="34"/>
      <c r="K908" s="34"/>
      <c r="L908" s="34"/>
      <c r="M908" s="34"/>
      <c r="N908" s="34"/>
      <c r="O908" s="34"/>
      <c r="P908" s="34"/>
    </row>
    <row r="909" spans="1:16" ht="12.75">
      <c r="A909" s="34"/>
      <c r="B909" s="33"/>
      <c r="C909" s="34"/>
      <c r="D909" s="33"/>
      <c r="E909" s="34"/>
      <c r="F909" s="34"/>
      <c r="G909" s="34"/>
      <c r="H909" s="30"/>
      <c r="I909" s="34"/>
      <c r="J909" s="34"/>
      <c r="K909" s="34"/>
      <c r="L909" s="34"/>
      <c r="M909" s="34"/>
      <c r="N909" s="34"/>
      <c r="O909" s="34"/>
      <c r="P909" s="34"/>
    </row>
    <row r="910" spans="1:16" ht="12.75">
      <c r="A910" s="34"/>
      <c r="B910" s="33"/>
      <c r="C910" s="34"/>
      <c r="D910" s="33"/>
      <c r="E910" s="34"/>
      <c r="F910" s="34"/>
      <c r="G910" s="34"/>
      <c r="H910" s="30"/>
      <c r="I910" s="34"/>
      <c r="J910" s="34"/>
      <c r="K910" s="34"/>
      <c r="L910" s="34"/>
      <c r="M910" s="34"/>
      <c r="N910" s="34"/>
      <c r="O910" s="34"/>
      <c r="P910" s="34"/>
    </row>
    <row r="911" spans="1:16" ht="12.75">
      <c r="A911" s="34"/>
      <c r="B911" s="33"/>
      <c r="C911" s="34"/>
      <c r="D911" s="33"/>
      <c r="E911" s="34"/>
      <c r="F911" s="34"/>
      <c r="G911" s="34"/>
      <c r="H911" s="30"/>
      <c r="I911" s="34"/>
      <c r="J911" s="34"/>
      <c r="K911" s="34"/>
      <c r="L911" s="34"/>
      <c r="M911" s="34"/>
      <c r="N911" s="34"/>
      <c r="O911" s="34"/>
      <c r="P911" s="34"/>
    </row>
    <row r="912" spans="1:16" ht="12.75">
      <c r="A912" s="34"/>
      <c r="B912" s="33"/>
      <c r="C912" s="34"/>
      <c r="D912" s="33"/>
      <c r="E912" s="34"/>
      <c r="F912" s="34"/>
      <c r="G912" s="34"/>
      <c r="H912" s="30"/>
      <c r="I912" s="34"/>
      <c r="J912" s="34"/>
      <c r="K912" s="34"/>
      <c r="L912" s="34"/>
      <c r="M912" s="34"/>
      <c r="N912" s="34"/>
      <c r="O912" s="34"/>
      <c r="P912" s="34"/>
    </row>
    <row r="913" spans="1:16" ht="12.75">
      <c r="A913" s="34"/>
      <c r="B913" s="33"/>
      <c r="C913" s="34"/>
      <c r="D913" s="33"/>
      <c r="E913" s="34"/>
      <c r="F913" s="34"/>
      <c r="G913" s="34"/>
      <c r="H913" s="30"/>
      <c r="I913" s="34"/>
      <c r="J913" s="34"/>
      <c r="K913" s="34"/>
      <c r="L913" s="34"/>
      <c r="M913" s="34"/>
      <c r="N913" s="34"/>
      <c r="O913" s="34"/>
      <c r="P913" s="34"/>
    </row>
    <row r="914" spans="1:16" ht="12.75">
      <c r="A914" s="34"/>
      <c r="B914" s="33"/>
      <c r="C914" s="34"/>
      <c r="D914" s="33"/>
      <c r="E914" s="34"/>
      <c r="F914" s="34"/>
      <c r="G914" s="34"/>
      <c r="H914" s="30"/>
      <c r="I914" s="34"/>
      <c r="J914" s="34"/>
      <c r="K914" s="34"/>
      <c r="L914" s="34"/>
      <c r="M914" s="34"/>
      <c r="N914" s="34"/>
      <c r="O914" s="34"/>
      <c r="P914" s="34"/>
    </row>
    <row r="915" spans="1:16" ht="12.75">
      <c r="A915" s="34"/>
      <c r="B915" s="33"/>
      <c r="C915" s="34"/>
      <c r="D915" s="33"/>
      <c r="E915" s="34"/>
      <c r="F915" s="34"/>
      <c r="G915" s="34"/>
      <c r="H915" s="30"/>
      <c r="I915" s="34"/>
      <c r="J915" s="34"/>
      <c r="K915" s="34"/>
      <c r="L915" s="34"/>
      <c r="M915" s="34"/>
      <c r="N915" s="34"/>
      <c r="O915" s="34"/>
      <c r="P915" s="34"/>
    </row>
    <row r="916" spans="1:16" ht="12.75">
      <c r="A916" s="34"/>
      <c r="B916" s="33"/>
      <c r="C916" s="34"/>
      <c r="D916" s="33"/>
      <c r="E916" s="34"/>
      <c r="F916" s="34"/>
      <c r="G916" s="34"/>
      <c r="H916" s="30"/>
      <c r="I916" s="34"/>
      <c r="J916" s="34"/>
      <c r="K916" s="34"/>
      <c r="L916" s="34"/>
      <c r="M916" s="34"/>
      <c r="N916" s="34"/>
      <c r="O916" s="34"/>
      <c r="P916" s="34"/>
    </row>
    <row r="917" spans="1:16" ht="12.75">
      <c r="A917" s="34"/>
      <c r="B917" s="33"/>
      <c r="C917" s="34"/>
      <c r="D917" s="33"/>
      <c r="E917" s="34"/>
      <c r="F917" s="34"/>
      <c r="G917" s="34"/>
      <c r="H917" s="30"/>
      <c r="I917" s="34"/>
      <c r="J917" s="34"/>
      <c r="K917" s="34"/>
      <c r="L917" s="34"/>
      <c r="M917" s="34"/>
      <c r="N917" s="34"/>
      <c r="O917" s="34"/>
      <c r="P917" s="34"/>
    </row>
    <row r="918" spans="1:16" ht="12.75">
      <c r="A918" s="34"/>
      <c r="B918" s="33"/>
      <c r="C918" s="34"/>
      <c r="D918" s="33"/>
      <c r="E918" s="34"/>
      <c r="F918" s="34"/>
      <c r="G918" s="34"/>
      <c r="H918" s="30"/>
      <c r="I918" s="34"/>
      <c r="J918" s="34"/>
      <c r="K918" s="34"/>
      <c r="L918" s="34"/>
      <c r="M918" s="34"/>
      <c r="N918" s="34"/>
      <c r="O918" s="34"/>
      <c r="P918" s="34"/>
    </row>
    <row r="919" spans="1:16" ht="12.75">
      <c r="A919" s="34"/>
      <c r="B919" s="33"/>
      <c r="C919" s="34"/>
      <c r="D919" s="33"/>
      <c r="E919" s="34"/>
      <c r="F919" s="34"/>
      <c r="G919" s="34"/>
      <c r="H919" s="30"/>
      <c r="I919" s="34"/>
      <c r="J919" s="34"/>
      <c r="K919" s="34"/>
      <c r="L919" s="34"/>
      <c r="M919" s="34"/>
      <c r="N919" s="34"/>
      <c r="O919" s="34"/>
      <c r="P919" s="34"/>
    </row>
    <row r="920" spans="1:16" ht="12.75">
      <c r="A920" s="34"/>
      <c r="B920" s="33"/>
      <c r="C920" s="34"/>
      <c r="D920" s="33"/>
      <c r="E920" s="34"/>
      <c r="F920" s="34"/>
      <c r="G920" s="34"/>
      <c r="H920" s="30"/>
      <c r="I920" s="34"/>
      <c r="J920" s="34"/>
      <c r="K920" s="34"/>
      <c r="L920" s="34"/>
      <c r="M920" s="34"/>
      <c r="N920" s="34"/>
      <c r="O920" s="34"/>
      <c r="P920" s="34"/>
    </row>
    <row r="921" spans="1:16" ht="12.75">
      <c r="A921" s="34"/>
      <c r="B921" s="33"/>
      <c r="C921" s="34"/>
      <c r="D921" s="33"/>
      <c r="E921" s="34"/>
      <c r="F921" s="34"/>
      <c r="G921" s="34"/>
      <c r="H921" s="30"/>
      <c r="I921" s="34"/>
      <c r="J921" s="34"/>
      <c r="K921" s="34"/>
      <c r="L921" s="34"/>
      <c r="M921" s="34"/>
      <c r="N921" s="34"/>
      <c r="O921" s="34"/>
      <c r="P921" s="34"/>
    </row>
    <row r="922" spans="1:16" ht="12.75">
      <c r="A922" s="34"/>
      <c r="B922" s="33"/>
      <c r="C922" s="34"/>
      <c r="D922" s="33"/>
      <c r="E922" s="34"/>
      <c r="F922" s="34"/>
      <c r="G922" s="34"/>
      <c r="H922" s="30"/>
      <c r="I922" s="34"/>
      <c r="J922" s="34"/>
      <c r="K922" s="34"/>
      <c r="L922" s="34"/>
      <c r="M922" s="34"/>
      <c r="N922" s="34"/>
      <c r="O922" s="34"/>
      <c r="P922" s="34"/>
    </row>
    <row r="923" spans="1:16" ht="12.75">
      <c r="A923" s="34"/>
      <c r="B923" s="33"/>
      <c r="C923" s="34"/>
      <c r="D923" s="33"/>
      <c r="E923" s="34"/>
      <c r="F923" s="34"/>
      <c r="G923" s="34"/>
      <c r="H923" s="30"/>
      <c r="I923" s="34"/>
      <c r="J923" s="34"/>
      <c r="K923" s="34"/>
      <c r="L923" s="34"/>
      <c r="M923" s="34"/>
      <c r="N923" s="34"/>
      <c r="O923" s="34"/>
      <c r="P923" s="34"/>
    </row>
    <row r="924" spans="1:16" ht="12.75">
      <c r="A924" s="34"/>
      <c r="B924" s="33"/>
      <c r="C924" s="34"/>
      <c r="D924" s="33"/>
      <c r="E924" s="34"/>
      <c r="F924" s="34"/>
      <c r="G924" s="34"/>
      <c r="H924" s="30"/>
      <c r="I924" s="34"/>
      <c r="J924" s="34"/>
      <c r="K924" s="34"/>
      <c r="L924" s="34"/>
      <c r="M924" s="34"/>
      <c r="N924" s="34"/>
      <c r="O924" s="34"/>
      <c r="P924" s="34"/>
    </row>
    <row r="925" spans="1:16" ht="12.75">
      <c r="A925" s="34"/>
      <c r="B925" s="33"/>
      <c r="C925" s="34"/>
      <c r="D925" s="33"/>
      <c r="E925" s="34"/>
      <c r="F925" s="34"/>
      <c r="G925" s="34"/>
      <c r="H925" s="30"/>
      <c r="I925" s="34"/>
      <c r="J925" s="34"/>
      <c r="K925" s="34"/>
      <c r="L925" s="34"/>
      <c r="M925" s="34"/>
      <c r="N925" s="34"/>
      <c r="O925" s="34"/>
      <c r="P925" s="34"/>
    </row>
    <row r="926" spans="1:16" ht="12.75">
      <c r="A926" s="34"/>
      <c r="B926" s="33"/>
      <c r="C926" s="34"/>
      <c r="D926" s="33"/>
      <c r="E926" s="34"/>
      <c r="F926" s="34"/>
      <c r="G926" s="34"/>
      <c r="H926" s="30"/>
      <c r="I926" s="34"/>
      <c r="J926" s="34"/>
      <c r="K926" s="34"/>
      <c r="L926" s="34"/>
      <c r="M926" s="34"/>
      <c r="N926" s="34"/>
      <c r="O926" s="34"/>
      <c r="P926" s="34"/>
    </row>
    <row r="927" spans="1:16" ht="12.75">
      <c r="A927" s="34"/>
      <c r="B927" s="33"/>
      <c r="C927" s="34"/>
      <c r="D927" s="33"/>
      <c r="E927" s="34"/>
      <c r="F927" s="34"/>
      <c r="G927" s="34"/>
      <c r="H927" s="30"/>
      <c r="I927" s="34"/>
      <c r="J927" s="34"/>
      <c r="K927" s="34"/>
      <c r="L927" s="34"/>
      <c r="M927" s="34"/>
      <c r="N927" s="34"/>
      <c r="O927" s="34"/>
      <c r="P927" s="34"/>
    </row>
    <row r="928" spans="1:16" ht="12.75">
      <c r="A928" s="34"/>
      <c r="B928" s="33"/>
      <c r="C928" s="34"/>
      <c r="D928" s="33"/>
      <c r="E928" s="34"/>
      <c r="F928" s="34"/>
      <c r="G928" s="34"/>
      <c r="H928" s="30"/>
      <c r="I928" s="34"/>
      <c r="J928" s="34"/>
      <c r="K928" s="34"/>
      <c r="L928" s="34"/>
      <c r="M928" s="34"/>
      <c r="N928" s="34"/>
      <c r="O928" s="34"/>
      <c r="P928" s="34"/>
    </row>
    <row r="929" spans="1:16" ht="12.75">
      <c r="A929" s="34"/>
      <c r="B929" s="33"/>
      <c r="C929" s="34"/>
      <c r="D929" s="33"/>
      <c r="E929" s="34"/>
      <c r="F929" s="34"/>
      <c r="G929" s="34"/>
      <c r="H929" s="30"/>
      <c r="I929" s="34"/>
      <c r="J929" s="34"/>
      <c r="K929" s="34"/>
      <c r="L929" s="34"/>
      <c r="M929" s="34"/>
      <c r="N929" s="34"/>
      <c r="O929" s="34"/>
      <c r="P929" s="34"/>
    </row>
    <row r="930" spans="1:16" ht="12.75">
      <c r="A930" s="34"/>
      <c r="B930" s="33"/>
      <c r="C930" s="34"/>
      <c r="D930" s="33"/>
      <c r="E930" s="34"/>
      <c r="F930" s="34"/>
      <c r="G930" s="34"/>
      <c r="H930" s="30"/>
      <c r="I930" s="34"/>
      <c r="J930" s="34"/>
      <c r="K930" s="34"/>
      <c r="L930" s="34"/>
      <c r="M930" s="34"/>
      <c r="N930" s="34"/>
      <c r="O930" s="34"/>
      <c r="P930" s="34"/>
    </row>
    <row r="931" spans="1:16" ht="12.75">
      <c r="A931" s="34"/>
      <c r="B931" s="33"/>
      <c r="C931" s="34"/>
      <c r="D931" s="33"/>
      <c r="E931" s="34"/>
      <c r="F931" s="34"/>
      <c r="G931" s="34"/>
      <c r="H931" s="30"/>
      <c r="I931" s="34"/>
      <c r="J931" s="34"/>
      <c r="K931" s="34"/>
      <c r="L931" s="34"/>
      <c r="M931" s="34"/>
      <c r="N931" s="34"/>
      <c r="O931" s="34"/>
      <c r="P931" s="34"/>
    </row>
    <row r="932" spans="1:16" ht="12.75">
      <c r="A932" s="34"/>
      <c r="B932" s="33"/>
      <c r="C932" s="34"/>
      <c r="D932" s="33"/>
      <c r="E932" s="34"/>
      <c r="F932" s="34"/>
      <c r="G932" s="34"/>
      <c r="H932" s="30"/>
      <c r="I932" s="34"/>
      <c r="J932" s="34"/>
      <c r="K932" s="34"/>
      <c r="L932" s="34"/>
      <c r="M932" s="34"/>
      <c r="N932" s="34"/>
      <c r="O932" s="34"/>
      <c r="P932" s="34"/>
    </row>
    <row r="933" spans="1:16" ht="12.75">
      <c r="A933" s="34"/>
      <c r="B933" s="33"/>
      <c r="C933" s="34"/>
      <c r="D933" s="33"/>
      <c r="E933" s="34"/>
      <c r="F933" s="34"/>
      <c r="G933" s="34"/>
      <c r="H933" s="30"/>
      <c r="I933" s="34"/>
      <c r="J933" s="34"/>
      <c r="K933" s="34"/>
      <c r="L933" s="34"/>
      <c r="M933" s="34"/>
      <c r="N933" s="34"/>
      <c r="O933" s="34"/>
      <c r="P933" s="34"/>
    </row>
    <row r="934" spans="1:16" ht="12.75">
      <c r="A934" s="34"/>
      <c r="B934" s="33"/>
      <c r="C934" s="34"/>
      <c r="D934" s="33"/>
      <c r="E934" s="34"/>
      <c r="F934" s="34"/>
      <c r="G934" s="34"/>
      <c r="H934" s="30"/>
      <c r="I934" s="34"/>
      <c r="J934" s="34"/>
      <c r="K934" s="34"/>
      <c r="L934" s="34"/>
      <c r="M934" s="34"/>
      <c r="N934" s="34"/>
      <c r="O934" s="34"/>
      <c r="P934" s="34"/>
    </row>
    <row r="935" spans="1:16" ht="12.75">
      <c r="A935" s="34"/>
      <c r="B935" s="33"/>
      <c r="C935" s="34"/>
      <c r="D935" s="33"/>
      <c r="E935" s="34"/>
      <c r="F935" s="34"/>
      <c r="G935" s="34"/>
      <c r="H935" s="30"/>
      <c r="I935" s="34"/>
      <c r="J935" s="34"/>
      <c r="K935" s="34"/>
      <c r="L935" s="34"/>
      <c r="M935" s="34"/>
      <c r="N935" s="34"/>
      <c r="O935" s="34"/>
      <c r="P935" s="34"/>
    </row>
    <row r="936" spans="1:16" ht="12.75">
      <c r="A936" s="34"/>
      <c r="B936" s="33"/>
      <c r="C936" s="34"/>
      <c r="D936" s="33"/>
      <c r="E936" s="34"/>
      <c r="F936" s="34"/>
      <c r="G936" s="34"/>
      <c r="H936" s="30"/>
      <c r="I936" s="34"/>
      <c r="J936" s="34"/>
      <c r="K936" s="34"/>
      <c r="L936" s="34"/>
      <c r="M936" s="34"/>
      <c r="N936" s="34"/>
      <c r="O936" s="34"/>
      <c r="P936" s="34"/>
    </row>
    <row r="937" spans="1:16" ht="12.75">
      <c r="A937" s="34"/>
      <c r="B937" s="33"/>
      <c r="C937" s="34"/>
      <c r="D937" s="33"/>
      <c r="E937" s="34"/>
      <c r="F937" s="34"/>
      <c r="G937" s="34"/>
      <c r="H937" s="30"/>
      <c r="I937" s="34"/>
      <c r="J937" s="34"/>
      <c r="K937" s="34"/>
      <c r="L937" s="34"/>
      <c r="M937" s="34"/>
      <c r="N937" s="34"/>
      <c r="O937" s="34"/>
      <c r="P937" s="34"/>
    </row>
    <row r="938" spans="1:16" ht="12.75">
      <c r="A938" s="34"/>
      <c r="B938" s="33"/>
      <c r="C938" s="34"/>
      <c r="D938" s="33"/>
      <c r="E938" s="34"/>
      <c r="F938" s="34"/>
      <c r="G938" s="34"/>
      <c r="H938" s="30"/>
      <c r="I938" s="34"/>
      <c r="J938" s="34"/>
      <c r="K938" s="34"/>
      <c r="L938" s="34"/>
      <c r="M938" s="34"/>
      <c r="N938" s="34"/>
      <c r="O938" s="34"/>
      <c r="P938" s="34"/>
    </row>
    <row r="939" spans="1:16" ht="12.75">
      <c r="A939" s="34"/>
      <c r="B939" s="33"/>
      <c r="C939" s="34"/>
      <c r="D939" s="33"/>
      <c r="E939" s="34"/>
      <c r="F939" s="34"/>
      <c r="G939" s="34"/>
      <c r="H939" s="30"/>
      <c r="I939" s="34"/>
      <c r="J939" s="34"/>
      <c r="K939" s="34"/>
      <c r="L939" s="34"/>
      <c r="M939" s="34"/>
      <c r="N939" s="34"/>
      <c r="O939" s="34"/>
      <c r="P939" s="34"/>
    </row>
    <row r="940" spans="1:16" ht="12.75">
      <c r="A940" s="34"/>
      <c r="B940" s="33"/>
      <c r="C940" s="34"/>
      <c r="D940" s="33"/>
      <c r="E940" s="34"/>
      <c r="F940" s="34"/>
      <c r="G940" s="34"/>
      <c r="H940" s="30"/>
      <c r="I940" s="34"/>
      <c r="J940" s="34"/>
      <c r="K940" s="34"/>
      <c r="L940" s="34"/>
      <c r="M940" s="34"/>
      <c r="N940" s="34"/>
      <c r="O940" s="34"/>
      <c r="P940" s="34"/>
    </row>
    <row r="941" spans="1:16" ht="12.75">
      <c r="A941" s="34"/>
      <c r="B941" s="33"/>
      <c r="C941" s="34"/>
      <c r="D941" s="33"/>
      <c r="E941" s="34"/>
      <c r="F941" s="34"/>
      <c r="G941" s="34"/>
      <c r="H941" s="30"/>
      <c r="I941" s="34"/>
      <c r="J941" s="34"/>
      <c r="K941" s="34"/>
      <c r="L941" s="34"/>
      <c r="M941" s="34"/>
      <c r="N941" s="34"/>
      <c r="O941" s="34"/>
      <c r="P941" s="34"/>
    </row>
    <row r="942" spans="1:16" ht="12.75">
      <c r="A942" s="34"/>
      <c r="B942" s="33"/>
      <c r="C942" s="34"/>
      <c r="D942" s="33"/>
      <c r="E942" s="34"/>
      <c r="F942" s="34"/>
      <c r="G942" s="34"/>
      <c r="H942" s="30"/>
      <c r="I942" s="34"/>
      <c r="J942" s="34"/>
      <c r="K942" s="34"/>
      <c r="L942" s="34"/>
      <c r="M942" s="34"/>
      <c r="N942" s="34"/>
      <c r="O942" s="34"/>
      <c r="P942" s="34"/>
    </row>
    <row r="943" spans="1:16" ht="12.75">
      <c r="A943" s="34"/>
      <c r="B943" s="33"/>
      <c r="C943" s="34"/>
      <c r="D943" s="33"/>
      <c r="E943" s="34"/>
      <c r="F943" s="34"/>
      <c r="G943" s="34"/>
      <c r="H943" s="30"/>
      <c r="I943" s="34"/>
      <c r="J943" s="34"/>
      <c r="K943" s="34"/>
      <c r="L943" s="34"/>
      <c r="M943" s="34"/>
      <c r="N943" s="34"/>
      <c r="O943" s="34"/>
      <c r="P943" s="34"/>
    </row>
    <row r="944" spans="1:16" ht="12.75">
      <c r="A944" s="34"/>
      <c r="B944" s="33"/>
      <c r="C944" s="34"/>
      <c r="D944" s="33"/>
      <c r="E944" s="34"/>
      <c r="F944" s="34"/>
      <c r="G944" s="34"/>
      <c r="H944" s="30"/>
      <c r="I944" s="34"/>
      <c r="J944" s="34"/>
      <c r="K944" s="34"/>
      <c r="L944" s="34"/>
      <c r="M944" s="34"/>
      <c r="N944" s="34"/>
      <c r="O944" s="34"/>
      <c r="P944" s="34"/>
    </row>
    <row r="945" spans="1:16" ht="12.75">
      <c r="A945" s="34"/>
      <c r="B945" s="33"/>
      <c r="C945" s="34"/>
      <c r="D945" s="33"/>
      <c r="E945" s="34"/>
      <c r="F945" s="34"/>
      <c r="G945" s="34"/>
      <c r="H945" s="30"/>
      <c r="I945" s="34"/>
      <c r="J945" s="34"/>
      <c r="K945" s="34"/>
      <c r="L945" s="34"/>
      <c r="M945" s="34"/>
      <c r="N945" s="34"/>
      <c r="O945" s="34"/>
      <c r="P945" s="34"/>
    </row>
    <row r="946" spans="1:16" ht="12.75">
      <c r="A946" s="34"/>
      <c r="B946" s="33"/>
      <c r="C946" s="34"/>
      <c r="D946" s="33"/>
      <c r="E946" s="34"/>
      <c r="F946" s="34"/>
      <c r="G946" s="34"/>
      <c r="H946" s="30"/>
      <c r="I946" s="34"/>
      <c r="J946" s="34"/>
      <c r="K946" s="34"/>
      <c r="L946" s="34"/>
      <c r="M946" s="34"/>
      <c r="N946" s="34"/>
      <c r="O946" s="34"/>
      <c r="P946" s="34"/>
    </row>
    <row r="947" spans="1:16" ht="12.75">
      <c r="A947" s="34"/>
      <c r="B947" s="33"/>
      <c r="C947" s="34"/>
      <c r="D947" s="33"/>
      <c r="E947" s="34"/>
      <c r="F947" s="34"/>
      <c r="G947" s="34"/>
      <c r="H947" s="30"/>
      <c r="I947" s="34"/>
      <c r="J947" s="34"/>
      <c r="K947" s="34"/>
      <c r="L947" s="34"/>
      <c r="M947" s="34"/>
      <c r="N947" s="34"/>
      <c r="O947" s="34"/>
      <c r="P947" s="34"/>
    </row>
    <row r="948" spans="1:16" ht="12.75">
      <c r="A948" s="34"/>
      <c r="B948" s="33"/>
      <c r="C948" s="34"/>
      <c r="D948" s="33"/>
      <c r="E948" s="34"/>
      <c r="F948" s="34"/>
      <c r="G948" s="34"/>
      <c r="H948" s="30"/>
      <c r="I948" s="34"/>
      <c r="J948" s="34"/>
      <c r="K948" s="34"/>
      <c r="L948" s="34"/>
      <c r="M948" s="34"/>
      <c r="N948" s="34"/>
      <c r="O948" s="34"/>
      <c r="P948" s="34"/>
    </row>
    <row r="949" spans="1:16" ht="12.75">
      <c r="A949" s="34"/>
      <c r="B949" s="33"/>
      <c r="C949" s="34"/>
      <c r="D949" s="33"/>
      <c r="E949" s="34"/>
      <c r="F949" s="34"/>
      <c r="G949" s="34"/>
      <c r="H949" s="30"/>
      <c r="I949" s="34"/>
      <c r="J949" s="34"/>
      <c r="K949" s="34"/>
      <c r="L949" s="34"/>
      <c r="M949" s="34"/>
      <c r="N949" s="34"/>
      <c r="O949" s="34"/>
      <c r="P949" s="34"/>
    </row>
    <row r="950" spans="1:16" ht="12.75">
      <c r="A950" s="34"/>
      <c r="B950" s="33"/>
      <c r="C950" s="34"/>
      <c r="D950" s="33"/>
      <c r="E950" s="34"/>
      <c r="F950" s="34"/>
      <c r="G950" s="34"/>
      <c r="H950" s="30"/>
      <c r="I950" s="34"/>
      <c r="J950" s="34"/>
      <c r="K950" s="34"/>
      <c r="L950" s="34"/>
      <c r="M950" s="34"/>
      <c r="N950" s="34"/>
      <c r="O950" s="34"/>
      <c r="P950" s="34"/>
    </row>
    <row r="951" spans="1:16" ht="12.75">
      <c r="A951" s="34"/>
      <c r="B951" s="33"/>
      <c r="C951" s="34"/>
      <c r="D951" s="33"/>
      <c r="E951" s="34"/>
      <c r="F951" s="34"/>
      <c r="G951" s="34"/>
      <c r="H951" s="30"/>
      <c r="I951" s="34"/>
      <c r="J951" s="34"/>
      <c r="K951" s="34"/>
      <c r="L951" s="34"/>
      <c r="M951" s="34"/>
      <c r="N951" s="34"/>
      <c r="O951" s="34"/>
      <c r="P951" s="34"/>
    </row>
    <row r="952" spans="1:16" ht="12.75">
      <c r="A952" s="34"/>
      <c r="B952" s="33"/>
      <c r="C952" s="34"/>
      <c r="D952" s="33"/>
      <c r="E952" s="34"/>
      <c r="F952" s="34"/>
      <c r="G952" s="34"/>
      <c r="H952" s="30"/>
      <c r="I952" s="34"/>
      <c r="J952" s="34"/>
      <c r="K952" s="34"/>
      <c r="L952" s="34"/>
      <c r="M952" s="34"/>
      <c r="N952" s="34"/>
      <c r="O952" s="34"/>
      <c r="P952" s="34"/>
    </row>
    <row r="953" spans="1:16" ht="12.75">
      <c r="A953" s="34"/>
      <c r="B953" s="33"/>
      <c r="C953" s="34"/>
      <c r="D953" s="33"/>
      <c r="E953" s="34"/>
      <c r="F953" s="34"/>
      <c r="G953" s="34"/>
      <c r="H953" s="30"/>
      <c r="I953" s="34"/>
      <c r="J953" s="34"/>
      <c r="K953" s="34"/>
      <c r="L953" s="34"/>
      <c r="M953" s="34"/>
      <c r="N953" s="34"/>
      <c r="O953" s="34"/>
      <c r="P953" s="34"/>
    </row>
    <row r="954" spans="1:16" ht="12.75">
      <c r="A954" s="34"/>
      <c r="B954" s="33"/>
      <c r="C954" s="34"/>
      <c r="D954" s="33"/>
      <c r="E954" s="34"/>
      <c r="F954" s="34"/>
      <c r="G954" s="34"/>
      <c r="H954" s="30"/>
      <c r="I954" s="34"/>
      <c r="J954" s="34"/>
      <c r="K954" s="34"/>
      <c r="L954" s="34"/>
      <c r="M954" s="34"/>
      <c r="N954" s="34"/>
      <c r="O954" s="34"/>
      <c r="P954" s="34"/>
    </row>
    <row r="955" spans="1:16" ht="12.75">
      <c r="A955" s="34"/>
      <c r="B955" s="33"/>
      <c r="C955" s="34"/>
      <c r="D955" s="33"/>
      <c r="E955" s="34"/>
      <c r="F955" s="34"/>
      <c r="G955" s="34"/>
      <c r="H955" s="30"/>
      <c r="I955" s="34"/>
      <c r="J955" s="34"/>
      <c r="K955" s="34"/>
      <c r="L955" s="34"/>
      <c r="M955" s="34"/>
      <c r="N955" s="34"/>
      <c r="O955" s="34"/>
      <c r="P955" s="34"/>
    </row>
    <row r="956" spans="1:16" ht="12.75">
      <c r="A956" s="34"/>
      <c r="B956" s="33"/>
      <c r="C956" s="34"/>
      <c r="D956" s="33"/>
      <c r="E956" s="34"/>
      <c r="F956" s="34"/>
      <c r="G956" s="34"/>
      <c r="H956" s="30"/>
      <c r="I956" s="34"/>
      <c r="J956" s="34"/>
      <c r="K956" s="34"/>
      <c r="L956" s="34"/>
      <c r="M956" s="34"/>
      <c r="N956" s="34"/>
      <c r="O956" s="34"/>
      <c r="P956" s="34"/>
    </row>
    <row r="957" spans="1:16" ht="12.75">
      <c r="A957" s="34"/>
      <c r="B957" s="33"/>
      <c r="C957" s="34"/>
      <c r="D957" s="33"/>
      <c r="E957" s="34"/>
      <c r="F957" s="34"/>
      <c r="G957" s="34"/>
      <c r="H957" s="30"/>
      <c r="I957" s="34"/>
      <c r="J957" s="34"/>
      <c r="K957" s="34"/>
      <c r="L957" s="34"/>
      <c r="M957" s="34"/>
      <c r="N957" s="34"/>
      <c r="O957" s="34"/>
      <c r="P957" s="34"/>
    </row>
    <row r="958" spans="1:16" ht="12.75">
      <c r="A958" s="34"/>
      <c r="B958" s="33"/>
      <c r="C958" s="34"/>
      <c r="D958" s="33"/>
      <c r="E958" s="34"/>
      <c r="F958" s="34"/>
      <c r="G958" s="34"/>
      <c r="H958" s="30"/>
      <c r="I958" s="34"/>
      <c r="J958" s="34"/>
      <c r="K958" s="34"/>
      <c r="L958" s="34"/>
      <c r="M958" s="34"/>
      <c r="N958" s="34"/>
      <c r="O958" s="34"/>
      <c r="P958" s="34"/>
    </row>
    <row r="959" spans="1:16" ht="12.75">
      <c r="A959" s="34"/>
      <c r="B959" s="33"/>
      <c r="C959" s="34"/>
      <c r="D959" s="33"/>
      <c r="E959" s="34"/>
      <c r="F959" s="34"/>
      <c r="G959" s="34"/>
      <c r="H959" s="30"/>
      <c r="I959" s="34"/>
      <c r="J959" s="34"/>
      <c r="K959" s="34"/>
      <c r="L959" s="34"/>
      <c r="M959" s="34"/>
      <c r="N959" s="34"/>
      <c r="O959" s="34"/>
      <c r="P959" s="34"/>
    </row>
    <row r="960" spans="1:16" ht="12.75">
      <c r="A960" s="34"/>
      <c r="B960" s="33"/>
      <c r="C960" s="34"/>
      <c r="D960" s="33"/>
      <c r="E960" s="34"/>
      <c r="F960" s="34"/>
      <c r="G960" s="34"/>
      <c r="H960" s="30"/>
      <c r="I960" s="34"/>
      <c r="J960" s="34"/>
      <c r="K960" s="34"/>
      <c r="L960" s="34"/>
      <c r="M960" s="34"/>
      <c r="N960" s="34"/>
      <c r="O960" s="34"/>
      <c r="P960" s="34"/>
    </row>
    <row r="961" spans="1:16" ht="12.75">
      <c r="A961" s="34"/>
      <c r="B961" s="33"/>
      <c r="C961" s="34"/>
      <c r="D961" s="33"/>
      <c r="E961" s="34"/>
      <c r="F961" s="34"/>
      <c r="G961" s="34"/>
      <c r="H961" s="30"/>
      <c r="I961" s="34"/>
      <c r="J961" s="34"/>
      <c r="K961" s="34"/>
      <c r="L961" s="34"/>
      <c r="M961" s="34"/>
      <c r="N961" s="34"/>
      <c r="O961" s="34"/>
      <c r="P961" s="34"/>
    </row>
    <row r="962" spans="1:16" ht="12.75">
      <c r="A962" s="34"/>
      <c r="B962" s="33"/>
      <c r="C962" s="34"/>
      <c r="D962" s="33"/>
      <c r="E962" s="34"/>
      <c r="F962" s="34"/>
      <c r="G962" s="34"/>
      <c r="H962" s="30"/>
      <c r="I962" s="34"/>
      <c r="J962" s="34"/>
      <c r="K962" s="34"/>
      <c r="L962" s="34"/>
      <c r="M962" s="34"/>
      <c r="N962" s="34"/>
      <c r="O962" s="34"/>
      <c r="P962" s="34"/>
    </row>
    <row r="963" spans="1:16" ht="12.75">
      <c r="A963" s="34"/>
      <c r="B963" s="33"/>
      <c r="C963" s="34"/>
      <c r="D963" s="33"/>
      <c r="E963" s="34"/>
      <c r="F963" s="34"/>
      <c r="G963" s="34"/>
      <c r="H963" s="30"/>
      <c r="I963" s="34"/>
      <c r="J963" s="34"/>
      <c r="K963" s="34"/>
      <c r="L963" s="34"/>
      <c r="M963" s="34"/>
      <c r="N963" s="34"/>
      <c r="O963" s="34"/>
      <c r="P963" s="34"/>
    </row>
    <row r="964" spans="1:16" ht="12.75">
      <c r="A964" s="34"/>
      <c r="B964" s="33"/>
      <c r="C964" s="34"/>
      <c r="D964" s="33"/>
      <c r="E964" s="34"/>
      <c r="F964" s="34"/>
      <c r="G964" s="34"/>
      <c r="H964" s="30"/>
      <c r="I964" s="34"/>
      <c r="J964" s="34"/>
      <c r="K964" s="34"/>
      <c r="L964" s="34"/>
      <c r="M964" s="34"/>
      <c r="N964" s="34"/>
      <c r="O964" s="34"/>
      <c r="P964" s="34"/>
    </row>
    <row r="965" spans="1:16" ht="12.75">
      <c r="A965" s="34"/>
      <c r="B965" s="33"/>
      <c r="C965" s="34"/>
      <c r="D965" s="33"/>
      <c r="E965" s="34"/>
      <c r="F965" s="34"/>
      <c r="G965" s="34"/>
      <c r="H965" s="30"/>
      <c r="I965" s="34"/>
      <c r="J965" s="34"/>
      <c r="K965" s="34"/>
      <c r="L965" s="34"/>
      <c r="M965" s="34"/>
      <c r="N965" s="34"/>
      <c r="O965" s="34"/>
      <c r="P965" s="34"/>
    </row>
    <row r="966" spans="1:16" ht="12.75">
      <c r="A966" s="34"/>
      <c r="B966" s="33"/>
      <c r="C966" s="34"/>
      <c r="D966" s="33"/>
      <c r="E966" s="34"/>
      <c r="F966" s="34"/>
      <c r="G966" s="34"/>
      <c r="H966" s="30"/>
      <c r="I966" s="34"/>
      <c r="J966" s="34"/>
      <c r="K966" s="34"/>
      <c r="L966" s="34"/>
      <c r="M966" s="34"/>
      <c r="N966" s="34"/>
      <c r="O966" s="34"/>
      <c r="P966" s="34"/>
    </row>
    <row r="967" spans="1:16" ht="12.75">
      <c r="A967" s="34"/>
      <c r="B967" s="33"/>
      <c r="C967" s="34"/>
      <c r="D967" s="33"/>
      <c r="E967" s="34"/>
      <c r="F967" s="34"/>
      <c r="G967" s="34"/>
      <c r="H967" s="30"/>
      <c r="I967" s="34"/>
      <c r="J967" s="34"/>
      <c r="K967" s="34"/>
      <c r="L967" s="34"/>
      <c r="M967" s="34"/>
      <c r="N967" s="34"/>
      <c r="O967" s="34"/>
      <c r="P967" s="34"/>
    </row>
    <row r="968" spans="1:16" ht="12.75">
      <c r="A968" s="34"/>
      <c r="B968" s="33"/>
      <c r="C968" s="34"/>
      <c r="D968" s="33"/>
      <c r="E968" s="34"/>
      <c r="F968" s="34"/>
      <c r="G968" s="34"/>
      <c r="H968" s="30"/>
      <c r="I968" s="34"/>
      <c r="J968" s="34"/>
      <c r="K968" s="34"/>
      <c r="L968" s="34"/>
      <c r="M968" s="34"/>
      <c r="N968" s="34"/>
      <c r="O968" s="34"/>
      <c r="P968" s="34"/>
    </row>
    <row r="969" spans="1:16" ht="12.75">
      <c r="A969" s="34"/>
      <c r="B969" s="33"/>
      <c r="C969" s="34"/>
      <c r="D969" s="33"/>
      <c r="E969" s="34"/>
      <c r="F969" s="34"/>
      <c r="G969" s="34"/>
      <c r="H969" s="30"/>
      <c r="I969" s="34"/>
      <c r="J969" s="34"/>
      <c r="K969" s="34"/>
      <c r="L969" s="34"/>
      <c r="M969" s="34"/>
      <c r="N969" s="34"/>
      <c r="O969" s="34"/>
      <c r="P969" s="34"/>
    </row>
    <row r="970" spans="1:16" ht="12.75">
      <c r="A970" s="34"/>
      <c r="B970" s="33"/>
      <c r="C970" s="34"/>
      <c r="D970" s="33"/>
      <c r="E970" s="34"/>
      <c r="F970" s="34"/>
      <c r="G970" s="34"/>
      <c r="H970" s="30"/>
      <c r="I970" s="34"/>
      <c r="J970" s="34"/>
      <c r="K970" s="34"/>
      <c r="L970" s="34"/>
      <c r="M970" s="34"/>
      <c r="N970" s="34"/>
      <c r="O970" s="34"/>
      <c r="P970" s="34"/>
    </row>
    <row r="971" spans="1:16" ht="12.75">
      <c r="A971" s="34"/>
      <c r="B971" s="33"/>
      <c r="C971" s="34"/>
      <c r="D971" s="33"/>
      <c r="E971" s="34"/>
      <c r="F971" s="34"/>
      <c r="G971" s="34"/>
      <c r="H971" s="30"/>
      <c r="I971" s="34"/>
      <c r="J971" s="34"/>
      <c r="K971" s="34"/>
      <c r="L971" s="34"/>
      <c r="M971" s="34"/>
      <c r="N971" s="34"/>
      <c r="O971" s="34"/>
      <c r="P971" s="34"/>
    </row>
    <row r="972" spans="1:16" ht="12.75">
      <c r="A972" s="34"/>
      <c r="B972" s="33"/>
      <c r="C972" s="34"/>
      <c r="D972" s="33"/>
      <c r="E972" s="34"/>
      <c r="F972" s="34"/>
      <c r="G972" s="34"/>
      <c r="H972" s="30"/>
      <c r="I972" s="34"/>
      <c r="J972" s="34"/>
      <c r="K972" s="34"/>
      <c r="L972" s="34"/>
      <c r="M972" s="34"/>
      <c r="N972" s="34"/>
      <c r="O972" s="34"/>
      <c r="P972" s="34"/>
    </row>
    <row r="973" spans="1:16" ht="12.75">
      <c r="A973" s="34"/>
      <c r="B973" s="33"/>
      <c r="C973" s="34"/>
      <c r="D973" s="33"/>
      <c r="E973" s="34"/>
      <c r="F973" s="34"/>
      <c r="G973" s="34"/>
      <c r="H973" s="30"/>
      <c r="I973" s="34"/>
      <c r="J973" s="34"/>
      <c r="K973" s="34"/>
      <c r="L973" s="34"/>
      <c r="M973" s="34"/>
      <c r="N973" s="34"/>
      <c r="O973" s="34"/>
      <c r="P973" s="34"/>
    </row>
    <row r="974" spans="1:16" ht="12.75">
      <c r="A974" s="34"/>
      <c r="B974" s="33"/>
      <c r="C974" s="34"/>
      <c r="D974" s="33"/>
      <c r="E974" s="34"/>
      <c r="F974" s="34"/>
      <c r="G974" s="34"/>
      <c r="H974" s="30"/>
      <c r="I974" s="34"/>
      <c r="J974" s="34"/>
      <c r="K974" s="34"/>
      <c r="L974" s="34"/>
      <c r="M974" s="34"/>
      <c r="N974" s="34"/>
      <c r="O974" s="34"/>
      <c r="P974" s="34"/>
    </row>
    <row r="975" spans="1:16" ht="12.75">
      <c r="A975" s="34"/>
      <c r="B975" s="33"/>
      <c r="C975" s="34"/>
      <c r="D975" s="33"/>
      <c r="E975" s="34"/>
      <c r="F975" s="34"/>
      <c r="G975" s="34"/>
      <c r="H975" s="30"/>
      <c r="I975" s="34"/>
      <c r="J975" s="34"/>
      <c r="K975" s="34"/>
      <c r="L975" s="34"/>
      <c r="M975" s="34"/>
      <c r="N975" s="34"/>
      <c r="O975" s="34"/>
      <c r="P975" s="34"/>
    </row>
    <row r="976" spans="1:16" ht="12.75">
      <c r="A976" s="34"/>
      <c r="B976" s="33"/>
      <c r="C976" s="34"/>
      <c r="D976" s="33"/>
      <c r="E976" s="34"/>
      <c r="F976" s="34"/>
      <c r="G976" s="34"/>
      <c r="H976" s="30"/>
      <c r="I976" s="34"/>
      <c r="J976" s="34"/>
      <c r="K976" s="34"/>
      <c r="L976" s="34"/>
      <c r="M976" s="34"/>
      <c r="N976" s="34"/>
      <c r="O976" s="34"/>
      <c r="P976" s="34"/>
    </row>
    <row r="977" spans="1:16" ht="12.75">
      <c r="A977" s="34"/>
      <c r="B977" s="33"/>
      <c r="C977" s="34"/>
      <c r="D977" s="33"/>
      <c r="E977" s="34"/>
      <c r="F977" s="34"/>
      <c r="G977" s="34"/>
      <c r="H977" s="30"/>
      <c r="I977" s="34"/>
      <c r="J977" s="34"/>
      <c r="K977" s="34"/>
      <c r="L977" s="34"/>
      <c r="M977" s="34"/>
      <c r="N977" s="34"/>
      <c r="O977" s="34"/>
      <c r="P977" s="34"/>
    </row>
    <row r="978" spans="1:16" ht="12.75">
      <c r="A978" s="34"/>
      <c r="B978" s="33"/>
      <c r="C978" s="34"/>
      <c r="D978" s="33"/>
      <c r="E978" s="34"/>
      <c r="F978" s="34"/>
      <c r="G978" s="34"/>
      <c r="H978" s="30"/>
      <c r="I978" s="34"/>
      <c r="J978" s="34"/>
      <c r="K978" s="34"/>
      <c r="L978" s="34"/>
      <c r="M978" s="34"/>
      <c r="N978" s="34"/>
      <c r="O978" s="34"/>
      <c r="P978" s="34"/>
    </row>
    <row r="979" spans="1:16" ht="12.75">
      <c r="A979" s="34"/>
      <c r="B979" s="33"/>
      <c r="C979" s="34"/>
      <c r="D979" s="33"/>
      <c r="E979" s="34"/>
      <c r="F979" s="34"/>
      <c r="G979" s="34"/>
      <c r="H979" s="30"/>
      <c r="I979" s="34"/>
      <c r="J979" s="34"/>
      <c r="K979" s="34"/>
      <c r="L979" s="34"/>
      <c r="M979" s="34"/>
      <c r="N979" s="34"/>
      <c r="O979" s="34"/>
      <c r="P979" s="34"/>
    </row>
    <row r="980" spans="1:16" ht="12.75">
      <c r="A980" s="34"/>
      <c r="B980" s="33"/>
      <c r="C980" s="34"/>
      <c r="D980" s="33"/>
      <c r="E980" s="34"/>
      <c r="F980" s="34"/>
      <c r="G980" s="34"/>
      <c r="H980" s="30"/>
      <c r="I980" s="34"/>
      <c r="J980" s="34"/>
      <c r="K980" s="34"/>
      <c r="L980" s="34"/>
      <c r="M980" s="34"/>
      <c r="N980" s="34"/>
      <c r="O980" s="34"/>
      <c r="P980" s="34"/>
    </row>
    <row r="981" spans="1:16" ht="12.75">
      <c r="A981" s="34"/>
      <c r="B981" s="33"/>
      <c r="C981" s="34"/>
      <c r="D981" s="33"/>
      <c r="E981" s="34"/>
      <c r="F981" s="34"/>
      <c r="G981" s="34"/>
      <c r="H981" s="30"/>
      <c r="I981" s="34"/>
      <c r="J981" s="34"/>
      <c r="K981" s="34"/>
      <c r="L981" s="34"/>
      <c r="M981" s="34"/>
      <c r="N981" s="34"/>
      <c r="O981" s="34"/>
      <c r="P981" s="34"/>
    </row>
    <row r="982" spans="1:16" ht="12.75">
      <c r="A982" s="34"/>
      <c r="B982" s="33"/>
      <c r="C982" s="34"/>
      <c r="D982" s="33"/>
      <c r="E982" s="34"/>
      <c r="F982" s="34"/>
      <c r="G982" s="34"/>
      <c r="H982" s="30"/>
      <c r="I982" s="34"/>
      <c r="J982" s="34"/>
      <c r="K982" s="34"/>
      <c r="L982" s="34"/>
      <c r="M982" s="34"/>
      <c r="N982" s="34"/>
      <c r="O982" s="34"/>
      <c r="P982" s="34"/>
    </row>
    <row r="983" spans="1:16" ht="12.75">
      <c r="A983" s="34"/>
      <c r="B983" s="33"/>
      <c r="C983" s="34"/>
      <c r="D983" s="33"/>
      <c r="E983" s="34"/>
      <c r="F983" s="34"/>
      <c r="G983" s="34"/>
      <c r="H983" s="30"/>
      <c r="I983" s="34"/>
      <c r="J983" s="34"/>
      <c r="K983" s="34"/>
      <c r="L983" s="34"/>
      <c r="M983" s="34"/>
      <c r="N983" s="34"/>
      <c r="O983" s="34"/>
      <c r="P983" s="34"/>
    </row>
    <row r="984" spans="1:16" ht="12.75">
      <c r="A984" s="34"/>
      <c r="B984" s="33"/>
      <c r="C984" s="34"/>
      <c r="D984" s="33"/>
      <c r="E984" s="34"/>
      <c r="F984" s="34"/>
      <c r="G984" s="34"/>
      <c r="H984" s="30"/>
      <c r="I984" s="34"/>
      <c r="J984" s="34"/>
      <c r="K984" s="34"/>
      <c r="L984" s="34"/>
      <c r="M984" s="34"/>
      <c r="N984" s="34"/>
      <c r="O984" s="34"/>
      <c r="P984" s="34"/>
    </row>
    <row r="985" spans="1:16" ht="12.75">
      <c r="A985" s="34"/>
      <c r="B985" s="33"/>
      <c r="C985" s="34"/>
      <c r="D985" s="33"/>
      <c r="E985" s="34"/>
      <c r="F985" s="34"/>
      <c r="G985" s="34"/>
      <c r="H985" s="30"/>
      <c r="I985" s="34"/>
      <c r="J985" s="34"/>
      <c r="K985" s="34"/>
      <c r="L985" s="34"/>
      <c r="M985" s="34"/>
      <c r="N985" s="34"/>
      <c r="O985" s="34"/>
      <c r="P985" s="34"/>
    </row>
    <row r="986" spans="1:16" ht="12.75">
      <c r="A986" s="34"/>
      <c r="B986" s="33"/>
      <c r="C986" s="34"/>
      <c r="D986" s="33"/>
      <c r="E986" s="34"/>
      <c r="F986" s="34"/>
      <c r="G986" s="34"/>
      <c r="H986" s="30"/>
      <c r="I986" s="34"/>
      <c r="J986" s="34"/>
      <c r="K986" s="34"/>
      <c r="L986" s="34"/>
      <c r="M986" s="34"/>
      <c r="N986" s="34"/>
      <c r="O986" s="34"/>
      <c r="P986" s="34"/>
    </row>
    <row r="987" spans="1:16" ht="12.75">
      <c r="A987" s="34"/>
      <c r="B987" s="33"/>
      <c r="C987" s="34"/>
      <c r="D987" s="33"/>
      <c r="E987" s="34"/>
      <c r="F987" s="34"/>
      <c r="G987" s="34"/>
      <c r="H987" s="30"/>
      <c r="I987" s="34"/>
      <c r="J987" s="34"/>
      <c r="K987" s="34"/>
      <c r="L987" s="34"/>
      <c r="M987" s="34"/>
      <c r="N987" s="34"/>
      <c r="O987" s="34"/>
      <c r="P987" s="34"/>
    </row>
    <row r="988" spans="1:16" ht="12.75">
      <c r="A988" s="34"/>
      <c r="B988" s="33"/>
      <c r="C988" s="34"/>
      <c r="D988" s="33"/>
      <c r="E988" s="34"/>
      <c r="F988" s="34"/>
      <c r="G988" s="34"/>
      <c r="H988" s="30"/>
      <c r="I988" s="34"/>
      <c r="J988" s="34"/>
      <c r="K988" s="34"/>
      <c r="L988" s="34"/>
      <c r="M988" s="34"/>
      <c r="N988" s="34"/>
      <c r="O988" s="34"/>
      <c r="P988" s="34"/>
    </row>
    <row r="989" spans="1:16" ht="12.75">
      <c r="A989" s="34"/>
      <c r="B989" s="33"/>
      <c r="C989" s="34"/>
      <c r="D989" s="33"/>
      <c r="E989" s="34"/>
      <c r="F989" s="34"/>
      <c r="G989" s="34"/>
      <c r="H989" s="30"/>
      <c r="I989" s="34"/>
      <c r="J989" s="34"/>
      <c r="K989" s="34"/>
      <c r="L989" s="34"/>
      <c r="M989" s="34"/>
      <c r="N989" s="34"/>
      <c r="O989" s="34"/>
      <c r="P989" s="34"/>
    </row>
    <row r="990" spans="1:16" ht="12.75">
      <c r="A990" s="34"/>
      <c r="B990" s="33"/>
      <c r="C990" s="34"/>
      <c r="D990" s="33"/>
      <c r="E990" s="34"/>
      <c r="F990" s="34"/>
      <c r="G990" s="34"/>
      <c r="H990" s="30"/>
      <c r="I990" s="34"/>
      <c r="J990" s="34"/>
      <c r="K990" s="34"/>
      <c r="L990" s="34"/>
      <c r="M990" s="34"/>
      <c r="N990" s="34"/>
      <c r="O990" s="34"/>
      <c r="P990" s="34"/>
    </row>
    <row r="991" spans="1:16" ht="12.75">
      <c r="A991" s="34"/>
      <c r="B991" s="33"/>
      <c r="C991" s="34"/>
      <c r="D991" s="33"/>
      <c r="E991" s="34"/>
      <c r="F991" s="34"/>
      <c r="G991" s="34"/>
      <c r="H991" s="30"/>
      <c r="I991" s="34"/>
      <c r="J991" s="34"/>
      <c r="K991" s="34"/>
      <c r="L991" s="34"/>
      <c r="M991" s="34"/>
      <c r="N991" s="34"/>
      <c r="O991" s="34"/>
      <c r="P991" s="34"/>
    </row>
    <row r="992" spans="1:16" ht="12.75">
      <c r="A992" s="34"/>
      <c r="B992" s="33"/>
      <c r="C992" s="34"/>
      <c r="D992" s="33"/>
      <c r="E992" s="34"/>
      <c r="F992" s="34"/>
      <c r="G992" s="34"/>
      <c r="H992" s="30"/>
      <c r="I992" s="34"/>
      <c r="J992" s="34"/>
      <c r="K992" s="34"/>
      <c r="L992" s="34"/>
      <c r="M992" s="34"/>
      <c r="N992" s="34"/>
      <c r="O992" s="34"/>
      <c r="P992" s="34"/>
    </row>
    <row r="993" spans="1:16" ht="12.75">
      <c r="A993" s="34"/>
      <c r="B993" s="33"/>
      <c r="C993" s="34"/>
      <c r="D993" s="33"/>
      <c r="E993" s="34"/>
      <c r="F993" s="34"/>
      <c r="G993" s="34"/>
      <c r="H993" s="30"/>
      <c r="I993" s="34"/>
      <c r="J993" s="34"/>
      <c r="K993" s="34"/>
      <c r="L993" s="34"/>
      <c r="M993" s="34"/>
      <c r="N993" s="34"/>
      <c r="O993" s="34"/>
      <c r="P993" s="34"/>
    </row>
    <row r="994" spans="1:16" ht="12.75">
      <c r="A994" s="34"/>
      <c r="B994" s="33"/>
      <c r="C994" s="34"/>
      <c r="D994" s="33"/>
      <c r="E994" s="34"/>
      <c r="F994" s="34"/>
      <c r="G994" s="34"/>
      <c r="H994" s="30"/>
      <c r="I994" s="34"/>
      <c r="J994" s="34"/>
      <c r="K994" s="34"/>
      <c r="L994" s="34"/>
      <c r="M994" s="34"/>
      <c r="N994" s="34"/>
      <c r="O994" s="34"/>
      <c r="P994" s="34"/>
    </row>
    <row r="995" spans="1:16" ht="12.75">
      <c r="A995" s="34"/>
      <c r="B995" s="33"/>
      <c r="C995" s="34"/>
      <c r="D995" s="33"/>
      <c r="E995" s="34"/>
      <c r="F995" s="34"/>
      <c r="G995" s="34"/>
      <c r="H995" s="30"/>
      <c r="I995" s="34"/>
      <c r="J995" s="34"/>
      <c r="K995" s="34"/>
      <c r="L995" s="34"/>
      <c r="M995" s="34"/>
      <c r="N995" s="34"/>
      <c r="O995" s="34"/>
      <c r="P995" s="34"/>
    </row>
    <row r="996" spans="1:16" ht="12.75">
      <c r="A996" s="34"/>
      <c r="B996" s="33"/>
      <c r="C996" s="34"/>
      <c r="D996" s="33"/>
      <c r="E996" s="34"/>
      <c r="F996" s="34"/>
      <c r="G996" s="34"/>
      <c r="H996" s="30"/>
      <c r="I996" s="34"/>
      <c r="J996" s="34"/>
      <c r="K996" s="34"/>
      <c r="L996" s="34"/>
      <c r="M996" s="34"/>
      <c r="N996" s="34"/>
      <c r="O996" s="34"/>
      <c r="P996" s="34"/>
    </row>
    <row r="997" spans="1:16" ht="12.75">
      <c r="A997" s="34"/>
      <c r="B997" s="33"/>
      <c r="C997" s="34"/>
      <c r="D997" s="33"/>
      <c r="E997" s="34"/>
      <c r="F997" s="34"/>
      <c r="G997" s="34"/>
      <c r="H997" s="30"/>
      <c r="I997" s="34"/>
      <c r="J997" s="34"/>
      <c r="K997" s="34"/>
      <c r="L997" s="34"/>
      <c r="M997" s="34"/>
      <c r="N997" s="34"/>
      <c r="O997" s="34"/>
      <c r="P997" s="34"/>
    </row>
    <row r="998" spans="1:16" ht="12.75">
      <c r="A998" s="34"/>
      <c r="B998" s="33"/>
      <c r="C998" s="34"/>
      <c r="D998" s="33"/>
      <c r="E998" s="34"/>
      <c r="F998" s="34"/>
      <c r="G998" s="34"/>
      <c r="H998" s="30"/>
      <c r="I998" s="34"/>
      <c r="J998" s="34"/>
      <c r="K998" s="34"/>
      <c r="L998" s="34"/>
      <c r="M998" s="34"/>
      <c r="N998" s="34"/>
      <c r="O998" s="34"/>
      <c r="P998" s="34"/>
    </row>
    <row r="999" spans="1:16" ht="12.75">
      <c r="A999" s="34"/>
      <c r="B999" s="33"/>
      <c r="C999" s="34"/>
      <c r="D999" s="33"/>
      <c r="E999" s="34"/>
      <c r="F999" s="34"/>
      <c r="G999" s="34"/>
      <c r="H999" s="30"/>
      <c r="I999" s="34"/>
      <c r="J999" s="34"/>
      <c r="K999" s="34"/>
      <c r="L999" s="34"/>
      <c r="M999" s="34"/>
      <c r="N999" s="34"/>
      <c r="O999" s="34"/>
      <c r="P999" s="34"/>
    </row>
    <row r="1000" spans="1:16" ht="12.75">
      <c r="A1000" s="34"/>
      <c r="B1000" s="33"/>
      <c r="C1000" s="34"/>
      <c r="D1000" s="33"/>
      <c r="E1000" s="34"/>
      <c r="F1000" s="34"/>
      <c r="G1000" s="34"/>
      <c r="H1000" s="30"/>
      <c r="I1000" s="34"/>
      <c r="J1000" s="34"/>
      <c r="K1000" s="34"/>
      <c r="L1000" s="34"/>
      <c r="M1000" s="34"/>
      <c r="N1000" s="34"/>
      <c r="O1000" s="34"/>
      <c r="P1000" s="34"/>
    </row>
    <row r="1001" spans="1:16" ht="12.75">
      <c r="A1001" s="34"/>
      <c r="B1001" s="33"/>
      <c r="C1001" s="34"/>
      <c r="D1001" s="33"/>
      <c r="E1001" s="34"/>
      <c r="F1001" s="34"/>
      <c r="G1001" s="34"/>
      <c r="H1001" s="30"/>
      <c r="I1001" s="34"/>
      <c r="J1001" s="34"/>
      <c r="K1001" s="34"/>
      <c r="L1001" s="34"/>
      <c r="M1001" s="34"/>
      <c r="N1001" s="34"/>
      <c r="O1001" s="34"/>
      <c r="P1001" s="34"/>
    </row>
  </sheetData>
  <mergeCells count="3">
    <mergeCell ref="B2:D2"/>
    <mergeCell ref="A7:G7"/>
    <mergeCell ref="I7:P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ชื่อสินค้า!$A$2:$A1001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EAD3"/>
    <outlinePr summaryBelow="0" summaryRight="0"/>
  </sheetPr>
  <dimension ref="A1:O24"/>
  <sheetViews>
    <sheetView showGridLines="0" workbookViewId="0">
      <selection activeCell="F27" sqref="F27"/>
    </sheetView>
  </sheetViews>
  <sheetFormatPr defaultColWidth="12.5703125" defaultRowHeight="15.75" customHeight="1"/>
  <cols>
    <col min="1" max="1" width="9.5703125" customWidth="1"/>
    <col min="2" max="2" width="11.28515625" customWidth="1"/>
    <col min="3" max="3" width="14.140625" bestFit="1" customWidth="1"/>
  </cols>
  <sheetData>
    <row r="1" spans="1:15" ht="12.75">
      <c r="A1" s="36" t="s">
        <v>40</v>
      </c>
      <c r="B1" s="37">
        <v>2025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2.7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12.7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2.7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2.7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2.7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2.7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12.7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12.7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12.7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12.7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12.7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12.7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2.7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12.7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12.7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12.7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12.75">
      <c r="A18" s="15"/>
      <c r="B18" s="38" t="s">
        <v>41</v>
      </c>
      <c r="C18" s="39">
        <f>DATE($B$1,1,1)</f>
        <v>45658</v>
      </c>
      <c r="D18" s="39">
        <f>DATE($B$1,2,1)</f>
        <v>45689</v>
      </c>
      <c r="E18" s="39">
        <f>DATE($B$1,3,1)</f>
        <v>45717</v>
      </c>
      <c r="F18" s="39">
        <f>DATE($B$1,4,1)</f>
        <v>45748</v>
      </c>
      <c r="G18" s="39">
        <f>DATE($B$1,5,1)</f>
        <v>45778</v>
      </c>
      <c r="H18" s="39">
        <f>DATE($B$1,6,1)</f>
        <v>45809</v>
      </c>
      <c r="I18" s="39">
        <f>DATE($B$1,7,1)</f>
        <v>45839</v>
      </c>
      <c r="J18" s="39">
        <f>DATE($B$1,8,1)</f>
        <v>45870</v>
      </c>
      <c r="K18" s="39">
        <f>DATE($B$1,9,1)</f>
        <v>45901</v>
      </c>
      <c r="L18" s="39">
        <f>DATE($B$1,10,1)</f>
        <v>45931</v>
      </c>
      <c r="M18" s="39">
        <f>DATE($B$1,11,1)</f>
        <v>45962</v>
      </c>
      <c r="N18" s="39">
        <f>DATE($B$1,12,1)</f>
        <v>45992</v>
      </c>
      <c r="O18" s="15"/>
    </row>
    <row r="19" spans="1:15" ht="23.25" customHeight="1">
      <c r="A19" s="15"/>
      <c r="B19" s="40" t="s">
        <v>42</v>
      </c>
      <c r="C19" s="41">
        <v>980500</v>
      </c>
      <c r="D19" s="41">
        <f>SUMIFS(ขายสินค้า!$F:$F,ขายสินค้า!$A:$A,"&gt;="&amp;D$18,ขายสินค้า!$A:$A,"&lt;="&amp;EOMONTH(D$18,0))</f>
        <v>611900</v>
      </c>
      <c r="E19" s="41">
        <f>SUMIFS(ขายสินค้า!$F:$F,ขายสินค้า!$A:$A,"&gt;="&amp;E$18,ขายสินค้า!$A:$A,"&lt;="&amp;EOMONTH(E$18,0))</f>
        <v>0</v>
      </c>
      <c r="F19" s="41">
        <f>SUMIFS(ขายสินค้า!$F:$F,ขายสินค้า!$A:$A,"&gt;="&amp;F$18,ขายสินค้า!$A:$A,"&lt;="&amp;EOMONTH(F$18,0))</f>
        <v>0</v>
      </c>
      <c r="G19" s="41">
        <f>SUMIFS(ขายสินค้า!$F:$F,ขายสินค้า!$A:$A,"&gt;="&amp;G$18,ขายสินค้า!$A:$A,"&lt;="&amp;EOMONTH(G$18,0))</f>
        <v>0</v>
      </c>
      <c r="H19" s="41">
        <f>SUMIFS(ขายสินค้า!$F:$F,ขายสินค้า!$A:$A,"&gt;="&amp;H$18,ขายสินค้า!$A:$A,"&lt;="&amp;EOMONTH(H$18,0))</f>
        <v>0</v>
      </c>
      <c r="I19" s="41">
        <f>SUMIFS(ขายสินค้า!$F:$F,ขายสินค้า!$A:$A,"&gt;="&amp;I$18,ขายสินค้า!$A:$A,"&lt;="&amp;EOMONTH(I$18,0))</f>
        <v>0</v>
      </c>
      <c r="J19" s="41">
        <f>SUMIFS(ขายสินค้า!$F:$F,ขายสินค้า!$A:$A,"&gt;="&amp;J$18,ขายสินค้า!$A:$A,"&lt;="&amp;EOMONTH(J$18,0))</f>
        <v>0</v>
      </c>
      <c r="K19" s="41">
        <f>SUMIFS(ขายสินค้า!$F:$F,ขายสินค้า!$A:$A,"&gt;="&amp;K$18,ขายสินค้า!$A:$A,"&lt;="&amp;EOMONTH(K$18,0))</f>
        <v>0</v>
      </c>
      <c r="L19" s="41">
        <f>SUMIFS(ขายสินค้า!$F:$F,ขายสินค้า!$A:$A,"&gt;="&amp;L$18,ขายสินค้า!$A:$A,"&lt;="&amp;EOMONTH(L$18,0))</f>
        <v>0</v>
      </c>
      <c r="M19" s="41">
        <f>SUMIFS(ขายสินค้า!$F:$F,ขายสินค้า!$A:$A,"&gt;="&amp;M$18,ขายสินค้า!$A:$A,"&lt;="&amp;EOMONTH(M$18,0))</f>
        <v>0</v>
      </c>
      <c r="N19" s="41">
        <f>SUMIFS(ขายสินค้า!$F:$F,ขายสินค้า!$A:$A,"&gt;="&amp;N$18,ขายสินค้า!$A:$A,"&lt;="&amp;EOMONTH(N$18,0))</f>
        <v>0</v>
      </c>
      <c r="O19" s="15"/>
    </row>
    <row r="20" spans="1:15" ht="18" customHeight="1">
      <c r="A20" s="15"/>
      <c r="B20" s="42" t="s">
        <v>20</v>
      </c>
      <c r="C20" s="33">
        <f>SUMIFS(ขายสินค้า!$M:$M,ขายสินค้า!$A:$A,"&gt;="&amp;C$18,ขายสินค้า!$A:$A,"&lt;="&amp;EOMONTH(C$18,0))</f>
        <v>910653.16</v>
      </c>
      <c r="D20" s="33">
        <f>SUMIFS(ขายสินค้า!$M:$M,ขายสินค้า!$A:$A,"&gt;="&amp;D$18,ขายสินค้า!$A:$A,"&lt;="&amp;EOMONTH(D$18,0))</f>
        <v>564500</v>
      </c>
      <c r="E20" s="33">
        <f>SUMIFS(ขายสินค้า!$M:$M,ขายสินค้า!$A:$A,"&gt;="&amp;E$18,ขายสินค้า!$A:$A,"&lt;="&amp;EOMONTH(E$18,0))</f>
        <v>0</v>
      </c>
      <c r="F20" s="33">
        <f>SUMIFS(ขายสินค้า!$M:$M,ขายสินค้า!$A:$A,"&gt;="&amp;F$18,ขายสินค้า!$A:$A,"&lt;="&amp;EOMONTH(F$18,0))</f>
        <v>0</v>
      </c>
      <c r="G20" s="33">
        <f>SUMIFS(ขายสินค้า!$M:$M,ขายสินค้า!$A:$A,"&gt;="&amp;G$18,ขายสินค้า!$A:$A,"&lt;="&amp;EOMONTH(G$18,0))</f>
        <v>0</v>
      </c>
      <c r="H20" s="33">
        <f>SUMIFS(ขายสินค้า!$M:$M,ขายสินค้า!$A:$A,"&gt;="&amp;H$18,ขายสินค้า!$A:$A,"&lt;="&amp;EOMONTH(H$18,0))</f>
        <v>0</v>
      </c>
      <c r="I20" s="33">
        <f>SUMIFS(ขายสินค้า!$M:$M,ขายสินค้า!$A:$A,"&gt;="&amp;I$18,ขายสินค้า!$A:$A,"&lt;="&amp;EOMONTH(I$18,0))</f>
        <v>0</v>
      </c>
      <c r="J20" s="33">
        <f>SUMIFS(ขายสินค้า!$M:$M,ขายสินค้า!$A:$A,"&gt;="&amp;J$18,ขายสินค้า!$A:$A,"&lt;="&amp;EOMONTH(J$18,0))</f>
        <v>0</v>
      </c>
      <c r="K20" s="33">
        <f>SUMIFS(ขายสินค้า!$M:$M,ขายสินค้า!$A:$A,"&gt;="&amp;K$18,ขายสินค้า!$A:$A,"&lt;="&amp;EOMONTH(K$18,0))</f>
        <v>0</v>
      </c>
      <c r="L20" s="33">
        <f>SUMIFS(ขายสินค้า!$M:$M,ขายสินค้า!$A:$A,"&gt;="&amp;L$18,ขายสินค้า!$A:$A,"&lt;="&amp;EOMONTH(L$18,0))</f>
        <v>0</v>
      </c>
      <c r="M20" s="33">
        <f>SUMIFS(ขายสินค้า!$M:$M,ขายสินค้า!$A:$A,"&gt;="&amp;M$18,ขายสินค้า!$A:$A,"&lt;="&amp;EOMONTH(M$18,0))</f>
        <v>0</v>
      </c>
      <c r="N20" s="33">
        <f>SUMIFS(ขายสินค้า!$M:$M,ขายสินค้า!$A:$A,"&gt;="&amp;N$18,ขายสินค้า!$A:$A,"&lt;="&amp;EOMONTH(N$18,0))</f>
        <v>0</v>
      </c>
      <c r="O20" s="15"/>
    </row>
    <row r="21" spans="1:15" ht="20.25" customHeight="1">
      <c r="A21" s="15"/>
      <c r="B21" s="43" t="s">
        <v>43</v>
      </c>
      <c r="C21" s="33">
        <f t="shared" ref="C21:N21" si="0">C19-C20</f>
        <v>69846.839999999967</v>
      </c>
      <c r="D21" s="33">
        <f t="shared" si="0"/>
        <v>47400</v>
      </c>
      <c r="E21" s="33">
        <f t="shared" si="0"/>
        <v>0</v>
      </c>
      <c r="F21" s="33">
        <f t="shared" si="0"/>
        <v>0</v>
      </c>
      <c r="G21" s="33">
        <f t="shared" si="0"/>
        <v>0</v>
      </c>
      <c r="H21" s="33">
        <f t="shared" si="0"/>
        <v>0</v>
      </c>
      <c r="I21" s="33">
        <f t="shared" si="0"/>
        <v>0</v>
      </c>
      <c r="J21" s="33">
        <f t="shared" si="0"/>
        <v>0</v>
      </c>
      <c r="K21" s="33">
        <f t="shared" si="0"/>
        <v>0</v>
      </c>
      <c r="L21" s="33">
        <f t="shared" si="0"/>
        <v>0</v>
      </c>
      <c r="M21" s="33">
        <f t="shared" si="0"/>
        <v>0</v>
      </c>
      <c r="N21" s="33">
        <f t="shared" si="0"/>
        <v>0</v>
      </c>
      <c r="O21" s="15"/>
    </row>
    <row r="22" spans="1:15" ht="21" customHeight="1">
      <c r="A22" s="15"/>
      <c r="B22" s="44" t="s">
        <v>44</v>
      </c>
      <c r="C22" s="35">
        <f t="shared" ref="C22:N22" si="1">IFERROR(C21/C19,0)</f>
        <v>7.1235940846506848E-2</v>
      </c>
      <c r="D22" s="35">
        <f t="shared" si="1"/>
        <v>7.7463637849321781E-2</v>
      </c>
      <c r="E22" s="35">
        <f t="shared" si="1"/>
        <v>0</v>
      </c>
      <c r="F22" s="35">
        <f t="shared" si="1"/>
        <v>0</v>
      </c>
      <c r="G22" s="35">
        <f t="shared" si="1"/>
        <v>0</v>
      </c>
      <c r="H22" s="35">
        <f t="shared" si="1"/>
        <v>0</v>
      </c>
      <c r="I22" s="35">
        <f t="shared" si="1"/>
        <v>0</v>
      </c>
      <c r="J22" s="35">
        <f t="shared" si="1"/>
        <v>0</v>
      </c>
      <c r="K22" s="35">
        <f t="shared" si="1"/>
        <v>0</v>
      </c>
      <c r="L22" s="35">
        <f t="shared" si="1"/>
        <v>0</v>
      </c>
      <c r="M22" s="35">
        <f t="shared" si="1"/>
        <v>0</v>
      </c>
      <c r="N22" s="35">
        <f t="shared" si="1"/>
        <v>0</v>
      </c>
      <c r="O22" s="15"/>
    </row>
    <row r="23" spans="1:15" ht="21" customHeight="1">
      <c r="A23" s="15"/>
      <c r="B23" s="43" t="s">
        <v>45</v>
      </c>
      <c r="C23" s="45">
        <f>C21</f>
        <v>69846.839999999967</v>
      </c>
      <c r="D23" s="45">
        <f t="shared" ref="D23:N23" si="2">C23+D21</f>
        <v>117246.83999999997</v>
      </c>
      <c r="E23" s="45">
        <f>E26</f>
        <v>0</v>
      </c>
      <c r="F23" s="45">
        <f t="shared" si="2"/>
        <v>0</v>
      </c>
      <c r="G23" s="45">
        <f t="shared" si="2"/>
        <v>0</v>
      </c>
      <c r="H23" s="45">
        <f t="shared" si="2"/>
        <v>0</v>
      </c>
      <c r="I23" s="45">
        <f t="shared" si="2"/>
        <v>0</v>
      </c>
      <c r="J23" s="45">
        <f t="shared" si="2"/>
        <v>0</v>
      </c>
      <c r="K23" s="45">
        <f t="shared" si="2"/>
        <v>0</v>
      </c>
      <c r="L23" s="45">
        <f t="shared" si="2"/>
        <v>0</v>
      </c>
      <c r="M23" s="45">
        <f t="shared" si="2"/>
        <v>0</v>
      </c>
      <c r="N23" s="45">
        <f t="shared" si="2"/>
        <v>0</v>
      </c>
      <c r="O23" s="15"/>
    </row>
    <row r="24" spans="1:15" ht="12.7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</sheetData>
  <dataValidations count="1">
    <dataValidation type="list" allowBlank="1" showErrorMessage="1" sqref="B1" xr:uid="{00000000-0002-0000-0500-000000000000}">
      <formula1>"2025,2026,2027,2028,2029,2030"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ซื้อสินค้า</vt:lpstr>
      <vt:lpstr>ขายสินค้า</vt:lpstr>
      <vt:lpstr>ชื่อสินค้า</vt:lpstr>
      <vt:lpstr>รายงานสินค้าคงเหลือ</vt:lpstr>
      <vt:lpstr>รายงานเคลื่อนไหวสินค้า</vt:lpstr>
      <vt:lpstr>รายงานสรุปยอดขายและกำไรขั้นต้น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ยุติธรรม ปั่นกลาง</dc:creator>
  <cp:lastModifiedBy>ยุติธรรม ปั่นกลาง</cp:lastModifiedBy>
  <dcterms:created xsi:type="dcterms:W3CDTF">2025-08-17T21:07:38Z</dcterms:created>
  <dcterms:modified xsi:type="dcterms:W3CDTF">2025-08-17T21:08:44Z</dcterms:modified>
</cp:coreProperties>
</file>